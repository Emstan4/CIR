
<file path=[Content_Types].xml><?xml version="1.0" encoding="utf-8"?>
<Types xmlns="http://schemas.openxmlformats.org/package/2006/content-types">
  <Default Extension="bin" ContentType="application/vnd.openxmlformats-officedocument.oleObject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drawings/drawing13.xml" ContentType="application/vnd.openxmlformats-officedocument.drawing+xml"/>
  <Override PartName="/xl/charts/chart1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14.xml" ContentType="application/vnd.openxmlformats-officedocument.drawing+xml"/>
  <Override PartName="/xl/charts/chart12.xml" ContentType="application/vnd.openxmlformats-officedocument.drawingml.chart+xml"/>
  <Override PartName="/xl/drawings/drawing15.xml" ContentType="application/vnd.openxmlformats-officedocument.drawing+xml"/>
  <Override PartName="/xl/charts/chart13.xml" ContentType="application/vnd.openxmlformats-officedocument.drawingml.chart+xml"/>
  <Override PartName="/xl/drawings/drawing16.xml" ContentType="application/vnd.openxmlformats-officedocument.drawing+xml"/>
  <Override PartName="/xl/charts/chart14.xml" ContentType="application/vnd.openxmlformats-officedocument.drawingml.chart+xml"/>
  <Override PartName="/xl/drawings/drawing17.xml" ContentType="application/vnd.openxmlformats-officedocument.drawing+xml"/>
  <Override PartName="/xl/charts/chart15.xml" ContentType="application/vnd.openxmlformats-officedocument.drawingml.chart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drawings/drawing19.xml" ContentType="application/vnd.openxmlformats-officedocument.drawing+xml"/>
  <Override PartName="/xl/charts/chart17.xml" ContentType="application/vnd.openxmlformats-officedocument.drawingml.chart+xml"/>
  <Override PartName="/xl/drawings/drawing20.xml" ContentType="application/vnd.openxmlformats-officedocument.drawing+xml"/>
  <Override PartName="/xl/charts/chart18.xml" ContentType="application/vnd.openxmlformats-officedocument.drawingml.chart+xml"/>
  <Override PartName="/xl/drawings/drawing21.xml" ContentType="application/vnd.openxmlformats-officedocument.drawing+xml"/>
  <Override PartName="/xl/charts/chart19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6.bin" ContentType="application/vnd.openxmlformats-officedocument.spreadsheetml.printerSettings"/>
  <Override PartName="/xl/drawings/drawing23.xml" ContentType="application/vnd.openxmlformats-officedocument.drawing+xml"/>
  <Override PartName="/xl/charts/chart20.xml" ContentType="application/vnd.openxmlformats-officedocument.drawingml.chart+xml"/>
  <Override PartName="/xl/drawings/drawing24.xml" ContentType="application/vnd.openxmlformats-officedocument.drawing+xml"/>
  <Override PartName="/xl/charts/chart2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22.xml" ContentType="application/vnd.openxmlformats-officedocument.drawingml.chart+xml"/>
  <Override PartName="/xl/drawings/drawing26.xml" ContentType="application/vnd.openxmlformats-officedocument.drawing+xml"/>
  <Override PartName="/xl/charts/chart23.xml" ContentType="application/vnd.openxmlformats-officedocument.drawingml.chart+xml"/>
  <Override PartName="/xl/drawings/drawing27.xml" ContentType="application/vnd.openxmlformats-officedocument.drawing+xml"/>
  <Override PartName="/xl/charts/chart24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8.xml" ContentType="application/vnd.openxmlformats-officedocument.drawing+xml"/>
  <Override PartName="/xl/charts/chart25.xml" ContentType="application/vnd.openxmlformats-officedocument.drawingml.chart+xml"/>
  <Override PartName="/xl/drawings/drawing29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9.bin" ContentType="application/vnd.openxmlformats-officedocument.spreadsheetml.printerSettings"/>
  <Override PartName="/xl/drawings/drawing31.xml" ContentType="application/vnd.openxmlformats-officedocument.drawing+xml"/>
  <Override PartName="/xl/charts/chart29.xml" ContentType="application/vnd.openxmlformats-officedocument.drawingml.chart+xml"/>
  <Override PartName="/xl/drawings/drawing32.xml" ContentType="application/vnd.openxmlformats-officedocument.drawingml.chartshapes+xml"/>
  <Override PartName="/xl/charts/chart30.xml" ContentType="application/vnd.openxmlformats-officedocument.drawingml.chart+xml"/>
  <Override PartName="/xl/drawings/drawing33.xml" ContentType="application/vnd.openxmlformats-officedocument.drawingml.chartshapes+xml"/>
  <Override PartName="/xl/drawings/drawing34.xml" ContentType="application/vnd.openxmlformats-officedocument.drawing+xml"/>
  <Override PartName="/xl/charts/chart31.xml" ContentType="application/vnd.openxmlformats-officedocument.drawingml.chart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2.xml" ContentType="application/vnd.openxmlformats-officedocument.drawingml.chart+xml"/>
  <Override PartName="/xl/drawings/drawing37.xml" ContentType="application/vnd.openxmlformats-officedocument.drawingml.chartshapes+xml"/>
  <Override PartName="/xl/printerSettings/printerSettings10.bin" ContentType="application/vnd.openxmlformats-officedocument.spreadsheetml.printerSettings"/>
  <Override PartName="/xl/drawings/drawing38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39.xml" ContentType="application/vnd.openxmlformats-officedocument.drawing+xml"/>
  <Override PartName="/xl/comments1.xml" ContentType="application/vnd.openxmlformats-officedocument.spreadsheetml.comments+xml"/>
  <Override PartName="/xl/charts/chart35.xml" ContentType="application/vnd.openxmlformats-officedocument.drawingml.chart+xml"/>
  <Override PartName="/xl/drawings/drawing4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525" yWindow="90" windowWidth="9270" windowHeight="11025" firstSheet="19" activeTab="25"/>
  </bookViews>
  <sheets>
    <sheet name="Sheet1" sheetId="64" r:id="rId1"/>
    <sheet name=" T = Tb" sheetId="33" r:id="rId2"/>
    <sheet name="Tmin" sheetId="34" r:id="rId3"/>
    <sheet name="T2" sheetId="35" r:id="rId4"/>
    <sheet name="T3" sheetId="36" r:id="rId5"/>
    <sheet name="T4" sheetId="37" r:id="rId6"/>
    <sheet name="T5" sheetId="38" r:id="rId7"/>
    <sheet name="T6" sheetId="39" r:id="rId8"/>
    <sheet name="T7" sheetId="40" r:id="rId9"/>
    <sheet name="T8" sheetId="41" r:id="rId10"/>
    <sheet name="T9" sheetId="42" r:id="rId11"/>
    <sheet name="T10" sheetId="43" r:id="rId12"/>
    <sheet name="T11" sheetId="44" r:id="rId13"/>
    <sheet name="T12" sheetId="45" r:id="rId14"/>
    <sheet name="T13" sheetId="46" r:id="rId15"/>
    <sheet name="T14" sheetId="47" r:id="rId16"/>
    <sheet name="T15" sheetId="48" r:id="rId17"/>
    <sheet name="T16" sheetId="49" r:id="rId18"/>
    <sheet name="T17" sheetId="50" r:id="rId19"/>
    <sheet name="T18" sheetId="51" r:id="rId20"/>
    <sheet name="T19" sheetId="52" r:id="rId21"/>
    <sheet name="T20" sheetId="53" r:id="rId22"/>
    <sheet name="T21" sheetId="54" r:id="rId23"/>
    <sheet name="Tc" sheetId="55" r:id="rId24"/>
    <sheet name="1.5 Tc" sheetId="56" r:id="rId25"/>
    <sheet name="a = a(T)" sheetId="57" r:id="rId26"/>
    <sheet name="Pvap" sheetId="58" r:id="rId27"/>
    <sheet name="Phase diagram" sheetId="59" r:id="rId28"/>
    <sheet name="B = B(T)" sheetId="60" r:id="rId29"/>
    <sheet name="VL-Rackett" sheetId="62" r:id="rId30"/>
    <sheet name="Isotherms" sheetId="63" r:id="rId31"/>
  </sheets>
  <definedNames>
    <definedName name="solve_e13">' T = Tb'!$D$30:$D$39</definedName>
    <definedName name="solve_e15">' T = Tb'!$E$30:$E$39</definedName>
    <definedName name="solve_e16">' T = Tb'!$F$30:$F$39</definedName>
    <definedName name="solver_adj" localSheetId="1" hidden="1">' T = Tb'!$B$16</definedName>
    <definedName name="solver_adj" localSheetId="24" hidden="1">'1.5 Tc'!$B$16</definedName>
    <definedName name="solver_adj" localSheetId="25" hidden="1">'a = a(T)'!$B$16</definedName>
    <definedName name="solver_adj" localSheetId="28" hidden="1">'B = B(T)'!$B$16</definedName>
    <definedName name="solver_adj" localSheetId="27" hidden="1">'Phase diagram'!$B$16</definedName>
    <definedName name="solver_adj" localSheetId="26" hidden="1">Pvap!$B$16</definedName>
    <definedName name="solver_adj" localSheetId="11" hidden="1">'T10'!$B$16</definedName>
    <definedName name="solver_adj" localSheetId="12" hidden="1">'T11'!$B$16</definedName>
    <definedName name="solver_adj" localSheetId="13" hidden="1">'T12'!$B$16</definedName>
    <definedName name="solver_adj" localSheetId="14" hidden="1">'T13'!$B$16</definedName>
    <definedName name="solver_adj" localSheetId="15" hidden="1">'T14'!$B$16</definedName>
    <definedName name="solver_adj" localSheetId="16" hidden="1">'T15'!$B$16</definedName>
    <definedName name="solver_adj" localSheetId="17" hidden="1">'T16'!$B$16</definedName>
    <definedName name="solver_adj" localSheetId="18" hidden="1">'T17'!$B$16</definedName>
    <definedName name="solver_adj" localSheetId="19" hidden="1">'T18'!$B$16</definedName>
    <definedName name="solver_adj" localSheetId="20" hidden="1">'T19'!$B$13</definedName>
    <definedName name="solver_adj" localSheetId="3" hidden="1">'T2'!$B$16</definedName>
    <definedName name="solver_adj" localSheetId="21" hidden="1">'T20'!$B$13</definedName>
    <definedName name="solver_adj" localSheetId="22" hidden="1">'T21'!$B$13</definedName>
    <definedName name="solver_adj" localSheetId="4" hidden="1">'T3'!$B$16</definedName>
    <definedName name="solver_adj" localSheetId="5" hidden="1">'T4'!$B$16</definedName>
    <definedName name="solver_adj" localSheetId="6" hidden="1">'T5'!$B$16</definedName>
    <definedName name="solver_adj" localSheetId="7" hidden="1">'T6'!$B$16</definedName>
    <definedName name="solver_adj" localSheetId="8" hidden="1">'T7'!$B$16</definedName>
    <definedName name="solver_adj" localSheetId="9" hidden="1">'T8'!$B$16</definedName>
    <definedName name="solver_adj" localSheetId="10" hidden="1">'T9'!$B$16</definedName>
    <definedName name="solver_adj" localSheetId="23" hidden="1">Tc!$B$16</definedName>
    <definedName name="solver_adj" localSheetId="2" hidden="1">Tmin!$B$16</definedName>
    <definedName name="solver_adj" localSheetId="29" hidden="1">'VL-Rackett'!$G$15,'VL-Rackett'!$G$16</definedName>
    <definedName name="solver_cvg" localSheetId="1" hidden="1">0.0001</definedName>
    <definedName name="solver_cvg" localSheetId="24" hidden="1">0.0001</definedName>
    <definedName name="solver_cvg" localSheetId="25" hidden="1">0.0001</definedName>
    <definedName name="solver_cvg" localSheetId="28" hidden="1">0.0001</definedName>
    <definedName name="solver_cvg" localSheetId="27" hidden="1">0.0001</definedName>
    <definedName name="solver_cvg" localSheetId="26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18" hidden="1">0.0001</definedName>
    <definedName name="solver_cvg" localSheetId="19" hidden="1">0.0001</definedName>
    <definedName name="solver_cvg" localSheetId="20" hidden="1">0.0001</definedName>
    <definedName name="solver_cvg" localSheetId="3" hidden="1">0.0001</definedName>
    <definedName name="solver_cvg" localSheetId="21" hidden="1">0.0001</definedName>
    <definedName name="solver_cvg" localSheetId="22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23" hidden="1">0.0001</definedName>
    <definedName name="solver_cvg" localSheetId="2" hidden="1">0.0001</definedName>
    <definedName name="solver_cvg" localSheetId="29" hidden="1">0.0001</definedName>
    <definedName name="solver_drv" localSheetId="1" hidden="1">2</definedName>
    <definedName name="solver_drv" localSheetId="24" hidden="1">2</definedName>
    <definedName name="solver_drv" localSheetId="25" hidden="1">2</definedName>
    <definedName name="solver_drv" localSheetId="28" hidden="1">2</definedName>
    <definedName name="solver_drv" localSheetId="27" hidden="1">2</definedName>
    <definedName name="solver_drv" localSheetId="26" hidden="1">2</definedName>
    <definedName name="solver_drv" localSheetId="11" hidden="1">2</definedName>
    <definedName name="solver_drv" localSheetId="12" hidden="1">2</definedName>
    <definedName name="solver_drv" localSheetId="13" hidden="1">2</definedName>
    <definedName name="solver_drv" localSheetId="14" hidden="1">2</definedName>
    <definedName name="solver_drv" localSheetId="15" hidden="1">2</definedName>
    <definedName name="solver_drv" localSheetId="16" hidden="1">2</definedName>
    <definedName name="solver_drv" localSheetId="17" hidden="1">2</definedName>
    <definedName name="solver_drv" localSheetId="18" hidden="1">2</definedName>
    <definedName name="solver_drv" localSheetId="19" hidden="1">2</definedName>
    <definedName name="solver_drv" localSheetId="20" hidden="1">2</definedName>
    <definedName name="solver_drv" localSheetId="3" hidden="1">2</definedName>
    <definedName name="solver_drv" localSheetId="21" hidden="1">2</definedName>
    <definedName name="solver_drv" localSheetId="22" hidden="1">2</definedName>
    <definedName name="solver_drv" localSheetId="4" hidden="1">2</definedName>
    <definedName name="solver_drv" localSheetId="5" hidden="1">2</definedName>
    <definedName name="solver_drv" localSheetId="6" hidden="1">2</definedName>
    <definedName name="solver_drv" localSheetId="7" hidden="1">2</definedName>
    <definedName name="solver_drv" localSheetId="8" hidden="1">2</definedName>
    <definedName name="solver_drv" localSheetId="9" hidden="1">2</definedName>
    <definedName name="solver_drv" localSheetId="10" hidden="1">2</definedName>
    <definedName name="solver_drv" localSheetId="23" hidden="1">2</definedName>
    <definedName name="solver_drv" localSheetId="2" hidden="1">2</definedName>
    <definedName name="solver_drv" localSheetId="29" hidden="1">1</definedName>
    <definedName name="solver_est" localSheetId="1" hidden="1">1</definedName>
    <definedName name="solver_est" localSheetId="24" hidden="1">1</definedName>
    <definedName name="solver_est" localSheetId="25" hidden="1">1</definedName>
    <definedName name="solver_est" localSheetId="28" hidden="1">1</definedName>
    <definedName name="solver_est" localSheetId="27" hidden="1">1</definedName>
    <definedName name="solver_est" localSheetId="26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18" hidden="1">1</definedName>
    <definedName name="solver_est" localSheetId="19" hidden="1">1</definedName>
    <definedName name="solver_est" localSheetId="20" hidden="1">1</definedName>
    <definedName name="solver_est" localSheetId="3" hidden="1">1</definedName>
    <definedName name="solver_est" localSheetId="21" hidden="1">1</definedName>
    <definedName name="solver_est" localSheetId="22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23" hidden="1">1</definedName>
    <definedName name="solver_est" localSheetId="2" hidden="1">1</definedName>
    <definedName name="solver_est" localSheetId="29" hidden="1">1</definedName>
    <definedName name="solver_itr" localSheetId="1" hidden="1">5000</definedName>
    <definedName name="solver_itr" localSheetId="24" hidden="1">5000</definedName>
    <definedName name="solver_itr" localSheetId="25" hidden="1">5000</definedName>
    <definedName name="solver_itr" localSheetId="28" hidden="1">5000</definedName>
    <definedName name="solver_itr" localSheetId="27" hidden="1">5000</definedName>
    <definedName name="solver_itr" localSheetId="26" hidden="1">5000</definedName>
    <definedName name="solver_itr" localSheetId="11" hidden="1">5000</definedName>
    <definedName name="solver_itr" localSheetId="12" hidden="1">5000</definedName>
    <definedName name="solver_itr" localSheetId="13" hidden="1">5000</definedName>
    <definedName name="solver_itr" localSheetId="14" hidden="1">5000</definedName>
    <definedName name="solver_itr" localSheetId="15" hidden="1">5000</definedName>
    <definedName name="solver_itr" localSheetId="16" hidden="1">5000</definedName>
    <definedName name="solver_itr" localSheetId="17" hidden="1">5000</definedName>
    <definedName name="solver_itr" localSheetId="18" hidden="1">5000</definedName>
    <definedName name="solver_itr" localSheetId="19" hidden="1">5000</definedName>
    <definedName name="solver_itr" localSheetId="20" hidden="1">5000</definedName>
    <definedName name="solver_itr" localSheetId="3" hidden="1">5000</definedName>
    <definedName name="solver_itr" localSheetId="21" hidden="1">5000</definedName>
    <definedName name="solver_itr" localSheetId="22" hidden="1">5000</definedName>
    <definedName name="solver_itr" localSheetId="4" hidden="1">5000</definedName>
    <definedName name="solver_itr" localSheetId="5" hidden="1">5000</definedName>
    <definedName name="solver_itr" localSheetId="6" hidden="1">5000</definedName>
    <definedName name="solver_itr" localSheetId="7" hidden="1">5000</definedName>
    <definedName name="solver_itr" localSheetId="8" hidden="1">5000</definedName>
    <definedName name="solver_itr" localSheetId="9" hidden="1">5000</definedName>
    <definedName name="solver_itr" localSheetId="10" hidden="1">5000</definedName>
    <definedName name="solver_itr" localSheetId="23" hidden="1">5000</definedName>
    <definedName name="solver_itr" localSheetId="2" hidden="1">5000</definedName>
    <definedName name="solver_itr" localSheetId="29" hidden="1">100</definedName>
    <definedName name="solver_lhs1" localSheetId="1" hidden="1">' T = Tb'!$B$13</definedName>
    <definedName name="solver_lhs1" localSheetId="18" hidden="1">'T17'!$B$16</definedName>
    <definedName name="solver_lhs1" localSheetId="19" hidden="1">'T18'!$B$18</definedName>
    <definedName name="solver_lhs1" localSheetId="20" hidden="1">'T19'!$B$13</definedName>
    <definedName name="solver_lhs1" localSheetId="21" hidden="1">'T20'!$B$13</definedName>
    <definedName name="solver_lhs1" localSheetId="22" hidden="1">'T21'!$B$15</definedName>
    <definedName name="solver_lhs1" localSheetId="4" hidden="1">'T3'!$B$15</definedName>
    <definedName name="solver_lhs1" localSheetId="8" hidden="1">'T7'!$B$16</definedName>
    <definedName name="solver_lhs1" localSheetId="10" hidden="1">'T9'!$B$16</definedName>
    <definedName name="solver_lhs1" localSheetId="23" hidden="1">Tc!$B$15</definedName>
    <definedName name="solver_lhs1" localSheetId="2" hidden="1">Tmin!$L$14</definedName>
    <definedName name="solver_lhs2" localSheetId="1" hidden="1">' T = Tb'!$B$15</definedName>
    <definedName name="solver_lhs2" localSheetId="18" hidden="1">'T17'!$B$18</definedName>
    <definedName name="solver_lhs2" localSheetId="19" hidden="1">'T18'!$B$18</definedName>
    <definedName name="solver_lhs2" localSheetId="20" hidden="1">'T19'!$B$15</definedName>
    <definedName name="solver_lhs2" localSheetId="21" hidden="1">'T20'!$B$18</definedName>
    <definedName name="solver_lhs2" localSheetId="22" hidden="1">'T21'!$B$16</definedName>
    <definedName name="solver_lhs2" localSheetId="8" hidden="1">'T7'!$B$18</definedName>
    <definedName name="solver_lhs2" localSheetId="10" hidden="1">'T9'!$B$18</definedName>
    <definedName name="solver_lhs2" localSheetId="23" hidden="1">Tc!$B$16</definedName>
    <definedName name="solver_lhs2" localSheetId="2" hidden="1">Tmin!$L$14</definedName>
    <definedName name="solver_lhs3" localSheetId="1" hidden="1">' T = Tb'!$B$16</definedName>
    <definedName name="solver_lhs3" localSheetId="18" hidden="1">'T17'!$B$18</definedName>
    <definedName name="solver_lhs3" localSheetId="19" hidden="1">'T18'!$B$13</definedName>
    <definedName name="solver_lhs3" localSheetId="20" hidden="1">'T19'!$B$16</definedName>
    <definedName name="solver_lhs3" localSheetId="21" hidden="1">'T20'!$B$16</definedName>
    <definedName name="solver_lhs3" localSheetId="22" hidden="1">'T21'!$B$13</definedName>
    <definedName name="solver_lhs3" localSheetId="23" hidden="1">Tc!$B$15</definedName>
    <definedName name="solver_lhs4" localSheetId="1" hidden="1">' T = Tb'!$B$18</definedName>
    <definedName name="solver_lhs4" localSheetId="18" hidden="1">'T17'!$B$13</definedName>
    <definedName name="solver_lhs4" localSheetId="19" hidden="1">'T18'!$B$15</definedName>
    <definedName name="solver_lhs4" localSheetId="20" hidden="1">'T19'!$B$18</definedName>
    <definedName name="solver_lhs4" localSheetId="21" hidden="1">'T20'!$B$18</definedName>
    <definedName name="solver_lhs4" localSheetId="22" hidden="1">'T21'!$B$18</definedName>
    <definedName name="solver_lhs4" localSheetId="23" hidden="1">Tc!$B$15</definedName>
    <definedName name="solver_lhs5" localSheetId="1" hidden="1">' T = Tb'!$B$18</definedName>
    <definedName name="solver_lhs5" localSheetId="18" hidden="1">'T17'!$B$15</definedName>
    <definedName name="solver_lhs5" localSheetId="19" hidden="1">'T18'!$B$16</definedName>
    <definedName name="solver_lhs5" localSheetId="20" hidden="1">'T19'!$B$18</definedName>
    <definedName name="solver_lhs5" localSheetId="21" hidden="1">'T20'!$B$15</definedName>
    <definedName name="solver_lhs5" localSheetId="22" hidden="1">'T21'!$B$18</definedName>
    <definedName name="solver_lhs5" localSheetId="23" hidden="1">Tc!$B$13</definedName>
    <definedName name="solver_lhs6" localSheetId="20" hidden="1">'T19'!$B$16</definedName>
    <definedName name="solver_lhs6" localSheetId="21" hidden="1">'T20'!$B$15</definedName>
    <definedName name="solver_lhs6" localSheetId="23" hidden="1">Tc!$B$15</definedName>
    <definedName name="solver_lhs7" localSheetId="23" hidden="1">Tc!$B$15</definedName>
    <definedName name="solver_lin" localSheetId="1" hidden="1">2</definedName>
    <definedName name="solver_lin" localSheetId="24" hidden="1">2</definedName>
    <definedName name="solver_lin" localSheetId="25" hidden="1">2</definedName>
    <definedName name="solver_lin" localSheetId="28" hidden="1">2</definedName>
    <definedName name="solver_lin" localSheetId="27" hidden="1">2</definedName>
    <definedName name="solver_lin" localSheetId="26" hidden="1">2</definedName>
    <definedName name="solver_lin" localSheetId="11" hidden="1">2</definedName>
    <definedName name="solver_lin" localSheetId="12" hidden="1">2</definedName>
    <definedName name="solver_lin" localSheetId="13" hidden="1">2</definedName>
    <definedName name="solver_lin" localSheetId="14" hidden="1">2</definedName>
    <definedName name="solver_lin" localSheetId="15" hidden="1">2</definedName>
    <definedName name="solver_lin" localSheetId="16" hidden="1">2</definedName>
    <definedName name="solver_lin" localSheetId="17" hidden="1">2</definedName>
    <definedName name="solver_lin" localSheetId="18" hidden="1">2</definedName>
    <definedName name="solver_lin" localSheetId="19" hidden="1">2</definedName>
    <definedName name="solver_lin" localSheetId="20" hidden="1">2</definedName>
    <definedName name="solver_lin" localSheetId="3" hidden="1">2</definedName>
    <definedName name="solver_lin" localSheetId="21" hidden="1">2</definedName>
    <definedName name="solver_lin" localSheetId="22" hidden="1">2</definedName>
    <definedName name="solver_lin" localSheetId="4" hidden="1">2</definedName>
    <definedName name="solver_lin" localSheetId="5" hidden="1">2</definedName>
    <definedName name="solver_lin" localSheetId="6" hidden="1">2</definedName>
    <definedName name="solver_lin" localSheetId="7" hidden="1">2</definedName>
    <definedName name="solver_lin" localSheetId="8" hidden="1">2</definedName>
    <definedName name="solver_lin" localSheetId="9" hidden="1">2</definedName>
    <definedName name="solver_lin" localSheetId="10" hidden="1">2</definedName>
    <definedName name="solver_lin" localSheetId="23" hidden="1">2</definedName>
    <definedName name="solver_lin" localSheetId="2" hidden="1">2</definedName>
    <definedName name="solver_lin" localSheetId="29" hidden="1">2</definedName>
    <definedName name="solver_neg" localSheetId="1" hidden="1">2</definedName>
    <definedName name="solver_neg" localSheetId="24" hidden="1">2</definedName>
    <definedName name="solver_neg" localSheetId="25" hidden="1">2</definedName>
    <definedName name="solver_neg" localSheetId="28" hidden="1">2</definedName>
    <definedName name="solver_neg" localSheetId="27" hidden="1">2</definedName>
    <definedName name="solver_neg" localSheetId="26" hidden="1">2</definedName>
    <definedName name="solver_neg" localSheetId="11" hidden="1">2</definedName>
    <definedName name="solver_neg" localSheetId="12" hidden="1">2</definedName>
    <definedName name="solver_neg" localSheetId="13" hidden="1">2</definedName>
    <definedName name="solver_neg" localSheetId="14" hidden="1">2</definedName>
    <definedName name="solver_neg" localSheetId="15" hidden="1">2</definedName>
    <definedName name="solver_neg" localSheetId="16" hidden="1">2</definedName>
    <definedName name="solver_neg" localSheetId="17" hidden="1">2</definedName>
    <definedName name="solver_neg" localSheetId="18" hidden="1">2</definedName>
    <definedName name="solver_neg" localSheetId="19" hidden="1">2</definedName>
    <definedName name="solver_neg" localSheetId="20" hidden="1">2</definedName>
    <definedName name="solver_neg" localSheetId="3" hidden="1">2</definedName>
    <definedName name="solver_neg" localSheetId="21" hidden="1">2</definedName>
    <definedName name="solver_neg" localSheetId="22" hidden="1">2</definedName>
    <definedName name="solver_neg" localSheetId="4" hidden="1">2</definedName>
    <definedName name="solver_neg" localSheetId="5" hidden="1">2</definedName>
    <definedName name="solver_neg" localSheetId="6" hidden="1">2</definedName>
    <definedName name="solver_neg" localSheetId="7" hidden="1">2</definedName>
    <definedName name="solver_neg" localSheetId="8" hidden="1">2</definedName>
    <definedName name="solver_neg" localSheetId="9" hidden="1">2</definedName>
    <definedName name="solver_neg" localSheetId="10" hidden="1">2</definedName>
    <definedName name="solver_neg" localSheetId="23" hidden="1">2</definedName>
    <definedName name="solver_neg" localSheetId="2" hidden="1">2</definedName>
    <definedName name="solver_neg" localSheetId="29" hidden="1">2</definedName>
    <definedName name="solver_num" localSheetId="1" hidden="1">0</definedName>
    <definedName name="solver_num" localSheetId="24" hidden="1">0</definedName>
    <definedName name="solver_num" localSheetId="25" hidden="1">0</definedName>
    <definedName name="solver_num" localSheetId="28" hidden="1">0</definedName>
    <definedName name="solver_num" localSheetId="27" hidden="1">0</definedName>
    <definedName name="solver_num" localSheetId="26" hidden="1">0</definedName>
    <definedName name="solver_num" localSheetId="11" hidden="1">0</definedName>
    <definedName name="solver_num" localSheetId="12" hidden="1">0</definedName>
    <definedName name="solver_num" localSheetId="13" hidden="1">0</definedName>
    <definedName name="solver_num" localSheetId="14" hidden="1">0</definedName>
    <definedName name="solver_num" localSheetId="15" hidden="1">0</definedName>
    <definedName name="solver_num" localSheetId="16" hidden="1">0</definedName>
    <definedName name="solver_num" localSheetId="17" hidden="1">0</definedName>
    <definedName name="solver_num" localSheetId="18" hidden="1">0</definedName>
    <definedName name="solver_num" localSheetId="19" hidden="1">0</definedName>
    <definedName name="solver_num" localSheetId="20" hidden="1">0</definedName>
    <definedName name="solver_num" localSheetId="3" hidden="1">0</definedName>
    <definedName name="solver_num" localSheetId="21" hidden="1">0</definedName>
    <definedName name="solver_num" localSheetId="22" hidden="1">0</definedName>
    <definedName name="solver_num" localSheetId="4" hidden="1">0</definedName>
    <definedName name="solver_num" localSheetId="5" hidden="1">0</definedName>
    <definedName name="solver_num" localSheetId="6" hidden="1">0</definedName>
    <definedName name="solver_num" localSheetId="7" hidden="1">0</definedName>
    <definedName name="solver_num" localSheetId="8" hidden="1">0</definedName>
    <definedName name="solver_num" localSheetId="9" hidden="1">0</definedName>
    <definedName name="solver_num" localSheetId="10" hidden="1">0</definedName>
    <definedName name="solver_num" localSheetId="23" hidden="1">0</definedName>
    <definedName name="solver_num" localSheetId="2" hidden="1">0</definedName>
    <definedName name="solver_num" localSheetId="29" hidden="1">0</definedName>
    <definedName name="solver_nwt" localSheetId="1" hidden="1">2</definedName>
    <definedName name="solver_nwt" localSheetId="24" hidden="1">2</definedName>
    <definedName name="solver_nwt" localSheetId="25" hidden="1">2</definedName>
    <definedName name="solver_nwt" localSheetId="28" hidden="1">2</definedName>
    <definedName name="solver_nwt" localSheetId="27" hidden="1">2</definedName>
    <definedName name="solver_nwt" localSheetId="26" hidden="1">2</definedName>
    <definedName name="solver_nwt" localSheetId="11" hidden="1">2</definedName>
    <definedName name="solver_nwt" localSheetId="12" hidden="1">2</definedName>
    <definedName name="solver_nwt" localSheetId="13" hidden="1">2</definedName>
    <definedName name="solver_nwt" localSheetId="14" hidden="1">2</definedName>
    <definedName name="solver_nwt" localSheetId="15" hidden="1">2</definedName>
    <definedName name="solver_nwt" localSheetId="16" hidden="1">2</definedName>
    <definedName name="solver_nwt" localSheetId="17" hidden="1">2</definedName>
    <definedName name="solver_nwt" localSheetId="18" hidden="1">2</definedName>
    <definedName name="solver_nwt" localSheetId="19" hidden="1">2</definedName>
    <definedName name="solver_nwt" localSheetId="20" hidden="1">2</definedName>
    <definedName name="solver_nwt" localSheetId="3" hidden="1">2</definedName>
    <definedName name="solver_nwt" localSheetId="21" hidden="1">2</definedName>
    <definedName name="solver_nwt" localSheetId="22" hidden="1">2</definedName>
    <definedName name="solver_nwt" localSheetId="4" hidden="1">2</definedName>
    <definedName name="solver_nwt" localSheetId="5" hidden="1">2</definedName>
    <definedName name="solver_nwt" localSheetId="6" hidden="1">2</definedName>
    <definedName name="solver_nwt" localSheetId="7" hidden="1">2</definedName>
    <definedName name="solver_nwt" localSheetId="8" hidden="1">2</definedName>
    <definedName name="solver_nwt" localSheetId="9" hidden="1">2</definedName>
    <definedName name="solver_nwt" localSheetId="10" hidden="1">2</definedName>
    <definedName name="solver_nwt" localSheetId="23" hidden="1">2</definedName>
    <definedName name="solver_nwt" localSheetId="2" hidden="1">2</definedName>
    <definedName name="solver_nwt" localSheetId="29" hidden="1">1</definedName>
    <definedName name="solver_opt" localSheetId="1" hidden="1">' T = Tb'!$E$16</definedName>
    <definedName name="solver_opt" localSheetId="24" hidden="1">'1.5 Tc'!$E$16</definedName>
    <definedName name="solver_opt" localSheetId="25" hidden="1">'a = a(T)'!$E$16</definedName>
    <definedName name="solver_opt" localSheetId="28" hidden="1">'B = B(T)'!$E$16</definedName>
    <definedName name="solver_opt" localSheetId="27" hidden="1">'Phase diagram'!$E$16</definedName>
    <definedName name="solver_opt" localSheetId="26" hidden="1">Pvap!$E$16</definedName>
    <definedName name="solver_opt" localSheetId="11" hidden="1">'T10'!$E$16</definedName>
    <definedName name="solver_opt" localSheetId="12" hidden="1">'T11'!$E$16</definedName>
    <definedName name="solver_opt" localSheetId="13" hidden="1">'T12'!$E$16</definedName>
    <definedName name="solver_opt" localSheetId="14" hidden="1">'T13'!$E$16</definedName>
    <definedName name="solver_opt" localSheetId="15" hidden="1">'T14'!$E$16</definedName>
    <definedName name="solver_opt" localSheetId="16" hidden="1">'T15'!$E$16</definedName>
    <definedName name="solver_opt" localSheetId="17" hidden="1">'T16'!$E$16</definedName>
    <definedName name="solver_opt" localSheetId="18" hidden="1">'T17'!$E$16</definedName>
    <definedName name="solver_opt" localSheetId="19" hidden="1">'T18'!$E$16</definedName>
    <definedName name="solver_opt" localSheetId="20" hidden="1">'T19'!$E$13</definedName>
    <definedName name="solver_opt" localSheetId="3" hidden="1">'T2'!$E$16</definedName>
    <definedName name="solver_opt" localSheetId="21" hidden="1">'T20'!$E$13</definedName>
    <definedName name="solver_opt" localSheetId="22" hidden="1">'T21'!$E$13</definedName>
    <definedName name="solver_opt" localSheetId="4" hidden="1">'T3'!$E$16</definedName>
    <definedName name="solver_opt" localSheetId="5" hidden="1">'T4'!$E$16</definedName>
    <definedName name="solver_opt" localSheetId="6" hidden="1">'T5'!$E$16</definedName>
    <definedName name="solver_opt" localSheetId="7" hidden="1">'T6'!$E$16</definedName>
    <definedName name="solver_opt" localSheetId="8" hidden="1">'T7'!$E$16</definedName>
    <definedName name="solver_opt" localSheetId="9" hidden="1">'T8'!$E$16</definedName>
    <definedName name="solver_opt" localSheetId="10" hidden="1">'T9'!$E$16</definedName>
    <definedName name="solver_opt" localSheetId="23" hidden="1">Tc!$E$16</definedName>
    <definedName name="solver_opt" localSheetId="2" hidden="1">Tmin!$E$16</definedName>
    <definedName name="solver_opt" localSheetId="29" hidden="1">'VL-Rackett'!$H$19</definedName>
    <definedName name="solver_pre" localSheetId="1" hidden="1">0.000000000001</definedName>
    <definedName name="solver_pre" localSheetId="24" hidden="1">0.000000000001</definedName>
    <definedName name="solver_pre" localSheetId="25" hidden="1">0.000000000001</definedName>
    <definedName name="solver_pre" localSheetId="28" hidden="1">0.000000000001</definedName>
    <definedName name="solver_pre" localSheetId="27" hidden="1">0.000000000001</definedName>
    <definedName name="solver_pre" localSheetId="26" hidden="1">0.000000000001</definedName>
    <definedName name="solver_pre" localSheetId="11" hidden="1">0.000000000001</definedName>
    <definedName name="solver_pre" localSheetId="12" hidden="1">0.000000000001</definedName>
    <definedName name="solver_pre" localSheetId="13" hidden="1">0.000000000001</definedName>
    <definedName name="solver_pre" localSheetId="14" hidden="1">0.000000000001</definedName>
    <definedName name="solver_pre" localSheetId="15" hidden="1">0.000000000001</definedName>
    <definedName name="solver_pre" localSheetId="16" hidden="1">0.000000000001</definedName>
    <definedName name="solver_pre" localSheetId="17" hidden="1">0.000000000001</definedName>
    <definedName name="solver_pre" localSheetId="18" hidden="1">0.000000000001</definedName>
    <definedName name="solver_pre" localSheetId="19" hidden="1">0.000000000001</definedName>
    <definedName name="solver_pre" localSheetId="20" hidden="1">0.000000000001</definedName>
    <definedName name="solver_pre" localSheetId="3" hidden="1">0.000000000001</definedName>
    <definedName name="solver_pre" localSheetId="21" hidden="1">0.000000000001</definedName>
    <definedName name="solver_pre" localSheetId="22" hidden="1">0.000000000001</definedName>
    <definedName name="solver_pre" localSheetId="4" hidden="1">0.000000000001</definedName>
    <definedName name="solver_pre" localSheetId="5" hidden="1">0.000000000001</definedName>
    <definedName name="solver_pre" localSheetId="6" hidden="1">0.000000000001</definedName>
    <definedName name="solver_pre" localSheetId="7" hidden="1">0.000000000001</definedName>
    <definedName name="solver_pre" localSheetId="8" hidden="1">0.000000000001</definedName>
    <definedName name="solver_pre" localSheetId="9" hidden="1">0.000000000001</definedName>
    <definedName name="solver_pre" localSheetId="10" hidden="1">0.000000000001</definedName>
    <definedName name="solver_pre" localSheetId="23" hidden="1">0.000000000001</definedName>
    <definedName name="solver_pre" localSheetId="2" hidden="1">0.000000000001</definedName>
    <definedName name="solver_pre" localSheetId="29" hidden="1">0.000001</definedName>
    <definedName name="solver_rel1" localSheetId="1" hidden="1">3</definedName>
    <definedName name="solver_rel1" localSheetId="18" hidden="1">1</definedName>
    <definedName name="solver_rel1" localSheetId="19" hidden="1">1</definedName>
    <definedName name="solver_rel1" localSheetId="20" hidden="1">3</definedName>
    <definedName name="solver_rel1" localSheetId="21" hidden="1">3</definedName>
    <definedName name="solver_rel1" localSheetId="22" hidden="1">3</definedName>
    <definedName name="solver_rel1" localSheetId="4" hidden="1">3</definedName>
    <definedName name="solver_rel1" localSheetId="8" hidden="1">1</definedName>
    <definedName name="solver_rel1" localSheetId="10" hidden="1">1</definedName>
    <definedName name="solver_rel1" localSheetId="23" hidden="1">3</definedName>
    <definedName name="solver_rel1" localSheetId="2" hidden="1">3</definedName>
    <definedName name="solver_rel2" localSheetId="1" hidden="1">3</definedName>
    <definedName name="solver_rel2" localSheetId="18" hidden="1">1</definedName>
    <definedName name="solver_rel2" localSheetId="19" hidden="1">3</definedName>
    <definedName name="solver_rel2" localSheetId="20" hidden="1">3</definedName>
    <definedName name="solver_rel2" localSheetId="21" hidden="1">3</definedName>
    <definedName name="solver_rel2" localSheetId="22" hidden="1">1</definedName>
    <definedName name="solver_rel2" localSheetId="8" hidden="1">1</definedName>
    <definedName name="solver_rel2" localSheetId="10" hidden="1">1</definedName>
    <definedName name="solver_rel2" localSheetId="23" hidden="1">1</definedName>
    <definedName name="solver_rel2" localSheetId="2" hidden="1">3</definedName>
    <definedName name="solver_rel3" localSheetId="1" hidden="1">1</definedName>
    <definedName name="solver_rel3" localSheetId="18" hidden="1">3</definedName>
    <definedName name="solver_rel3" localSheetId="19" hidden="1">3</definedName>
    <definedName name="solver_rel3" localSheetId="20" hidden="1">1</definedName>
    <definedName name="solver_rel3" localSheetId="21" hidden="1">1</definedName>
    <definedName name="solver_rel3" localSheetId="22" hidden="1">3</definedName>
    <definedName name="solver_rel3" localSheetId="23" hidden="1">2</definedName>
    <definedName name="solver_rel4" localSheetId="1" hidden="1">3</definedName>
    <definedName name="solver_rel4" localSheetId="18" hidden="1">3</definedName>
    <definedName name="solver_rel4" localSheetId="19" hidden="1">3</definedName>
    <definedName name="solver_rel4" localSheetId="20" hidden="1">1</definedName>
    <definedName name="solver_rel4" localSheetId="21" hidden="1">1</definedName>
    <definedName name="solver_rel4" localSheetId="22" hidden="1">1</definedName>
    <definedName name="solver_rel4" localSheetId="23" hidden="1">2</definedName>
    <definedName name="solver_rel5" localSheetId="1" hidden="1">1</definedName>
    <definedName name="solver_rel5" localSheetId="18" hidden="1">3</definedName>
    <definedName name="solver_rel5" localSheetId="19" hidden="1">1</definedName>
    <definedName name="solver_rel5" localSheetId="20" hidden="1">3</definedName>
    <definedName name="solver_rel5" localSheetId="21" hidden="1">3</definedName>
    <definedName name="solver_rel5" localSheetId="22" hidden="1">3</definedName>
    <definedName name="solver_rel5" localSheetId="23" hidden="1">3</definedName>
    <definedName name="solver_rel6" localSheetId="20" hidden="1">1</definedName>
    <definedName name="solver_rel6" localSheetId="21" hidden="1">3</definedName>
    <definedName name="solver_rel6" localSheetId="23" hidden="1">2</definedName>
    <definedName name="solver_rel7" localSheetId="23" hidden="1">2</definedName>
    <definedName name="solver_rhs1" localSheetId="1" hidden="1">' T = Tb'!$B$12</definedName>
    <definedName name="solver_rhs1" localSheetId="18" hidden="1">'T17'!$B$17</definedName>
    <definedName name="solver_rhs1" localSheetId="19" hidden="1">'T18'!$B$16</definedName>
    <definedName name="solver_rhs1" localSheetId="20" hidden="1">'T19'!$B$12</definedName>
    <definedName name="solver_rhs1" localSheetId="21" hidden="1">'T20'!$B$12</definedName>
    <definedName name="solver_rhs1" localSheetId="22" hidden="1">'T21'!$C$15</definedName>
    <definedName name="solver_rhs1" localSheetId="4" hidden="1">0.151</definedName>
    <definedName name="solver_rhs1" localSheetId="8" hidden="1">'T7'!$B$17</definedName>
    <definedName name="solver_rhs1" localSheetId="10" hidden="1">'T9'!$B$17</definedName>
    <definedName name="solver_rhs1" localSheetId="23" hidden="1">Tc!$C$15</definedName>
    <definedName name="solver_rhs1" localSheetId="2" hidden="1">1</definedName>
    <definedName name="solver_rhs2" localSheetId="1" hidden="1">' T = Tb'!$B$14</definedName>
    <definedName name="solver_rhs2" localSheetId="18" hidden="1">'T17'!$B$16</definedName>
    <definedName name="solver_rhs2" localSheetId="19" hidden="1">'T18'!$B$15</definedName>
    <definedName name="solver_rhs2" localSheetId="20" hidden="1">'T18'!$B$15</definedName>
    <definedName name="solver_rhs2" localSheetId="21" hidden="1">'T20'!$B$15</definedName>
    <definedName name="solver_rhs2" localSheetId="22" hidden="1">'T21'!$C$16</definedName>
    <definedName name="solver_rhs2" localSheetId="8" hidden="1">'T7'!$B$16</definedName>
    <definedName name="solver_rhs2" localSheetId="10" hidden="1">'T9'!$B$16</definedName>
    <definedName name="solver_rhs2" localSheetId="23" hidden="1">Tc!$C$16</definedName>
    <definedName name="solver_rhs2" localSheetId="2" hidden="1">1</definedName>
    <definedName name="solver_rhs3" localSheetId="1" hidden="1">' T = Tb'!$B$17</definedName>
    <definedName name="solver_rhs3" localSheetId="18" hidden="1">'T17'!$B$15</definedName>
    <definedName name="solver_rhs3" localSheetId="19" hidden="1">'T18'!$B$12</definedName>
    <definedName name="solver_rhs3" localSheetId="20" hidden="1">'T19'!$B$17</definedName>
    <definedName name="solver_rhs3" localSheetId="21" hidden="1">'T20'!$B$17</definedName>
    <definedName name="solver_rhs3" localSheetId="22" hidden="1">'T21'!$B$12</definedName>
    <definedName name="solver_rhs3" localSheetId="23" hidden="1">Tc!$B$18</definedName>
    <definedName name="solver_rhs4" localSheetId="1" hidden="1">' T = Tb'!$B$15</definedName>
    <definedName name="solver_rhs4" localSheetId="18" hidden="1">'T17'!$B$12</definedName>
    <definedName name="solver_rhs4" localSheetId="19" hidden="1">0.091</definedName>
    <definedName name="solver_rhs4" localSheetId="20" hidden="1">'T19'!$B$16</definedName>
    <definedName name="solver_rhs4" localSheetId="21" hidden="1">'T20'!$B$16</definedName>
    <definedName name="solver_rhs4" localSheetId="22" hidden="1">'T21'!$B$16</definedName>
    <definedName name="solver_rhs4" localSheetId="23" hidden="1">Tc!$B$16</definedName>
    <definedName name="solver_rhs5" localSheetId="1" hidden="1">' T = Tb'!$B$16</definedName>
    <definedName name="solver_rhs5" localSheetId="18" hidden="1">0.1</definedName>
    <definedName name="solver_rhs5" localSheetId="19" hidden="1">'T17'!$B$16</definedName>
    <definedName name="solver_rhs5" localSheetId="20" hidden="1">'T19'!$B$15</definedName>
    <definedName name="solver_rhs5" localSheetId="21" hidden="1">'T20'!$C$15</definedName>
    <definedName name="solver_rhs5" localSheetId="22" hidden="1">'T21'!$B$15</definedName>
    <definedName name="solver_rhs5" localSheetId="23" hidden="1">Tc!$B$12</definedName>
    <definedName name="solver_rhs6" localSheetId="20" hidden="1">'T19'!$B$14</definedName>
    <definedName name="solver_rhs6" localSheetId="21" hidden="1">'T19'!$B$15</definedName>
    <definedName name="solver_rhs6" localSheetId="23" hidden="1">Tc!$B$16</definedName>
    <definedName name="solver_rhs7" localSheetId="23" hidden="1">Tc!$B$18</definedName>
    <definedName name="solver_scl" localSheetId="1" hidden="1">1</definedName>
    <definedName name="solver_scl" localSheetId="24" hidden="1">1</definedName>
    <definedName name="solver_scl" localSheetId="25" hidden="1">1</definedName>
    <definedName name="solver_scl" localSheetId="28" hidden="1">1</definedName>
    <definedName name="solver_scl" localSheetId="27" hidden="1">1</definedName>
    <definedName name="solver_scl" localSheetId="26" hidden="1">1</definedName>
    <definedName name="solver_scl" localSheetId="11" hidden="1">1</definedName>
    <definedName name="solver_scl" localSheetId="12" hidden="1">1</definedName>
    <definedName name="solver_scl" localSheetId="13" hidden="1">1</definedName>
    <definedName name="solver_scl" localSheetId="14" hidden="1">1</definedName>
    <definedName name="solver_scl" localSheetId="15" hidden="1">1</definedName>
    <definedName name="solver_scl" localSheetId="16" hidden="1">1</definedName>
    <definedName name="solver_scl" localSheetId="17" hidden="1">1</definedName>
    <definedName name="solver_scl" localSheetId="18" hidden="1">1</definedName>
    <definedName name="solver_scl" localSheetId="19" hidden="1">1</definedName>
    <definedName name="solver_scl" localSheetId="20" hidden="1">1</definedName>
    <definedName name="solver_scl" localSheetId="3" hidden="1">1</definedName>
    <definedName name="solver_scl" localSheetId="21" hidden="1">1</definedName>
    <definedName name="solver_scl" localSheetId="22" hidden="1">1</definedName>
    <definedName name="solver_scl" localSheetId="4" hidden="1">1</definedName>
    <definedName name="solver_scl" localSheetId="5" hidden="1">1</definedName>
    <definedName name="solver_scl" localSheetId="6" hidden="1">1</definedName>
    <definedName name="solver_scl" localSheetId="7" hidden="1">1</definedName>
    <definedName name="solver_scl" localSheetId="8" hidden="1">1</definedName>
    <definedName name="solver_scl" localSheetId="9" hidden="1">1</definedName>
    <definedName name="solver_scl" localSheetId="10" hidden="1">1</definedName>
    <definedName name="solver_scl" localSheetId="23" hidden="1">1</definedName>
    <definedName name="solver_scl" localSheetId="2" hidden="1">1</definedName>
    <definedName name="solver_scl" localSheetId="29" hidden="1">2</definedName>
    <definedName name="solver_sho" localSheetId="1" hidden="1">2</definedName>
    <definedName name="solver_sho" localSheetId="24" hidden="1">2</definedName>
    <definedName name="solver_sho" localSheetId="25" hidden="1">2</definedName>
    <definedName name="solver_sho" localSheetId="28" hidden="1">2</definedName>
    <definedName name="solver_sho" localSheetId="27" hidden="1">2</definedName>
    <definedName name="solver_sho" localSheetId="26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18" hidden="1">2</definedName>
    <definedName name="solver_sho" localSheetId="19" hidden="1">2</definedName>
    <definedName name="solver_sho" localSheetId="20" hidden="1">2</definedName>
    <definedName name="solver_sho" localSheetId="3" hidden="1">2</definedName>
    <definedName name="solver_sho" localSheetId="21" hidden="1">2</definedName>
    <definedName name="solver_sho" localSheetId="22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23" hidden="1">2</definedName>
    <definedName name="solver_sho" localSheetId="2" hidden="1">2</definedName>
    <definedName name="solver_sho" localSheetId="29" hidden="1">2</definedName>
    <definedName name="solver_tim" localSheetId="1" hidden="1">100</definedName>
    <definedName name="solver_tim" localSheetId="24" hidden="1">100</definedName>
    <definedName name="solver_tim" localSheetId="25" hidden="1">100</definedName>
    <definedName name="solver_tim" localSheetId="28" hidden="1">100</definedName>
    <definedName name="solver_tim" localSheetId="27" hidden="1">100</definedName>
    <definedName name="solver_tim" localSheetId="26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18" hidden="1">100</definedName>
    <definedName name="solver_tim" localSheetId="19" hidden="1">100</definedName>
    <definedName name="solver_tim" localSheetId="20" hidden="1">100</definedName>
    <definedName name="solver_tim" localSheetId="3" hidden="1">100</definedName>
    <definedName name="solver_tim" localSheetId="21" hidden="1">100</definedName>
    <definedName name="solver_tim" localSheetId="22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23" hidden="1">100</definedName>
    <definedName name="solver_tim" localSheetId="2" hidden="1">100</definedName>
    <definedName name="solver_tim" localSheetId="29" hidden="1">100</definedName>
    <definedName name="solver_tol" localSheetId="1" hidden="1">0.05</definedName>
    <definedName name="solver_tol" localSheetId="24" hidden="1">0.05</definedName>
    <definedName name="solver_tol" localSheetId="25" hidden="1">0.05</definedName>
    <definedName name="solver_tol" localSheetId="28" hidden="1">0.05</definedName>
    <definedName name="solver_tol" localSheetId="27" hidden="1">0.05</definedName>
    <definedName name="solver_tol" localSheetId="26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18" hidden="1">0.05</definedName>
    <definedName name="solver_tol" localSheetId="19" hidden="1">0.05</definedName>
    <definedName name="solver_tol" localSheetId="20" hidden="1">0.05</definedName>
    <definedName name="solver_tol" localSheetId="3" hidden="1">0.05</definedName>
    <definedName name="solver_tol" localSheetId="21" hidden="1">0.05</definedName>
    <definedName name="solver_tol" localSheetId="22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23" hidden="1">0.05</definedName>
    <definedName name="solver_tol" localSheetId="2" hidden="1">0.05</definedName>
    <definedName name="solver_tol" localSheetId="29" hidden="1">0.05</definedName>
    <definedName name="solver_typ" localSheetId="1" hidden="1">3</definedName>
    <definedName name="solver_typ" localSheetId="24" hidden="1">3</definedName>
    <definedName name="solver_typ" localSheetId="25" hidden="1">3</definedName>
    <definedName name="solver_typ" localSheetId="28" hidden="1">3</definedName>
    <definedName name="solver_typ" localSheetId="27" hidden="1">3</definedName>
    <definedName name="solver_typ" localSheetId="26" hidden="1">3</definedName>
    <definedName name="solver_typ" localSheetId="11" hidden="1">3</definedName>
    <definedName name="solver_typ" localSheetId="12" hidden="1">3</definedName>
    <definedName name="solver_typ" localSheetId="13" hidden="1">3</definedName>
    <definedName name="solver_typ" localSheetId="14" hidden="1">3</definedName>
    <definedName name="solver_typ" localSheetId="15" hidden="1">3</definedName>
    <definedName name="solver_typ" localSheetId="16" hidden="1">3</definedName>
    <definedName name="solver_typ" localSheetId="17" hidden="1">3</definedName>
    <definedName name="solver_typ" localSheetId="18" hidden="1">3</definedName>
    <definedName name="solver_typ" localSheetId="19" hidden="1">3</definedName>
    <definedName name="solver_typ" localSheetId="20" hidden="1">3</definedName>
    <definedName name="solver_typ" localSheetId="3" hidden="1">3</definedName>
    <definedName name="solver_typ" localSheetId="21" hidden="1">3</definedName>
    <definedName name="solver_typ" localSheetId="22" hidden="1">3</definedName>
    <definedName name="solver_typ" localSheetId="4" hidden="1">3</definedName>
    <definedName name="solver_typ" localSheetId="5" hidden="1">3</definedName>
    <definedName name="solver_typ" localSheetId="6" hidden="1">3</definedName>
    <definedName name="solver_typ" localSheetId="7" hidden="1">3</definedName>
    <definedName name="solver_typ" localSheetId="8" hidden="1">3</definedName>
    <definedName name="solver_typ" localSheetId="9" hidden="1">3</definedName>
    <definedName name="solver_typ" localSheetId="10" hidden="1">3</definedName>
    <definedName name="solver_typ" localSheetId="23" hidden="1">3</definedName>
    <definedName name="solver_typ" localSheetId="2" hidden="1">3</definedName>
    <definedName name="solver_typ" localSheetId="29" hidden="1">3</definedName>
    <definedName name="solver_val" localSheetId="1" hidden="1">0</definedName>
    <definedName name="solver_val" localSheetId="24" hidden="1">0</definedName>
    <definedName name="solver_val" localSheetId="25" hidden="1">0</definedName>
    <definedName name="solver_val" localSheetId="28" hidden="1">0</definedName>
    <definedName name="solver_val" localSheetId="27" hidden="1">0</definedName>
    <definedName name="solver_val" localSheetId="26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18" hidden="1">0</definedName>
    <definedName name="solver_val" localSheetId="19" hidden="1">0</definedName>
    <definedName name="solver_val" localSheetId="20" hidden="1">0</definedName>
    <definedName name="solver_val" localSheetId="3" hidden="1">0</definedName>
    <definedName name="solver_val" localSheetId="21" hidden="1">0</definedName>
    <definedName name="solver_val" localSheetId="22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23" hidden="1">0</definedName>
    <definedName name="solver_val" localSheetId="2" hidden="1">0</definedName>
    <definedName name="solver_val" localSheetId="29" hidden="1">0</definedName>
  </definedNames>
  <calcPr calcId="145621"/>
</workbook>
</file>

<file path=xl/calcChain.xml><?xml version="1.0" encoding="utf-8"?>
<calcChain xmlns="http://schemas.openxmlformats.org/spreadsheetml/2006/main">
  <c r="B2" i="35" l="1"/>
  <c r="B3" i="35"/>
  <c r="B4" i="35"/>
  <c r="B6" i="35"/>
  <c r="B8" i="35"/>
  <c r="B9" i="35"/>
  <c r="B12" i="35"/>
  <c r="L13" i="35" s="1"/>
  <c r="A45" i="35"/>
  <c r="A46" i="35"/>
  <c r="A47" i="35" s="1"/>
  <c r="A48" i="35"/>
  <c r="A49" i="35" s="1"/>
  <c r="A50" i="35" s="1"/>
  <c r="A51" i="35" s="1"/>
  <c r="A52" i="35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F27" i="57"/>
  <c r="G27" i="57" s="1"/>
  <c r="A1" i="60"/>
  <c r="I42" i="60"/>
  <c r="J42" i="60"/>
  <c r="F26" i="57"/>
  <c r="F28" i="57"/>
  <c r="F29" i="57"/>
  <c r="F30" i="57"/>
  <c r="F31" i="57"/>
  <c r="F32" i="57"/>
  <c r="F33" i="57"/>
  <c r="F34" i="57"/>
  <c r="F35" i="57"/>
  <c r="F36" i="57"/>
  <c r="F37" i="57"/>
  <c r="G37" i="57"/>
  <c r="F38" i="57"/>
  <c r="F39" i="57"/>
  <c r="F40" i="57"/>
  <c r="F41" i="57"/>
  <c r="F42" i="57"/>
  <c r="F43" i="57"/>
  <c r="F44" i="57"/>
  <c r="F45" i="57"/>
  <c r="F46" i="57"/>
  <c r="I43" i="60"/>
  <c r="J43" i="60"/>
  <c r="I44" i="60"/>
  <c r="J44" i="60"/>
  <c r="I45" i="60"/>
  <c r="J45" i="60"/>
  <c r="M45" i="60"/>
  <c r="I46" i="60"/>
  <c r="J46" i="60"/>
  <c r="M46" i="60"/>
  <c r="I47" i="60"/>
  <c r="J47" i="60"/>
  <c r="I48" i="60"/>
  <c r="J48" i="60"/>
  <c r="I49" i="60"/>
  <c r="J49" i="60"/>
  <c r="I50" i="60"/>
  <c r="J50" i="60"/>
  <c r="I51" i="60"/>
  <c r="J51" i="60"/>
  <c r="I52" i="60"/>
  <c r="J52" i="60"/>
  <c r="I53" i="60"/>
  <c r="J53" i="60"/>
  <c r="M53" i="60"/>
  <c r="I54" i="60"/>
  <c r="J54" i="60"/>
  <c r="M54" i="60"/>
  <c r="I55" i="60"/>
  <c r="J55" i="60"/>
  <c r="I56" i="60"/>
  <c r="J56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F7" i="33"/>
  <c r="M6" i="33" s="1"/>
  <c r="N7" i="33" s="1"/>
  <c r="B7" i="33"/>
  <c r="B5" i="33"/>
  <c r="B5" i="35" s="1"/>
  <c r="B14" i="35" s="1"/>
  <c r="A1" i="59"/>
  <c r="B12" i="33"/>
  <c r="E12" i="57"/>
  <c r="G6" i="33"/>
  <c r="N6" i="33"/>
  <c r="O6" i="33"/>
  <c r="B26" i="59" s="1"/>
  <c r="I1" i="34"/>
  <c r="C3" i="57"/>
  <c r="O7" i="33"/>
  <c r="N8" i="33"/>
  <c r="B3" i="55"/>
  <c r="B5" i="55"/>
  <c r="B4" i="58"/>
  <c r="F2" i="58"/>
  <c r="B3" i="58"/>
  <c r="F3" i="58"/>
  <c r="F4" i="58"/>
  <c r="F5" i="58"/>
  <c r="B23" i="58"/>
  <c r="B4" i="55"/>
  <c r="F2" i="55"/>
  <c r="I1" i="55"/>
  <c r="F3" i="55"/>
  <c r="F4" i="55"/>
  <c r="F5" i="55"/>
  <c r="B4" i="54"/>
  <c r="F2" i="54"/>
  <c r="B3" i="54"/>
  <c r="F3" i="54"/>
  <c r="F4" i="54"/>
  <c r="F5" i="54"/>
  <c r="B4" i="53"/>
  <c r="F2" i="53"/>
  <c r="B3" i="53"/>
  <c r="F3" i="53"/>
  <c r="F4" i="53"/>
  <c r="F5" i="53"/>
  <c r="B4" i="52"/>
  <c r="F2" i="52"/>
  <c r="B3" i="52"/>
  <c r="F3" i="52"/>
  <c r="F4" i="52"/>
  <c r="F5" i="52"/>
  <c r="B4" i="51"/>
  <c r="F2" i="51"/>
  <c r="B3" i="51"/>
  <c r="F3" i="51"/>
  <c r="F4" i="51"/>
  <c r="F5" i="51"/>
  <c r="B4" i="50"/>
  <c r="F2" i="50"/>
  <c r="B3" i="50"/>
  <c r="F3" i="50"/>
  <c r="F4" i="50"/>
  <c r="F5" i="50"/>
  <c r="B4" i="49"/>
  <c r="F2" i="49"/>
  <c r="B3" i="49"/>
  <c r="F3" i="49"/>
  <c r="F4" i="49"/>
  <c r="F5" i="49"/>
  <c r="B4" i="48"/>
  <c r="F2" i="48"/>
  <c r="B3" i="48"/>
  <c r="F3" i="48"/>
  <c r="F4" i="48"/>
  <c r="F5" i="48"/>
  <c r="B4" i="47"/>
  <c r="F2" i="47"/>
  <c r="B3" i="47"/>
  <c r="G8" i="47" s="1"/>
  <c r="F3" i="47"/>
  <c r="F4" i="47"/>
  <c r="F5" i="47"/>
  <c r="B4" i="46"/>
  <c r="F2" i="46"/>
  <c r="B3" i="46"/>
  <c r="F3" i="46"/>
  <c r="F4" i="46"/>
  <c r="F5" i="46"/>
  <c r="B4" i="45"/>
  <c r="F2" i="45"/>
  <c r="B3" i="45"/>
  <c r="F3" i="45"/>
  <c r="F4" i="45"/>
  <c r="F5" i="45"/>
  <c r="B4" i="44"/>
  <c r="F2" i="44"/>
  <c r="B3" i="44"/>
  <c r="F3" i="44"/>
  <c r="F4" i="44"/>
  <c r="F5" i="44"/>
  <c r="B4" i="43"/>
  <c r="F2" i="43"/>
  <c r="B3" i="43"/>
  <c r="F3" i="43"/>
  <c r="F4" i="43"/>
  <c r="F5" i="43"/>
  <c r="B4" i="42"/>
  <c r="F2" i="42"/>
  <c r="B3" i="42"/>
  <c r="F3" i="42"/>
  <c r="F4" i="42"/>
  <c r="F5" i="42"/>
  <c r="B4" i="41"/>
  <c r="F2" i="41"/>
  <c r="B3" i="41"/>
  <c r="F3" i="41"/>
  <c r="F4" i="41"/>
  <c r="F5" i="41"/>
  <c r="B4" i="40"/>
  <c r="F2" i="40"/>
  <c r="B3" i="40"/>
  <c r="F3" i="40"/>
  <c r="F4" i="40"/>
  <c r="F5" i="40"/>
  <c r="B4" i="39"/>
  <c r="F2" i="39"/>
  <c r="B3" i="39"/>
  <c r="B14" i="39" s="1"/>
  <c r="A21" i="39" s="1"/>
  <c r="A22" i="39" s="1"/>
  <c r="F3" i="39"/>
  <c r="F4" i="39"/>
  <c r="F5" i="39"/>
  <c r="B4" i="38"/>
  <c r="F2" i="38"/>
  <c r="B3" i="38"/>
  <c r="F3" i="38"/>
  <c r="F4" i="38"/>
  <c r="F5" i="38"/>
  <c r="B4" i="37"/>
  <c r="F2" i="37"/>
  <c r="B3" i="37"/>
  <c r="F3" i="37"/>
  <c r="F4" i="37"/>
  <c r="F5" i="37"/>
  <c r="B4" i="36"/>
  <c r="F2" i="36"/>
  <c r="B3" i="36"/>
  <c r="F3" i="36"/>
  <c r="F4" i="36"/>
  <c r="F5" i="36"/>
  <c r="F2" i="35"/>
  <c r="F3" i="35"/>
  <c r="F4" i="35"/>
  <c r="F5" i="35"/>
  <c r="B4" i="34"/>
  <c r="F2" i="34"/>
  <c r="B3" i="34"/>
  <c r="F3" i="34"/>
  <c r="F4" i="34"/>
  <c r="F5" i="34"/>
  <c r="I1" i="33"/>
  <c r="I2" i="33"/>
  <c r="I30" i="60"/>
  <c r="J30" i="60"/>
  <c r="B14" i="33"/>
  <c r="E14" i="60"/>
  <c r="M30" i="60"/>
  <c r="I31" i="60"/>
  <c r="J31" i="60"/>
  <c r="M31" i="60"/>
  <c r="I32" i="60"/>
  <c r="J32" i="60"/>
  <c r="I33" i="60"/>
  <c r="J33" i="60"/>
  <c r="M33" i="60"/>
  <c r="I34" i="60"/>
  <c r="J34" i="60"/>
  <c r="M34" i="60"/>
  <c r="I35" i="60"/>
  <c r="J35" i="60"/>
  <c r="M35" i="60"/>
  <c r="I36" i="60"/>
  <c r="J36" i="60"/>
  <c r="I37" i="60"/>
  <c r="J37" i="60"/>
  <c r="M37" i="60"/>
  <c r="I38" i="60"/>
  <c r="J38" i="60"/>
  <c r="M38" i="60"/>
  <c r="I39" i="60"/>
  <c r="J39" i="60"/>
  <c r="M39" i="60"/>
  <c r="I40" i="60"/>
  <c r="J40" i="60"/>
  <c r="I41" i="60"/>
  <c r="J41" i="60"/>
  <c r="M41" i="60"/>
  <c r="A21" i="33"/>
  <c r="B21" i="33" s="1"/>
  <c r="A22" i="33"/>
  <c r="F39" i="33"/>
  <c r="F31" i="33"/>
  <c r="E39" i="33"/>
  <c r="E31" i="33"/>
  <c r="D39" i="33"/>
  <c r="D31" i="33"/>
  <c r="G7" i="33"/>
  <c r="G8" i="33"/>
  <c r="L13" i="33"/>
  <c r="L14" i="33"/>
  <c r="B3" i="56"/>
  <c r="B5" i="56"/>
  <c r="B14" i="56"/>
  <c r="B8" i="56"/>
  <c r="A1" i="56"/>
  <c r="A22" i="56"/>
  <c r="A23" i="56" s="1"/>
  <c r="A24" i="56" s="1"/>
  <c r="A25" i="56"/>
  <c r="C22" i="56"/>
  <c r="C21" i="56"/>
  <c r="B18" i="56"/>
  <c r="B6" i="56"/>
  <c r="B4" i="56"/>
  <c r="B12" i="56"/>
  <c r="B9" i="56"/>
  <c r="B2" i="56"/>
  <c r="G3" i="57"/>
  <c r="G4" i="57"/>
  <c r="G5" i="57"/>
  <c r="G6" i="57"/>
  <c r="G8" i="57"/>
  <c r="G2" i="57"/>
  <c r="C4" i="57"/>
  <c r="C6" i="57"/>
  <c r="A1" i="57"/>
  <c r="I6" i="57"/>
  <c r="I8" i="57"/>
  <c r="B47" i="57"/>
  <c r="E47" i="57" s="1"/>
  <c r="I47" i="57" s="1"/>
  <c r="O47" i="57"/>
  <c r="D47" i="57"/>
  <c r="O48" i="57"/>
  <c r="C8" i="57"/>
  <c r="C9" i="57"/>
  <c r="C2" i="57"/>
  <c r="P28" i="57"/>
  <c r="P29" i="57"/>
  <c r="P33" i="57"/>
  <c r="P34" i="57"/>
  <c r="P37" i="57"/>
  <c r="P38" i="57"/>
  <c r="P41" i="57"/>
  <c r="P42" i="57"/>
  <c r="P45" i="57"/>
  <c r="F47" i="57"/>
  <c r="P26" i="57"/>
  <c r="C5" i="57"/>
  <c r="G7" i="57"/>
  <c r="I7" i="57" s="1"/>
  <c r="D26" i="59"/>
  <c r="D27" i="59"/>
  <c r="H27" i="57" s="1"/>
  <c r="D28" i="59"/>
  <c r="H28" i="57"/>
  <c r="D29" i="59"/>
  <c r="H29" i="57" s="1"/>
  <c r="D30" i="59"/>
  <c r="H30" i="57" s="1"/>
  <c r="D31" i="59"/>
  <c r="H31" i="57" s="1"/>
  <c r="D32" i="59"/>
  <c r="D33" i="59"/>
  <c r="H33" i="57" s="1"/>
  <c r="D34" i="59"/>
  <c r="O10" i="63" s="1"/>
  <c r="H34" i="57"/>
  <c r="D35" i="59"/>
  <c r="H35" i="57" s="1"/>
  <c r="D36" i="59"/>
  <c r="H36" i="57"/>
  <c r="D37" i="59"/>
  <c r="H37" i="57" s="1"/>
  <c r="D38" i="59"/>
  <c r="H38" i="57" s="1"/>
  <c r="D39" i="59"/>
  <c r="H39" i="57" s="1"/>
  <c r="D40" i="59"/>
  <c r="H40" i="57" s="1"/>
  <c r="D41" i="59"/>
  <c r="H41" i="57" s="1"/>
  <c r="D42" i="59"/>
  <c r="D43" i="59"/>
  <c r="H43" i="57" s="1"/>
  <c r="D44" i="59"/>
  <c r="H44" i="57" s="1"/>
  <c r="D45" i="59"/>
  <c r="H45" i="57" s="1"/>
  <c r="D46" i="59"/>
  <c r="I6" i="60"/>
  <c r="I7" i="60"/>
  <c r="I8" i="60"/>
  <c r="E12" i="60"/>
  <c r="I21" i="60"/>
  <c r="I22" i="60"/>
  <c r="I23" i="60"/>
  <c r="I24" i="60"/>
  <c r="I25" i="60"/>
  <c r="I26" i="60"/>
  <c r="I27" i="60"/>
  <c r="I28" i="60"/>
  <c r="I29" i="60"/>
  <c r="J21" i="60"/>
  <c r="J22" i="60"/>
  <c r="J23" i="60"/>
  <c r="J24" i="60"/>
  <c r="J25" i="60"/>
  <c r="J26" i="60"/>
  <c r="J27" i="60"/>
  <c r="J28" i="60"/>
  <c r="J29" i="60"/>
  <c r="E16" i="60"/>
  <c r="M22" i="60"/>
  <c r="M23" i="60"/>
  <c r="M24" i="60"/>
  <c r="M25" i="60"/>
  <c r="M26" i="60"/>
  <c r="M27" i="60"/>
  <c r="M28" i="60"/>
  <c r="M29" i="60"/>
  <c r="M21" i="60"/>
  <c r="A22" i="63"/>
  <c r="A25" i="63"/>
  <c r="A26" i="63"/>
  <c r="A27" i="63"/>
  <c r="A28" i="63"/>
  <c r="B14" i="55"/>
  <c r="A21" i="55" s="1"/>
  <c r="A22" i="55" s="1"/>
  <c r="C26" i="63" s="1"/>
  <c r="A23" i="55"/>
  <c r="C25" i="63"/>
  <c r="B5" i="51"/>
  <c r="B5" i="49"/>
  <c r="B5" i="45"/>
  <c r="B5" i="39"/>
  <c r="K25" i="63"/>
  <c r="O2" i="63"/>
  <c r="F26" i="59"/>
  <c r="O47" i="63" s="1"/>
  <c r="O3" i="63"/>
  <c r="F27" i="59"/>
  <c r="O46" i="63" s="1"/>
  <c r="O4" i="63"/>
  <c r="F28" i="59"/>
  <c r="O45" i="63" s="1"/>
  <c r="O5" i="63"/>
  <c r="F29" i="59"/>
  <c r="O44" i="63"/>
  <c r="O6" i="63"/>
  <c r="F30" i="59"/>
  <c r="O43" i="63" s="1"/>
  <c r="O7" i="63"/>
  <c r="F31" i="59"/>
  <c r="O42" i="63"/>
  <c r="F32" i="59"/>
  <c r="O41" i="63" s="1"/>
  <c r="O9" i="63"/>
  <c r="F33" i="59"/>
  <c r="O40" i="63" s="1"/>
  <c r="F34" i="59"/>
  <c r="O39" i="63" s="1"/>
  <c r="O11" i="63"/>
  <c r="F35" i="59"/>
  <c r="O38" i="63"/>
  <c r="O12" i="63"/>
  <c r="F36" i="59"/>
  <c r="O13" i="63"/>
  <c r="F37" i="59"/>
  <c r="O36" i="63" s="1"/>
  <c r="O14" i="63"/>
  <c r="F38" i="59"/>
  <c r="O15" i="63"/>
  <c r="F39" i="59"/>
  <c r="O16" i="63"/>
  <c r="F40" i="59"/>
  <c r="O33" i="63"/>
  <c r="O17" i="63"/>
  <c r="F41" i="59"/>
  <c r="O32" i="63"/>
  <c r="F42" i="59"/>
  <c r="O31" i="63"/>
  <c r="O19" i="63"/>
  <c r="F43" i="59"/>
  <c r="O30" i="63" s="1"/>
  <c r="F44" i="59"/>
  <c r="O20" i="63"/>
  <c r="F45" i="59"/>
  <c r="O28" i="63"/>
  <c r="O21" i="63"/>
  <c r="F46" i="59"/>
  <c r="O27" i="63" s="1"/>
  <c r="G42" i="59"/>
  <c r="G43" i="59"/>
  <c r="G40" i="59"/>
  <c r="D25" i="59"/>
  <c r="F25" i="59"/>
  <c r="G27" i="59"/>
  <c r="G28" i="59"/>
  <c r="G29" i="59"/>
  <c r="G30" i="59"/>
  <c r="G31" i="59"/>
  <c r="G34" i="59"/>
  <c r="G35" i="59"/>
  <c r="G37" i="59"/>
  <c r="B5" i="34"/>
  <c r="B5" i="36"/>
  <c r="B14" i="36"/>
  <c r="B5" i="37"/>
  <c r="B5" i="38"/>
  <c r="B14" i="38"/>
  <c r="B5" i="40"/>
  <c r="B14" i="40"/>
  <c r="B5" i="41"/>
  <c r="B14" i="41"/>
  <c r="B5" i="42"/>
  <c r="B14" i="42" s="1"/>
  <c r="B5" i="43"/>
  <c r="B5" i="44"/>
  <c r="B14" i="44"/>
  <c r="B5" i="46"/>
  <c r="B14" i="46"/>
  <c r="B5" i="47"/>
  <c r="B12" i="47" s="1"/>
  <c r="B14" i="47"/>
  <c r="B5" i="48"/>
  <c r="B14" i="48"/>
  <c r="B5" i="50"/>
  <c r="B14" i="50" s="1"/>
  <c r="B5" i="52"/>
  <c r="B14" i="52"/>
  <c r="B5" i="53"/>
  <c r="B5" i="54"/>
  <c r="B14" i="54"/>
  <c r="C12" i="54" s="1"/>
  <c r="C8" i="58"/>
  <c r="B5" i="58"/>
  <c r="F23" i="58"/>
  <c r="F43" i="58"/>
  <c r="F24" i="58"/>
  <c r="F26" i="58"/>
  <c r="F27" i="58"/>
  <c r="F28" i="58"/>
  <c r="F29" i="58"/>
  <c r="F31" i="58"/>
  <c r="F32" i="58"/>
  <c r="F34" i="58"/>
  <c r="F35" i="58"/>
  <c r="F36" i="58"/>
  <c r="F37" i="58"/>
  <c r="F39" i="58"/>
  <c r="F40" i="58"/>
  <c r="U42" i="58"/>
  <c r="U41" i="58"/>
  <c r="U40" i="58"/>
  <c r="U39" i="58"/>
  <c r="U38" i="58"/>
  <c r="U37" i="58"/>
  <c r="U36" i="58"/>
  <c r="U35" i="58"/>
  <c r="U34" i="58"/>
  <c r="U33" i="58"/>
  <c r="U32" i="58"/>
  <c r="U31" i="58"/>
  <c r="U30" i="58"/>
  <c r="U29" i="58"/>
  <c r="U28" i="58"/>
  <c r="U27" i="58"/>
  <c r="U26" i="58"/>
  <c r="U25" i="58"/>
  <c r="U24" i="58"/>
  <c r="U23" i="58"/>
  <c r="J2" i="58"/>
  <c r="C16" i="58"/>
  <c r="C15" i="58"/>
  <c r="F9" i="58"/>
  <c r="F8" i="58"/>
  <c r="G8" i="58" s="1"/>
  <c r="F6" i="58"/>
  <c r="G6" i="58" s="1"/>
  <c r="B6" i="58"/>
  <c r="A1" i="58"/>
  <c r="B8" i="58"/>
  <c r="B7" i="58"/>
  <c r="B9" i="58"/>
  <c r="B2" i="58"/>
  <c r="F7" i="58"/>
  <c r="G7" i="58"/>
  <c r="D23" i="58"/>
  <c r="U43" i="58"/>
  <c r="A1" i="43"/>
  <c r="F9" i="43"/>
  <c r="F8" i="43"/>
  <c r="F6" i="43"/>
  <c r="B6" i="43"/>
  <c r="G6" i="43"/>
  <c r="G8" i="43"/>
  <c r="B8" i="43"/>
  <c r="B7" i="43"/>
  <c r="B9" i="43"/>
  <c r="B2" i="43"/>
  <c r="F7" i="43"/>
  <c r="G7" i="43" s="1"/>
  <c r="A1" i="44"/>
  <c r="F9" i="44"/>
  <c r="F8" i="44"/>
  <c r="F6" i="44"/>
  <c r="G6" i="44" s="1"/>
  <c r="B6" i="44"/>
  <c r="G8" i="44"/>
  <c r="B8" i="44"/>
  <c r="B7" i="44"/>
  <c r="B9" i="44"/>
  <c r="B2" i="44"/>
  <c r="B12" i="44"/>
  <c r="L13" i="44" s="1"/>
  <c r="F7" i="44"/>
  <c r="G7" i="44"/>
  <c r="A1" i="45"/>
  <c r="F9" i="45"/>
  <c r="F8" i="45"/>
  <c r="F6" i="45"/>
  <c r="G6" i="45" s="1"/>
  <c r="B6" i="45"/>
  <c r="B8" i="45"/>
  <c r="B7" i="45"/>
  <c r="B9" i="45"/>
  <c r="B2" i="45"/>
  <c r="B12" i="45"/>
  <c r="L13" i="45" s="1"/>
  <c r="F7" i="45"/>
  <c r="G7" i="45"/>
  <c r="A1" i="46"/>
  <c r="F9" i="46"/>
  <c r="F8" i="46"/>
  <c r="F6" i="46"/>
  <c r="B6" i="46"/>
  <c r="G6" i="46"/>
  <c r="G8" i="46"/>
  <c r="B8" i="46"/>
  <c r="B7" i="46"/>
  <c r="B9" i="46"/>
  <c r="B2" i="46"/>
  <c r="B12" i="46"/>
  <c r="L13" i="46" s="1"/>
  <c r="L14" i="46"/>
  <c r="F7" i="46"/>
  <c r="G7" i="46" s="1"/>
  <c r="A1" i="47"/>
  <c r="F9" i="47"/>
  <c r="F8" i="47"/>
  <c r="F6" i="47"/>
  <c r="G6" i="47" s="1"/>
  <c r="B6" i="47"/>
  <c r="B8" i="47"/>
  <c r="B7" i="47"/>
  <c r="B9" i="47"/>
  <c r="B2" i="47"/>
  <c r="L13" i="47"/>
  <c r="F7" i="47"/>
  <c r="G7" i="47"/>
  <c r="A21" i="48"/>
  <c r="A22" i="48" s="1"/>
  <c r="A23" i="48" s="1"/>
  <c r="A24" i="48" s="1"/>
  <c r="A25" i="48" s="1"/>
  <c r="A26" i="48" s="1"/>
  <c r="A27" i="48"/>
  <c r="A28" i="48" s="1"/>
  <c r="A29" i="48" s="1"/>
  <c r="A30" i="48" s="1"/>
  <c r="A31" i="48" s="1"/>
  <c r="A32" i="48" s="1"/>
  <c r="A33" i="48" s="1"/>
  <c r="A34" i="48" s="1"/>
  <c r="A35" i="48"/>
  <c r="A36" i="48" s="1"/>
  <c r="A37" i="48" s="1"/>
  <c r="A38" i="48" s="1"/>
  <c r="A39" i="48" s="1"/>
  <c r="A40" i="48" s="1"/>
  <c r="A41" i="48" s="1"/>
  <c r="A42" i="48" s="1"/>
  <c r="A43" i="48" s="1"/>
  <c r="A44" i="48" s="1"/>
  <c r="A45" i="48" s="1"/>
  <c r="A46" i="48" s="1"/>
  <c r="A47" i="48" s="1"/>
  <c r="A48" i="48" s="1"/>
  <c r="A49" i="48" s="1"/>
  <c r="A50" i="48" s="1"/>
  <c r="A51" i="48" s="1"/>
  <c r="A52" i="48" s="1"/>
  <c r="A53" i="48" s="1"/>
  <c r="A54" i="48" s="1"/>
  <c r="A55" i="48" s="1"/>
  <c r="A56" i="48" s="1"/>
  <c r="A57" i="48" s="1"/>
  <c r="A58" i="48" s="1"/>
  <c r="A59" i="48" s="1"/>
  <c r="A60" i="48" s="1"/>
  <c r="A61" i="48" s="1"/>
  <c r="A62" i="48" s="1"/>
  <c r="A63" i="48" s="1"/>
  <c r="A64" i="48" s="1"/>
  <c r="A65" i="48" s="1"/>
  <c r="A66" i="48" s="1"/>
  <c r="A67" i="48" s="1"/>
  <c r="A68" i="48" s="1"/>
  <c r="A69" i="48" s="1"/>
  <c r="A70" i="48" s="1"/>
  <c r="A71" i="48" s="1"/>
  <c r="A72" i="48" s="1"/>
  <c r="A73" i="48" s="1"/>
  <c r="A74" i="48" s="1"/>
  <c r="A75" i="48" s="1"/>
  <c r="A76" i="48" s="1"/>
  <c r="A77" i="48" s="1"/>
  <c r="A78" i="48" s="1"/>
  <c r="A79" i="48" s="1"/>
  <c r="A80" i="48" s="1"/>
  <c r="A81" i="48" s="1"/>
  <c r="A82" i="48" s="1"/>
  <c r="A83" i="48" s="1"/>
  <c r="A84" i="48" s="1"/>
  <c r="A85" i="48" s="1"/>
  <c r="A86" i="48" s="1"/>
  <c r="A1" i="48"/>
  <c r="F9" i="48"/>
  <c r="F8" i="48"/>
  <c r="F6" i="48"/>
  <c r="B6" i="48"/>
  <c r="G6" i="48"/>
  <c r="G8" i="48"/>
  <c r="L13" i="48"/>
  <c r="B8" i="48"/>
  <c r="B7" i="48"/>
  <c r="B9" i="48"/>
  <c r="B2" i="48"/>
  <c r="L14" i="48"/>
  <c r="F7" i="48"/>
  <c r="G7" i="48"/>
  <c r="A1" i="49"/>
  <c r="F9" i="49"/>
  <c r="F8" i="49"/>
  <c r="F6" i="49"/>
  <c r="G6" i="49" s="1"/>
  <c r="B6" i="49"/>
  <c r="G8" i="49"/>
  <c r="B8" i="49"/>
  <c r="B7" i="49"/>
  <c r="B9" i="49"/>
  <c r="B2" i="49"/>
  <c r="B12" i="49"/>
  <c r="L13" i="49" s="1"/>
  <c r="F7" i="49"/>
  <c r="G7" i="49" s="1"/>
  <c r="A1" i="50"/>
  <c r="A11" i="50"/>
  <c r="F9" i="50"/>
  <c r="F8" i="50"/>
  <c r="F6" i="50"/>
  <c r="G6" i="50" s="1"/>
  <c r="B6" i="50"/>
  <c r="G8" i="50"/>
  <c r="B8" i="50"/>
  <c r="B7" i="50"/>
  <c r="B9" i="50"/>
  <c r="B2" i="50"/>
  <c r="B12" i="50"/>
  <c r="L13" i="50" s="1"/>
  <c r="F7" i="50"/>
  <c r="G7" i="50"/>
  <c r="A1" i="51"/>
  <c r="F9" i="51"/>
  <c r="F8" i="51"/>
  <c r="F6" i="51"/>
  <c r="G6" i="51" s="1"/>
  <c r="B6" i="51"/>
  <c r="B8" i="51"/>
  <c r="B7" i="51"/>
  <c r="B9" i="51"/>
  <c r="B2" i="51"/>
  <c r="B12" i="51"/>
  <c r="L13" i="51" s="1"/>
  <c r="F7" i="51"/>
  <c r="G7" i="51"/>
  <c r="A11" i="52"/>
  <c r="F9" i="52"/>
  <c r="F8" i="52"/>
  <c r="F6" i="52"/>
  <c r="G6" i="52" s="1"/>
  <c r="B6" i="52"/>
  <c r="G8" i="52"/>
  <c r="B8" i="52"/>
  <c r="B7" i="52"/>
  <c r="B9" i="52"/>
  <c r="B2" i="52"/>
  <c r="B12" i="52"/>
  <c r="L13" i="52" s="1"/>
  <c r="L14" i="52"/>
  <c r="F7" i="52"/>
  <c r="G7" i="52" s="1"/>
  <c r="A1" i="35"/>
  <c r="F9" i="35"/>
  <c r="F8" i="35"/>
  <c r="F6" i="35"/>
  <c r="G6" i="35"/>
  <c r="G8" i="35"/>
  <c r="L14" i="35"/>
  <c r="F7" i="35"/>
  <c r="G7" i="35" s="1"/>
  <c r="A1" i="53"/>
  <c r="A94" i="53"/>
  <c r="A95" i="53" s="1"/>
  <c r="A96" i="53" s="1"/>
  <c r="A97" i="53" s="1"/>
  <c r="A98" i="53"/>
  <c r="A99" i="53" s="1"/>
  <c r="A100" i="53" s="1"/>
  <c r="A101" i="53" s="1"/>
  <c r="A102" i="53" s="1"/>
  <c r="A103" i="53" s="1"/>
  <c r="A104" i="53" s="1"/>
  <c r="A105" i="53" s="1"/>
  <c r="A106" i="53" s="1"/>
  <c r="A107" i="53" s="1"/>
  <c r="A108" i="53" s="1"/>
  <c r="A109" i="53" s="1"/>
  <c r="A110" i="53" s="1"/>
  <c r="A111" i="53" s="1"/>
  <c r="A112" i="53" s="1"/>
  <c r="A113" i="53" s="1"/>
  <c r="A114" i="53" s="1"/>
  <c r="A115" i="53" s="1"/>
  <c r="A116" i="53" s="1"/>
  <c r="A117" i="53" s="1"/>
  <c r="A118" i="53" s="1"/>
  <c r="A119" i="53" s="1"/>
  <c r="A120" i="53" s="1"/>
  <c r="A121" i="53" s="1"/>
  <c r="A122" i="53" s="1"/>
  <c r="F9" i="53"/>
  <c r="F8" i="53"/>
  <c r="F6" i="53"/>
  <c r="G6" i="53" s="1"/>
  <c r="B6" i="53"/>
  <c r="B8" i="53"/>
  <c r="B7" i="53"/>
  <c r="B9" i="53"/>
  <c r="B2" i="53"/>
  <c r="B12" i="53"/>
  <c r="L13" i="53"/>
  <c r="F7" i="53"/>
  <c r="G7" i="53"/>
  <c r="A22" i="54"/>
  <c r="A23" i="54"/>
  <c r="A24" i="54" s="1"/>
  <c r="A25" i="54" s="1"/>
  <c r="A26" i="54" s="1"/>
  <c r="A27" i="54"/>
  <c r="A28" i="54"/>
  <c r="A29" i="54" s="1"/>
  <c r="A30" i="54" s="1"/>
  <c r="A31" i="54" s="1"/>
  <c r="A32" i="54" s="1"/>
  <c r="A33" i="54" s="1"/>
  <c r="A34" i="54" s="1"/>
  <c r="A35" i="54" s="1"/>
  <c r="A36" i="54" s="1"/>
  <c r="A37" i="54" s="1"/>
  <c r="A38" i="54" s="1"/>
  <c r="A39" i="54" s="1"/>
  <c r="A40" i="54" s="1"/>
  <c r="A41" i="54" s="1"/>
  <c r="A42" i="54" s="1"/>
  <c r="A43" i="54" s="1"/>
  <c r="A44" i="54" s="1"/>
  <c r="A45" i="54" s="1"/>
  <c r="A46" i="54" s="1"/>
  <c r="A47" i="54" s="1"/>
  <c r="A48" i="54" s="1"/>
  <c r="A49" i="54" s="1"/>
  <c r="A50" i="54" s="1"/>
  <c r="A51" i="54" s="1"/>
  <c r="A52" i="54" s="1"/>
  <c r="A53" i="54" s="1"/>
  <c r="A54" i="54" s="1"/>
  <c r="A55" i="54" s="1"/>
  <c r="A56" i="54" s="1"/>
  <c r="A57" i="54" s="1"/>
  <c r="A58" i="54" s="1"/>
  <c r="A59" i="54" s="1"/>
  <c r="A60" i="54" s="1"/>
  <c r="A61" i="54" s="1"/>
  <c r="A62" i="54" s="1"/>
  <c r="A63" i="54" s="1"/>
  <c r="A64" i="54" s="1"/>
  <c r="A65" i="54" s="1"/>
  <c r="A66" i="54" s="1"/>
  <c r="A67" i="54" s="1"/>
  <c r="A68" i="54" s="1"/>
  <c r="A69" i="54" s="1"/>
  <c r="A70" i="54" s="1"/>
  <c r="A71" i="54" s="1"/>
  <c r="A72" i="54" s="1"/>
  <c r="A73" i="54" s="1"/>
  <c r="A74" i="54" s="1"/>
  <c r="A75" i="54" s="1"/>
  <c r="A76" i="54" s="1"/>
  <c r="A77" i="54" s="1"/>
  <c r="A78" i="54" s="1"/>
  <c r="A79" i="54" s="1"/>
  <c r="A80" i="54" s="1"/>
  <c r="A81" i="54" s="1"/>
  <c r="A82" i="54" s="1"/>
  <c r="A83" i="54" s="1"/>
  <c r="A84" i="54" s="1"/>
  <c r="A85" i="54" s="1"/>
  <c r="A86" i="54" s="1"/>
  <c r="A1" i="54"/>
  <c r="F9" i="54"/>
  <c r="F8" i="54"/>
  <c r="F6" i="54"/>
  <c r="B6" i="54"/>
  <c r="G6" i="54"/>
  <c r="G8" i="54"/>
  <c r="B8" i="54"/>
  <c r="B7" i="54"/>
  <c r="B9" i="54"/>
  <c r="B2" i="54"/>
  <c r="B12" i="54"/>
  <c r="L13" i="54" s="1"/>
  <c r="L14" i="54"/>
  <c r="F7" i="54"/>
  <c r="G7" i="54" s="1"/>
  <c r="A21" i="36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1" i="36"/>
  <c r="F9" i="36"/>
  <c r="F8" i="36"/>
  <c r="F6" i="36"/>
  <c r="B6" i="36"/>
  <c r="G6" i="36"/>
  <c r="G8" i="36"/>
  <c r="B8" i="36"/>
  <c r="B7" i="36"/>
  <c r="B9" i="36"/>
  <c r="B2" i="36"/>
  <c r="B12" i="36"/>
  <c r="L13" i="36"/>
  <c r="L14" i="36"/>
  <c r="F7" i="36"/>
  <c r="G7" i="36"/>
  <c r="A1" i="37"/>
  <c r="F9" i="37"/>
  <c r="F8" i="37"/>
  <c r="F6" i="37"/>
  <c r="G6" i="37" s="1"/>
  <c r="B6" i="37"/>
  <c r="G8" i="37"/>
  <c r="B8" i="37"/>
  <c r="B7" i="37"/>
  <c r="B9" i="37"/>
  <c r="B2" i="37"/>
  <c r="B12" i="37"/>
  <c r="L13" i="37" s="1"/>
  <c r="F7" i="37"/>
  <c r="G7" i="37" s="1"/>
  <c r="A1" i="38"/>
  <c r="F9" i="38"/>
  <c r="F8" i="38"/>
  <c r="F6" i="38"/>
  <c r="B6" i="38"/>
  <c r="G6" i="38"/>
  <c r="G8" i="38"/>
  <c r="B8" i="38"/>
  <c r="B7" i="38"/>
  <c r="B9" i="38"/>
  <c r="B2" i="38"/>
  <c r="B12" i="38"/>
  <c r="L13" i="38"/>
  <c r="L14" i="38"/>
  <c r="F7" i="38"/>
  <c r="G7" i="38" s="1"/>
  <c r="A1" i="39"/>
  <c r="F9" i="39"/>
  <c r="F8" i="39"/>
  <c r="F6" i="39"/>
  <c r="B6" i="39"/>
  <c r="G6" i="39"/>
  <c r="G8" i="39"/>
  <c r="B8" i="39"/>
  <c r="B7" i="39"/>
  <c r="B9" i="39"/>
  <c r="B2" i="39"/>
  <c r="B12" i="39"/>
  <c r="L13" i="39"/>
  <c r="L14" i="39"/>
  <c r="F7" i="39"/>
  <c r="G7" i="39" s="1"/>
  <c r="A21" i="40"/>
  <c r="A22" i="40" s="1"/>
  <c r="A23" i="40" s="1"/>
  <c r="A24" i="40"/>
  <c r="A25" i="40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A54" i="40" s="1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1" i="40"/>
  <c r="F9" i="40"/>
  <c r="F8" i="40"/>
  <c r="G8" i="40" s="1"/>
  <c r="F6" i="40"/>
  <c r="G6" i="40" s="1"/>
  <c r="B6" i="40"/>
  <c r="B8" i="40"/>
  <c r="B7" i="40"/>
  <c r="B9" i="40"/>
  <c r="B2" i="40"/>
  <c r="B12" i="40"/>
  <c r="L13" i="40" s="1"/>
  <c r="F7" i="40"/>
  <c r="G7" i="40"/>
  <c r="A1" i="41"/>
  <c r="F9" i="41"/>
  <c r="F8" i="41"/>
  <c r="F6" i="41"/>
  <c r="B6" i="41"/>
  <c r="G6" i="41"/>
  <c r="G8" i="41"/>
  <c r="B8" i="41"/>
  <c r="B7" i="41"/>
  <c r="B9" i="41"/>
  <c r="B2" i="41"/>
  <c r="B12" i="41"/>
  <c r="L13" i="41" s="1"/>
  <c r="L14" i="41"/>
  <c r="F7" i="41"/>
  <c r="G7" i="41" s="1"/>
  <c r="A21" i="42"/>
  <c r="A22" i="42"/>
  <c r="A23" i="42" s="1"/>
  <c r="A24" i="42" s="1"/>
  <c r="A25" i="42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A36" i="42" s="1"/>
  <c r="A37" i="42" s="1"/>
  <c r="A38" i="42" s="1"/>
  <c r="A39" i="42" s="1"/>
  <c r="A40" i="42" s="1"/>
  <c r="A41" i="42" s="1"/>
  <c r="A42" i="42" s="1"/>
  <c r="A43" i="42" s="1"/>
  <c r="A44" i="42" s="1"/>
  <c r="A45" i="42" s="1"/>
  <c r="A46" i="42" s="1"/>
  <c r="A47" i="42" s="1"/>
  <c r="A48" i="42" s="1"/>
  <c r="A49" i="42" s="1"/>
  <c r="A50" i="42" s="1"/>
  <c r="A51" i="42" s="1"/>
  <c r="A52" i="42" s="1"/>
  <c r="A53" i="42" s="1"/>
  <c r="A54" i="42" s="1"/>
  <c r="A55" i="42" s="1"/>
  <c r="A56" i="42" s="1"/>
  <c r="A57" i="42" s="1"/>
  <c r="A58" i="42" s="1"/>
  <c r="A59" i="42" s="1"/>
  <c r="A60" i="42" s="1"/>
  <c r="A61" i="42" s="1"/>
  <c r="A62" i="42" s="1"/>
  <c r="A63" i="42" s="1"/>
  <c r="A64" i="42" s="1"/>
  <c r="A65" i="42" s="1"/>
  <c r="A66" i="42" s="1"/>
  <c r="A67" i="42" s="1"/>
  <c r="A68" i="42" s="1"/>
  <c r="A69" i="42" s="1"/>
  <c r="A70" i="42" s="1"/>
  <c r="A71" i="42" s="1"/>
  <c r="A72" i="42" s="1"/>
  <c r="A73" i="42" s="1"/>
  <c r="A74" i="42" s="1"/>
  <c r="A75" i="42" s="1"/>
  <c r="A76" i="42" s="1"/>
  <c r="A77" i="42" s="1"/>
  <c r="A78" i="42" s="1"/>
  <c r="A79" i="42" s="1"/>
  <c r="A80" i="42" s="1"/>
  <c r="A81" i="42" s="1"/>
  <c r="A82" i="42" s="1"/>
  <c r="A83" i="42" s="1"/>
  <c r="A84" i="42" s="1"/>
  <c r="A85" i="42" s="1"/>
  <c r="A86" i="42" s="1"/>
  <c r="A1" i="42"/>
  <c r="F9" i="42"/>
  <c r="F8" i="42"/>
  <c r="F6" i="42"/>
  <c r="G6" i="42" s="1"/>
  <c r="B6" i="42"/>
  <c r="G8" i="42"/>
  <c r="B8" i="42"/>
  <c r="B7" i="42"/>
  <c r="B9" i="42"/>
  <c r="B2" i="42"/>
  <c r="B12" i="42"/>
  <c r="L13" i="42"/>
  <c r="L14" i="42"/>
  <c r="F7" i="42"/>
  <c r="G7" i="42"/>
  <c r="C8" i="55"/>
  <c r="D7" i="55" s="1"/>
  <c r="A1" i="55"/>
  <c r="C16" i="55"/>
  <c r="C15" i="55"/>
  <c r="F9" i="55"/>
  <c r="F8" i="55"/>
  <c r="G8" i="55" s="1"/>
  <c r="F6" i="55"/>
  <c r="B6" i="55"/>
  <c r="G6" i="55"/>
  <c r="B7" i="55"/>
  <c r="B8" i="55"/>
  <c r="B9" i="55"/>
  <c r="B2" i="55"/>
  <c r="F7" i="55"/>
  <c r="G7" i="55" s="1"/>
  <c r="B7" i="34"/>
  <c r="B8" i="34"/>
  <c r="A1" i="34"/>
  <c r="F6" i="34"/>
  <c r="F9" i="34"/>
  <c r="F8" i="34"/>
  <c r="F7" i="34"/>
  <c r="B9" i="34"/>
  <c r="B6" i="34"/>
  <c r="B2" i="34"/>
  <c r="G6" i="34"/>
  <c r="G7" i="34"/>
  <c r="G8" i="34"/>
  <c r="B12" i="34"/>
  <c r="L13" i="34"/>
  <c r="B1" i="62"/>
  <c r="C8" i="62"/>
  <c r="B20" i="62"/>
  <c r="C3" i="62"/>
  <c r="D20" i="62"/>
  <c r="C4" i="62"/>
  <c r="C5" i="62"/>
  <c r="C6" i="62"/>
  <c r="C7" i="62"/>
  <c r="C9" i="62"/>
  <c r="C2" i="62"/>
  <c r="D21" i="62"/>
  <c r="D22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O29" i="63" l="1"/>
  <c r="G44" i="59"/>
  <c r="F41" i="58"/>
  <c r="B16" i="55"/>
  <c r="B15" i="55"/>
  <c r="B41" i="62"/>
  <c r="G41" i="62" s="1"/>
  <c r="G20" i="62"/>
  <c r="L14" i="47"/>
  <c r="A21" i="47"/>
  <c r="A22" i="47" s="1"/>
  <c r="A23" i="47" s="1"/>
  <c r="A24" i="47" s="1"/>
  <c r="A25" i="47" s="1"/>
  <c r="A26" i="47" s="1"/>
  <c r="A27" i="47" s="1"/>
  <c r="A28" i="47" s="1"/>
  <c r="A29" i="47" s="1"/>
  <c r="A30" i="47" s="1"/>
  <c r="A31" i="47" s="1"/>
  <c r="A32" i="47" s="1"/>
  <c r="A33" i="47" s="1"/>
  <c r="A34" i="47" s="1"/>
  <c r="A35" i="47" s="1"/>
  <c r="A36" i="47" s="1"/>
  <c r="A37" i="47" s="1"/>
  <c r="A38" i="47" s="1"/>
  <c r="A39" i="47" s="1"/>
  <c r="A40" i="47" s="1"/>
  <c r="A41" i="47" s="1"/>
  <c r="A42" i="47" s="1"/>
  <c r="A43" i="47" s="1"/>
  <c r="A44" i="47" s="1"/>
  <c r="A45" i="47" s="1"/>
  <c r="A46" i="47" s="1"/>
  <c r="A47" i="47" s="1"/>
  <c r="A48" i="47" s="1"/>
  <c r="A49" i="47" s="1"/>
  <c r="A50" i="47" s="1"/>
  <c r="A51" i="47" s="1"/>
  <c r="A52" i="47" s="1"/>
  <c r="A53" i="47" s="1"/>
  <c r="A54" i="47" s="1"/>
  <c r="A55" i="47" s="1"/>
  <c r="A56" i="47" s="1"/>
  <c r="A57" i="47" s="1"/>
  <c r="A58" i="47" s="1"/>
  <c r="A59" i="47" s="1"/>
  <c r="A60" i="47" s="1"/>
  <c r="A61" i="47" s="1"/>
  <c r="A62" i="47" s="1"/>
  <c r="A63" i="47" s="1"/>
  <c r="A64" i="47" s="1"/>
  <c r="A65" i="47" s="1"/>
  <c r="A66" i="47" s="1"/>
  <c r="A67" i="47" s="1"/>
  <c r="A68" i="47" s="1"/>
  <c r="A69" i="47" s="1"/>
  <c r="A70" i="47" s="1"/>
  <c r="A71" i="47" s="1"/>
  <c r="A72" i="47" s="1"/>
  <c r="A73" i="47" s="1"/>
  <c r="A74" i="47" s="1"/>
  <c r="A75" i="47" s="1"/>
  <c r="A76" i="47" s="1"/>
  <c r="A77" i="47" s="1"/>
  <c r="A78" i="47" s="1"/>
  <c r="A79" i="47" s="1"/>
  <c r="A80" i="47" s="1"/>
  <c r="A81" i="47" s="1"/>
  <c r="A82" i="47" s="1"/>
  <c r="A83" i="47" s="1"/>
  <c r="A84" i="47" s="1"/>
  <c r="A85" i="47" s="1"/>
  <c r="A86" i="47" s="1"/>
  <c r="L14" i="44"/>
  <c r="A21" i="44"/>
  <c r="A22" i="44" s="1"/>
  <c r="A23" i="44" s="1"/>
  <c r="A24" i="44" s="1"/>
  <c r="A25" i="44" s="1"/>
  <c r="A26" i="44" s="1"/>
  <c r="A27" i="44" s="1"/>
  <c r="A28" i="44" s="1"/>
  <c r="A29" i="44" s="1"/>
  <c r="A30" i="44" s="1"/>
  <c r="A31" i="44" s="1"/>
  <c r="A32" i="44" s="1"/>
  <c r="A33" i="44" s="1"/>
  <c r="A34" i="44" s="1"/>
  <c r="A35" i="44" s="1"/>
  <c r="A36" i="44" s="1"/>
  <c r="A37" i="44" s="1"/>
  <c r="A38" i="44" s="1"/>
  <c r="A39" i="44" s="1"/>
  <c r="A40" i="44" s="1"/>
  <c r="A41" i="44" s="1"/>
  <c r="A42" i="44" s="1"/>
  <c r="A43" i="44" s="1"/>
  <c r="A44" i="44" s="1"/>
  <c r="A45" i="44" s="1"/>
  <c r="A46" i="44" s="1"/>
  <c r="A47" i="44" s="1"/>
  <c r="A48" i="44" s="1"/>
  <c r="A49" i="44" s="1"/>
  <c r="A50" i="44" s="1"/>
  <c r="A51" i="44" s="1"/>
  <c r="A52" i="44" s="1"/>
  <c r="A53" i="44" s="1"/>
  <c r="A54" i="44" s="1"/>
  <c r="A55" i="44" s="1"/>
  <c r="A56" i="44" s="1"/>
  <c r="A57" i="44" s="1"/>
  <c r="A58" i="44" s="1"/>
  <c r="A59" i="44" s="1"/>
  <c r="A60" i="44" s="1"/>
  <c r="A61" i="44" s="1"/>
  <c r="A62" i="44" s="1"/>
  <c r="A63" i="44" s="1"/>
  <c r="A64" i="44" s="1"/>
  <c r="A65" i="44" s="1"/>
  <c r="A66" i="44" s="1"/>
  <c r="A67" i="44" s="1"/>
  <c r="A68" i="44" s="1"/>
  <c r="A69" i="44" s="1"/>
  <c r="A70" i="44" s="1"/>
  <c r="A71" i="44" s="1"/>
  <c r="A72" i="44" s="1"/>
  <c r="A73" i="44" s="1"/>
  <c r="A74" i="44" s="1"/>
  <c r="A75" i="44" s="1"/>
  <c r="A76" i="44" s="1"/>
  <c r="A77" i="44" s="1"/>
  <c r="A78" i="44" s="1"/>
  <c r="A79" i="44" s="1"/>
  <c r="A80" i="44" s="1"/>
  <c r="A81" i="44" s="1"/>
  <c r="A82" i="44" s="1"/>
  <c r="A83" i="44" s="1"/>
  <c r="A84" i="44" s="1"/>
  <c r="A85" i="44" s="1"/>
  <c r="A86" i="44" s="1"/>
  <c r="A21" i="38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42" i="38" s="1"/>
  <c r="A43" i="38" s="1"/>
  <c r="A44" i="38" s="1"/>
  <c r="A45" i="38" s="1"/>
  <c r="A46" i="38" s="1"/>
  <c r="A47" i="38" s="1"/>
  <c r="A48" i="38" s="1"/>
  <c r="A49" i="38" s="1"/>
  <c r="A50" i="38" s="1"/>
  <c r="A51" i="38" s="1"/>
  <c r="A52" i="38" s="1"/>
  <c r="A53" i="38" s="1"/>
  <c r="A54" i="38" s="1"/>
  <c r="A55" i="38" s="1"/>
  <c r="A56" i="38" s="1"/>
  <c r="A57" i="38" s="1"/>
  <c r="A58" i="38" s="1"/>
  <c r="A59" i="38" s="1"/>
  <c r="A60" i="38" s="1"/>
  <c r="A61" i="38" s="1"/>
  <c r="A62" i="38" s="1"/>
  <c r="A63" i="38" s="1"/>
  <c r="A64" i="38" s="1"/>
  <c r="A65" i="38" s="1"/>
  <c r="A66" i="38" s="1"/>
  <c r="A67" i="38" s="1"/>
  <c r="A68" i="38" s="1"/>
  <c r="A69" i="38" s="1"/>
  <c r="A70" i="38" s="1"/>
  <c r="A71" i="38" s="1"/>
  <c r="A72" i="38" s="1"/>
  <c r="A73" i="38" s="1"/>
  <c r="A74" i="38" s="1"/>
  <c r="A75" i="38" s="1"/>
  <c r="A76" i="38" s="1"/>
  <c r="A77" i="38" s="1"/>
  <c r="A78" i="38" s="1"/>
  <c r="A79" i="38" s="1"/>
  <c r="A80" i="38" s="1"/>
  <c r="A81" i="38" s="1"/>
  <c r="A82" i="38" s="1"/>
  <c r="A83" i="38" s="1"/>
  <c r="A84" i="38" s="1"/>
  <c r="A85" i="38" s="1"/>
  <c r="A86" i="38" s="1"/>
  <c r="L14" i="40"/>
  <c r="B14" i="58"/>
  <c r="B12" i="58"/>
  <c r="L14" i="50"/>
  <c r="A21" i="50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A43" i="50" s="1"/>
  <c r="A44" i="50" s="1"/>
  <c r="A45" i="50" s="1"/>
  <c r="A46" i="50" s="1"/>
  <c r="A47" i="50" s="1"/>
  <c r="A48" i="50" s="1"/>
  <c r="A49" i="50" s="1"/>
  <c r="A50" i="50" s="1"/>
  <c r="A51" i="50" s="1"/>
  <c r="A52" i="50" s="1"/>
  <c r="A53" i="50" s="1"/>
  <c r="A54" i="50" s="1"/>
  <c r="A55" i="50" s="1"/>
  <c r="A56" i="50" s="1"/>
  <c r="A57" i="50" s="1"/>
  <c r="A58" i="50" s="1"/>
  <c r="A59" i="50" s="1"/>
  <c r="A60" i="50" s="1"/>
  <c r="A61" i="50" s="1"/>
  <c r="A62" i="50" s="1"/>
  <c r="A63" i="50" s="1"/>
  <c r="A64" i="50" s="1"/>
  <c r="A65" i="50" s="1"/>
  <c r="A66" i="50" s="1"/>
  <c r="A67" i="50" s="1"/>
  <c r="A68" i="50" s="1"/>
  <c r="A69" i="50" s="1"/>
  <c r="A70" i="50" s="1"/>
  <c r="A71" i="50" s="1"/>
  <c r="A72" i="50" s="1"/>
  <c r="A73" i="50" s="1"/>
  <c r="A74" i="50" s="1"/>
  <c r="A75" i="50" s="1"/>
  <c r="A76" i="50" s="1"/>
  <c r="A77" i="50" s="1"/>
  <c r="A78" i="50" s="1"/>
  <c r="A79" i="50" s="1"/>
  <c r="A80" i="50" s="1"/>
  <c r="A81" i="50" s="1"/>
  <c r="A82" i="50" s="1"/>
  <c r="A83" i="50" s="1"/>
  <c r="A84" i="50" s="1"/>
  <c r="A85" i="50" s="1"/>
  <c r="A86" i="50" s="1"/>
  <c r="O37" i="63"/>
  <c r="F33" i="58"/>
  <c r="A24" i="55"/>
  <c r="C27" i="63"/>
  <c r="G36" i="59"/>
  <c r="G41" i="59"/>
  <c r="F38" i="58"/>
  <c r="A21" i="4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21" i="52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36" i="52" s="1"/>
  <c r="A37" i="52" s="1"/>
  <c r="A38" i="52" s="1"/>
  <c r="A39" i="52" s="1"/>
  <c r="A40" i="52" s="1"/>
  <c r="A41" i="52" s="1"/>
  <c r="A42" i="52" s="1"/>
  <c r="A43" i="52" s="1"/>
  <c r="A44" i="52" s="1"/>
  <c r="A45" i="52" s="1"/>
  <c r="A46" i="52" s="1"/>
  <c r="A47" i="52" s="1"/>
  <c r="A48" i="52" s="1"/>
  <c r="A49" i="52" s="1"/>
  <c r="A50" i="52" s="1"/>
  <c r="A51" i="52" s="1"/>
  <c r="A52" i="52" s="1"/>
  <c r="A53" i="52" s="1"/>
  <c r="A54" i="52" s="1"/>
  <c r="A55" i="52" s="1"/>
  <c r="A56" i="52" s="1"/>
  <c r="A57" i="52" s="1"/>
  <c r="A58" i="52" s="1"/>
  <c r="A59" i="52" s="1"/>
  <c r="A60" i="52" s="1"/>
  <c r="A61" i="52" s="1"/>
  <c r="A62" i="52" s="1"/>
  <c r="A63" i="52" s="1"/>
  <c r="A64" i="52" s="1"/>
  <c r="A65" i="52" s="1"/>
  <c r="A66" i="52" s="1"/>
  <c r="A67" i="52" s="1"/>
  <c r="A68" i="52" s="1"/>
  <c r="A69" i="52" s="1"/>
  <c r="A70" i="52" s="1"/>
  <c r="A71" i="52" s="1"/>
  <c r="A72" i="52" s="1"/>
  <c r="A73" i="52" s="1"/>
  <c r="A74" i="52" s="1"/>
  <c r="A75" i="52" s="1"/>
  <c r="A76" i="52" s="1"/>
  <c r="A77" i="52" s="1"/>
  <c r="A78" i="52" s="1"/>
  <c r="A79" i="52" s="1"/>
  <c r="A80" i="52" s="1"/>
  <c r="A81" i="52" s="1"/>
  <c r="A82" i="52" s="1"/>
  <c r="A83" i="52" s="1"/>
  <c r="A84" i="52" s="1"/>
  <c r="A85" i="52" s="1"/>
  <c r="A86" i="52" s="1"/>
  <c r="A21" i="46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A36" i="46" s="1"/>
  <c r="A37" i="46" s="1"/>
  <c r="A38" i="46" s="1"/>
  <c r="A39" i="46" s="1"/>
  <c r="A40" i="46" s="1"/>
  <c r="A41" i="46" s="1"/>
  <c r="A42" i="46" s="1"/>
  <c r="A43" i="46" s="1"/>
  <c r="A44" i="46" s="1"/>
  <c r="A45" i="46" s="1"/>
  <c r="A46" i="46" s="1"/>
  <c r="A47" i="46" s="1"/>
  <c r="A48" i="46" s="1"/>
  <c r="A49" i="46" s="1"/>
  <c r="A50" i="46" s="1"/>
  <c r="A51" i="46" s="1"/>
  <c r="A52" i="46" s="1"/>
  <c r="A53" i="46" s="1"/>
  <c r="A54" i="46" s="1"/>
  <c r="A55" i="46" s="1"/>
  <c r="A56" i="46" s="1"/>
  <c r="A57" i="46" s="1"/>
  <c r="A58" i="46" s="1"/>
  <c r="A59" i="46" s="1"/>
  <c r="A60" i="46" s="1"/>
  <c r="A61" i="46" s="1"/>
  <c r="A62" i="46" s="1"/>
  <c r="A63" i="46" s="1"/>
  <c r="A64" i="46" s="1"/>
  <c r="A65" i="46" s="1"/>
  <c r="A66" i="46" s="1"/>
  <c r="A67" i="46" s="1"/>
  <c r="A68" i="46" s="1"/>
  <c r="A69" i="46" s="1"/>
  <c r="A70" i="46" s="1"/>
  <c r="A71" i="46" s="1"/>
  <c r="A72" i="46" s="1"/>
  <c r="A73" i="46" s="1"/>
  <c r="A74" i="46" s="1"/>
  <c r="A75" i="46" s="1"/>
  <c r="A76" i="46" s="1"/>
  <c r="A77" i="46" s="1"/>
  <c r="A78" i="46" s="1"/>
  <c r="A79" i="46" s="1"/>
  <c r="A80" i="46" s="1"/>
  <c r="A81" i="46" s="1"/>
  <c r="A82" i="46" s="1"/>
  <c r="A83" i="46" s="1"/>
  <c r="A84" i="46" s="1"/>
  <c r="A85" i="46" s="1"/>
  <c r="A86" i="46" s="1"/>
  <c r="O34" i="63"/>
  <c r="G39" i="59"/>
  <c r="H42" i="57"/>
  <c r="O18" i="63"/>
  <c r="H32" i="57"/>
  <c r="G32" i="59"/>
  <c r="O8" i="63"/>
  <c r="A23" i="33"/>
  <c r="B22" i="33"/>
  <c r="B14" i="34"/>
  <c r="B14" i="37"/>
  <c r="K26" i="63"/>
  <c r="A23" i="39"/>
  <c r="B12" i="43"/>
  <c r="L13" i="43" s="1"/>
  <c r="B14" i="43"/>
  <c r="B14" i="45"/>
  <c r="G8" i="45"/>
  <c r="B14" i="49"/>
  <c r="B14" i="51"/>
  <c r="G8" i="51"/>
  <c r="B14" i="53"/>
  <c r="G8" i="53"/>
  <c r="I2" i="55"/>
  <c r="B24" i="55"/>
  <c r="D28" i="63" s="1"/>
  <c r="B23" i="55"/>
  <c r="D27" i="63" s="1"/>
  <c r="F25" i="58"/>
  <c r="D7" i="58"/>
  <c r="F44" i="58" s="1"/>
  <c r="L44" i="58" s="1"/>
  <c r="G45" i="59"/>
  <c r="F42" i="58"/>
  <c r="O35" i="63"/>
  <c r="G38" i="59"/>
  <c r="H46" i="57"/>
  <c r="O22" i="63"/>
  <c r="G46" i="59"/>
  <c r="E14" i="57"/>
  <c r="C47" i="57"/>
  <c r="A26" i="56"/>
  <c r="A29" i="63"/>
  <c r="C25" i="56"/>
  <c r="G33" i="59"/>
  <c r="F30" i="58"/>
  <c r="H26" i="57"/>
  <c r="G26" i="59"/>
  <c r="E23" i="58"/>
  <c r="V23" i="58"/>
  <c r="I3" i="33"/>
  <c r="P3" i="33"/>
  <c r="P47" i="57"/>
  <c r="G47" i="57"/>
  <c r="B26" i="57"/>
  <c r="I2" i="34"/>
  <c r="G26" i="57"/>
  <c r="G31" i="57"/>
  <c r="G35" i="57"/>
  <c r="G39" i="57"/>
  <c r="G43" i="57"/>
  <c r="G30" i="57"/>
  <c r="G34" i="57"/>
  <c r="G38" i="57"/>
  <c r="G42" i="57"/>
  <c r="G46" i="57"/>
  <c r="P30" i="57"/>
  <c r="G29" i="57"/>
  <c r="G45" i="57"/>
  <c r="P31" i="57"/>
  <c r="P35" i="57"/>
  <c r="P39" i="57"/>
  <c r="P43" i="57"/>
  <c r="P46" i="57"/>
  <c r="P27" i="57"/>
  <c r="P32" i="57"/>
  <c r="P36" i="57"/>
  <c r="P40" i="57"/>
  <c r="P44" i="57"/>
  <c r="P48" i="57"/>
  <c r="B7" i="35"/>
  <c r="B7" i="56"/>
  <c r="B19" i="56" s="1"/>
  <c r="C7" i="57"/>
  <c r="I20" i="60"/>
  <c r="O8" i="33"/>
  <c r="N9" i="33"/>
  <c r="G41" i="57"/>
  <c r="I1" i="56"/>
  <c r="C23" i="56"/>
  <c r="C24" i="56"/>
  <c r="D7" i="56"/>
  <c r="R44" i="58"/>
  <c r="C23" i="58"/>
  <c r="G33" i="57"/>
  <c r="I1" i="35"/>
  <c r="B27" i="59"/>
  <c r="B24" i="58" s="1"/>
  <c r="I3" i="34"/>
  <c r="I3" i="55"/>
  <c r="B12" i="55"/>
  <c r="B13" i="55" s="1"/>
  <c r="M43" i="60"/>
  <c r="M47" i="60"/>
  <c r="M51" i="60"/>
  <c r="M55" i="60"/>
  <c r="M44" i="60"/>
  <c r="M48" i="60"/>
  <c r="M52" i="60"/>
  <c r="M56" i="60"/>
  <c r="G44" i="57"/>
  <c r="G40" i="57"/>
  <c r="G36" i="57"/>
  <c r="G32" i="57"/>
  <c r="G28" i="57"/>
  <c r="M40" i="60"/>
  <c r="M36" i="60"/>
  <c r="M32" i="60"/>
  <c r="M50" i="60"/>
  <c r="M49" i="60"/>
  <c r="M42" i="60"/>
  <c r="I4" i="55" l="1"/>
  <c r="I7" i="55"/>
  <c r="C41" i="62"/>
  <c r="I2" i="35"/>
  <c r="I3" i="35" s="1"/>
  <c r="B24" i="35"/>
  <c r="B28" i="35"/>
  <c r="B32" i="35"/>
  <c r="B36" i="35"/>
  <c r="B40" i="35"/>
  <c r="B44" i="35"/>
  <c r="B46" i="35"/>
  <c r="B48" i="35"/>
  <c r="B50" i="35"/>
  <c r="B52" i="35"/>
  <c r="B54" i="35"/>
  <c r="B56" i="35"/>
  <c r="B58" i="35"/>
  <c r="B60" i="35"/>
  <c r="B62" i="35"/>
  <c r="B64" i="35"/>
  <c r="B66" i="35"/>
  <c r="B68" i="35"/>
  <c r="B70" i="35"/>
  <c r="B72" i="35"/>
  <c r="B74" i="35"/>
  <c r="B76" i="35"/>
  <c r="B78" i="35"/>
  <c r="B80" i="35"/>
  <c r="B82" i="35"/>
  <c r="B84" i="35"/>
  <c r="B86" i="35"/>
  <c r="B27" i="57"/>
  <c r="B22" i="35"/>
  <c r="B25" i="35"/>
  <c r="B29" i="35"/>
  <c r="B33" i="35"/>
  <c r="B37" i="35"/>
  <c r="B41" i="35"/>
  <c r="B23" i="35"/>
  <c r="B31" i="35"/>
  <c r="B39" i="35"/>
  <c r="B45" i="35"/>
  <c r="B49" i="35"/>
  <c r="B53" i="35"/>
  <c r="B57" i="35"/>
  <c r="B61" i="35"/>
  <c r="B65" i="35"/>
  <c r="B69" i="35"/>
  <c r="B73" i="35"/>
  <c r="B77" i="35"/>
  <c r="B81" i="35"/>
  <c r="B85" i="35"/>
  <c r="B26" i="35"/>
  <c r="B34" i="35"/>
  <c r="B42" i="35"/>
  <c r="B21" i="35"/>
  <c r="B38" i="35"/>
  <c r="B47" i="35"/>
  <c r="B55" i="35"/>
  <c r="B63" i="35"/>
  <c r="B71" i="35"/>
  <c r="B79" i="35"/>
  <c r="B27" i="35"/>
  <c r="B43" i="35"/>
  <c r="B30" i="35"/>
  <c r="B35" i="35"/>
  <c r="B51" i="35"/>
  <c r="B67" i="35"/>
  <c r="B83" i="35"/>
  <c r="B59" i="35"/>
  <c r="B75" i="35"/>
  <c r="B21" i="62"/>
  <c r="G21" i="62" s="1"/>
  <c r="C26" i="57"/>
  <c r="I4" i="34"/>
  <c r="B17" i="34" s="1"/>
  <c r="I7" i="34"/>
  <c r="C20" i="62"/>
  <c r="N10" i="33"/>
  <c r="O9" i="33"/>
  <c r="A21" i="51"/>
  <c r="L14" i="51"/>
  <c r="A21" i="43"/>
  <c r="A22" i="43" s="1"/>
  <c r="A23" i="43" s="1"/>
  <c r="A24" i="43" s="1"/>
  <c r="A25" i="43" s="1"/>
  <c r="A26" i="43" s="1"/>
  <c r="A27" i="43" s="1"/>
  <c r="A28" i="43" s="1"/>
  <c r="A29" i="43" s="1"/>
  <c r="A30" i="43" s="1"/>
  <c r="A31" i="43" s="1"/>
  <c r="A32" i="43" s="1"/>
  <c r="A33" i="43" s="1"/>
  <c r="A34" i="43" s="1"/>
  <c r="A35" i="43" s="1"/>
  <c r="A36" i="43" s="1"/>
  <c r="A37" i="43" s="1"/>
  <c r="A38" i="43" s="1"/>
  <c r="A39" i="43" s="1"/>
  <c r="A40" i="43" s="1"/>
  <c r="A41" i="43" s="1"/>
  <c r="A42" i="43" s="1"/>
  <c r="A43" i="43" s="1"/>
  <c r="A44" i="43" s="1"/>
  <c r="A45" i="43" s="1"/>
  <c r="A46" i="43" s="1"/>
  <c r="A47" i="43" s="1"/>
  <c r="A48" i="43" s="1"/>
  <c r="A49" i="43" s="1"/>
  <c r="A50" i="43" s="1"/>
  <c r="A51" i="43" s="1"/>
  <c r="A52" i="43" s="1"/>
  <c r="A53" i="43" s="1"/>
  <c r="A54" i="43" s="1"/>
  <c r="A55" i="43" s="1"/>
  <c r="A56" i="43" s="1"/>
  <c r="A57" i="43" s="1"/>
  <c r="A58" i="43" s="1"/>
  <c r="A59" i="43" s="1"/>
  <c r="A60" i="43" s="1"/>
  <c r="A61" i="43" s="1"/>
  <c r="A62" i="43" s="1"/>
  <c r="A63" i="43" s="1"/>
  <c r="A64" i="43" s="1"/>
  <c r="A65" i="43" s="1"/>
  <c r="A66" i="43" s="1"/>
  <c r="A67" i="43" s="1"/>
  <c r="A68" i="43" s="1"/>
  <c r="A69" i="43" s="1"/>
  <c r="A70" i="43" s="1"/>
  <c r="A71" i="43" s="1"/>
  <c r="A72" i="43" s="1"/>
  <c r="A73" i="43" s="1"/>
  <c r="A74" i="43" s="1"/>
  <c r="A75" i="43" s="1"/>
  <c r="A76" i="43" s="1"/>
  <c r="A77" i="43" s="1"/>
  <c r="A78" i="43" s="1"/>
  <c r="A79" i="43" s="1"/>
  <c r="A80" i="43" s="1"/>
  <c r="A81" i="43" s="1"/>
  <c r="A82" i="43" s="1"/>
  <c r="A83" i="43" s="1"/>
  <c r="A84" i="43" s="1"/>
  <c r="A85" i="43" s="1"/>
  <c r="A86" i="43" s="1"/>
  <c r="L14" i="43"/>
  <c r="K27" i="63"/>
  <c r="A24" i="39"/>
  <c r="F47" i="59"/>
  <c r="E13" i="55"/>
  <c r="U44" i="58"/>
  <c r="B21" i="55"/>
  <c r="D25" i="63" s="1"/>
  <c r="L13" i="55"/>
  <c r="E24" i="58"/>
  <c r="C24" i="58" s="1"/>
  <c r="C27" i="59" s="1"/>
  <c r="N3" i="63" s="1"/>
  <c r="N46" i="63" s="1"/>
  <c r="D24" i="58"/>
  <c r="V24" i="58"/>
  <c r="I1" i="36"/>
  <c r="B28" i="59"/>
  <c r="B25" i="58" s="1"/>
  <c r="E26" i="57"/>
  <c r="D26" i="57"/>
  <c r="P7" i="33"/>
  <c r="C13" i="35" s="1"/>
  <c r="P10" i="33"/>
  <c r="C13" i="38" s="1"/>
  <c r="P6" i="33"/>
  <c r="C13" i="34" s="1"/>
  <c r="P8" i="33"/>
  <c r="C13" i="36" s="1"/>
  <c r="P9" i="33"/>
  <c r="C13" i="37" s="1"/>
  <c r="B22" i="55"/>
  <c r="D26" i="63" s="1"/>
  <c r="A21" i="53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A36" i="53" s="1"/>
  <c r="A37" i="53" s="1"/>
  <c r="A38" i="53" s="1"/>
  <c r="A39" i="53" s="1"/>
  <c r="A40" i="53" s="1"/>
  <c r="A41" i="53" s="1"/>
  <c r="A42" i="53" s="1"/>
  <c r="A43" i="53" s="1"/>
  <c r="A44" i="53" s="1"/>
  <c r="A45" i="53" s="1"/>
  <c r="A46" i="53" s="1"/>
  <c r="A47" i="53" s="1"/>
  <c r="A48" i="53" s="1"/>
  <c r="A49" i="53" s="1"/>
  <c r="A50" i="53" s="1"/>
  <c r="A51" i="53" s="1"/>
  <c r="A52" i="53" s="1"/>
  <c r="A53" i="53" s="1"/>
  <c r="A54" i="53" s="1"/>
  <c r="A55" i="53" s="1"/>
  <c r="A56" i="53" s="1"/>
  <c r="A57" i="53" s="1"/>
  <c r="A58" i="53" s="1"/>
  <c r="A59" i="53" s="1"/>
  <c r="A60" i="53" s="1"/>
  <c r="A61" i="53" s="1"/>
  <c r="A62" i="53" s="1"/>
  <c r="A63" i="53" s="1"/>
  <c r="A64" i="53" s="1"/>
  <c r="A65" i="53" s="1"/>
  <c r="A66" i="53" s="1"/>
  <c r="A67" i="53" s="1"/>
  <c r="A68" i="53" s="1"/>
  <c r="A69" i="53" s="1"/>
  <c r="A70" i="53" s="1"/>
  <c r="A71" i="53" s="1"/>
  <c r="A72" i="53" s="1"/>
  <c r="A73" i="53" s="1"/>
  <c r="A74" i="53" s="1"/>
  <c r="A75" i="53" s="1"/>
  <c r="A76" i="53" s="1"/>
  <c r="A77" i="53" s="1"/>
  <c r="A78" i="53" s="1"/>
  <c r="A79" i="53" s="1"/>
  <c r="A80" i="53" s="1"/>
  <c r="A81" i="53" s="1"/>
  <c r="A82" i="53" s="1"/>
  <c r="A83" i="53" s="1"/>
  <c r="A84" i="53" s="1"/>
  <c r="A85" i="53" s="1"/>
  <c r="A86" i="53" s="1"/>
  <c r="L14" i="53"/>
  <c r="I12" i="34"/>
  <c r="I13" i="34"/>
  <c r="L14" i="34"/>
  <c r="A21" i="34"/>
  <c r="I14" i="34"/>
  <c r="E13" i="34"/>
  <c r="V13" i="58"/>
  <c r="I7" i="33"/>
  <c r="I4" i="33"/>
  <c r="A21" i="49"/>
  <c r="L14" i="49"/>
  <c r="A21" i="45"/>
  <c r="L14" i="45"/>
  <c r="A25" i="55"/>
  <c r="C28" i="63"/>
  <c r="V14" i="58"/>
  <c r="C26" i="59"/>
  <c r="N2" i="63" s="1"/>
  <c r="N47" i="63" s="1"/>
  <c r="J7" i="58"/>
  <c r="J4" i="58"/>
  <c r="A27" i="56"/>
  <c r="C26" i="56"/>
  <c r="A30" i="63"/>
  <c r="A21" i="37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A72" i="37" s="1"/>
  <c r="A73" i="37" s="1"/>
  <c r="A74" i="37" s="1"/>
  <c r="A75" i="37" s="1"/>
  <c r="A76" i="37" s="1"/>
  <c r="A77" i="37" s="1"/>
  <c r="A78" i="37" s="1"/>
  <c r="A79" i="37" s="1"/>
  <c r="A80" i="37" s="1"/>
  <c r="A81" i="37" s="1"/>
  <c r="A82" i="37" s="1"/>
  <c r="A83" i="37" s="1"/>
  <c r="A84" i="37" s="1"/>
  <c r="A85" i="37" s="1"/>
  <c r="A86" i="37" s="1"/>
  <c r="L14" i="37"/>
  <c r="A24" i="33"/>
  <c r="B23" i="33"/>
  <c r="D47" i="59"/>
  <c r="L14" i="55"/>
  <c r="D41" i="62"/>
  <c r="O23" i="63" l="1"/>
  <c r="G47" i="59"/>
  <c r="H47" i="57"/>
  <c r="B21" i="34"/>
  <c r="A22" i="34"/>
  <c r="B29" i="59"/>
  <c r="B26" i="58" s="1"/>
  <c r="I1" i="37"/>
  <c r="I24" i="58"/>
  <c r="A22" i="45"/>
  <c r="I25" i="63"/>
  <c r="I12" i="33"/>
  <c r="I13" i="33"/>
  <c r="B17" i="33"/>
  <c r="E13" i="33"/>
  <c r="I14" i="33"/>
  <c r="I26" i="57"/>
  <c r="O26" i="57"/>
  <c r="O10" i="33"/>
  <c r="N11" i="33"/>
  <c r="E41" i="62"/>
  <c r="F41" i="62" s="1"/>
  <c r="H41" i="62" s="1"/>
  <c r="D7" i="62"/>
  <c r="E20" i="62"/>
  <c r="F20" i="62" s="1"/>
  <c r="H20" i="62" s="1"/>
  <c r="E21" i="62"/>
  <c r="F21" i="62" s="1"/>
  <c r="H21" i="62" s="1"/>
  <c r="A31" i="63"/>
  <c r="A28" i="56"/>
  <c r="C27" i="56"/>
  <c r="C29" i="63"/>
  <c r="A26" i="55"/>
  <c r="B25" i="55"/>
  <c r="D29" i="63" s="1"/>
  <c r="I2" i="36"/>
  <c r="I3" i="36" s="1"/>
  <c r="B28" i="57"/>
  <c r="B85" i="36"/>
  <c r="B81" i="36"/>
  <c r="B77" i="36"/>
  <c r="B73" i="36"/>
  <c r="B69" i="36"/>
  <c r="B65" i="36"/>
  <c r="B61" i="36"/>
  <c r="B57" i="36"/>
  <c r="B53" i="36"/>
  <c r="B49" i="36"/>
  <c r="B45" i="36"/>
  <c r="B41" i="36"/>
  <c r="B37" i="36"/>
  <c r="B33" i="36"/>
  <c r="B29" i="36"/>
  <c r="B25" i="36"/>
  <c r="B21" i="36"/>
  <c r="B86" i="36"/>
  <c r="B80" i="36"/>
  <c r="B75" i="36"/>
  <c r="B70" i="36"/>
  <c r="B64" i="36"/>
  <c r="B59" i="36"/>
  <c r="B54" i="36"/>
  <c r="B48" i="36"/>
  <c r="B43" i="36"/>
  <c r="B38" i="36"/>
  <c r="B32" i="36"/>
  <c r="B27" i="36"/>
  <c r="B22" i="36"/>
  <c r="B84" i="36"/>
  <c r="B79" i="36"/>
  <c r="B74" i="36"/>
  <c r="B68" i="36"/>
  <c r="B63" i="36"/>
  <c r="B58" i="36"/>
  <c r="B52" i="36"/>
  <c r="B47" i="36"/>
  <c r="B42" i="36"/>
  <c r="B36" i="36"/>
  <c r="B31" i="36"/>
  <c r="B26" i="36"/>
  <c r="B22" i="62"/>
  <c r="G22" i="62" s="1"/>
  <c r="B78" i="36"/>
  <c r="B67" i="36"/>
  <c r="B56" i="36"/>
  <c r="B46" i="36"/>
  <c r="B35" i="36"/>
  <c r="B24" i="36"/>
  <c r="B72" i="36"/>
  <c r="B51" i="36"/>
  <c r="B30" i="36"/>
  <c r="B71" i="36"/>
  <c r="B60" i="36"/>
  <c r="B39" i="36"/>
  <c r="B76" i="36"/>
  <c r="B66" i="36"/>
  <c r="B55" i="36"/>
  <c r="B44" i="36"/>
  <c r="B34" i="36"/>
  <c r="B23" i="36"/>
  <c r="B83" i="36"/>
  <c r="B62" i="36"/>
  <c r="B40" i="36"/>
  <c r="B82" i="36"/>
  <c r="B50" i="36"/>
  <c r="B28" i="36"/>
  <c r="K28" i="63"/>
  <c r="A25" i="39"/>
  <c r="E27" i="57"/>
  <c r="D27" i="57"/>
  <c r="I4" i="35"/>
  <c r="C27" i="57"/>
  <c r="I7" i="35"/>
  <c r="C21" i="62"/>
  <c r="A25" i="33"/>
  <c r="B24" i="33"/>
  <c r="A22" i="49"/>
  <c r="G25" i="63"/>
  <c r="B18" i="34"/>
  <c r="E16" i="34"/>
  <c r="E15" i="34"/>
  <c r="F13" i="34" s="1"/>
  <c r="E25" i="58"/>
  <c r="C25" i="58" s="1"/>
  <c r="V25" i="58"/>
  <c r="D25" i="58"/>
  <c r="A22" i="51"/>
  <c r="E25" i="63"/>
  <c r="I14" i="55"/>
  <c r="I12" i="55"/>
  <c r="I13" i="55"/>
  <c r="B17" i="55"/>
  <c r="L15" i="55" s="1"/>
  <c r="B18" i="55" l="1"/>
  <c r="E16" i="55"/>
  <c r="E15" i="55"/>
  <c r="F13" i="55" s="1"/>
  <c r="E26" i="59"/>
  <c r="J13" i="34"/>
  <c r="E17" i="34"/>
  <c r="J14" i="34"/>
  <c r="J12" i="34"/>
  <c r="U26" i="57"/>
  <c r="T26" i="57"/>
  <c r="B29" i="57"/>
  <c r="I2" i="37"/>
  <c r="I3" i="37" s="1"/>
  <c r="B83" i="37"/>
  <c r="B79" i="37"/>
  <c r="B75" i="37"/>
  <c r="B71" i="37"/>
  <c r="B82" i="37"/>
  <c r="B77" i="37"/>
  <c r="B72" i="37"/>
  <c r="B67" i="37"/>
  <c r="B63" i="37"/>
  <c r="B59" i="37"/>
  <c r="B55" i="37"/>
  <c r="B51" i="37"/>
  <c r="B47" i="37"/>
  <c r="B43" i="37"/>
  <c r="B39" i="37"/>
  <c r="B35" i="37"/>
  <c r="B31" i="37"/>
  <c r="B27" i="37"/>
  <c r="B23" i="37"/>
  <c r="B23" i="62"/>
  <c r="B86" i="37"/>
  <c r="B81" i="37"/>
  <c r="B76" i="37"/>
  <c r="B70" i="37"/>
  <c r="B66" i="37"/>
  <c r="B62" i="37"/>
  <c r="B58" i="37"/>
  <c r="B54" i="37"/>
  <c r="B50" i="37"/>
  <c r="B46" i="37"/>
  <c r="B42" i="37"/>
  <c r="B38" i="37"/>
  <c r="B34" i="37"/>
  <c r="B30" i="37"/>
  <c r="B26" i="37"/>
  <c r="B22" i="37"/>
  <c r="B84" i="37"/>
  <c r="B73" i="37"/>
  <c r="B64" i="37"/>
  <c r="B56" i="37"/>
  <c r="B48" i="37"/>
  <c r="B40" i="37"/>
  <c r="B32" i="37"/>
  <c r="B24" i="37"/>
  <c r="B68" i="37"/>
  <c r="B52" i="37"/>
  <c r="B36" i="37"/>
  <c r="B85" i="37"/>
  <c r="B65" i="37"/>
  <c r="B57" i="37"/>
  <c r="B41" i="37"/>
  <c r="B25" i="37"/>
  <c r="B80" i="37"/>
  <c r="B69" i="37"/>
  <c r="B61" i="37"/>
  <c r="B53" i="37"/>
  <c r="B45" i="37"/>
  <c r="B37" i="37"/>
  <c r="B29" i="37"/>
  <c r="B21" i="37"/>
  <c r="B78" i="37"/>
  <c r="B60" i="37"/>
  <c r="B44" i="37"/>
  <c r="B28" i="37"/>
  <c r="B74" i="37"/>
  <c r="B49" i="37"/>
  <c r="B33" i="37"/>
  <c r="C28" i="59"/>
  <c r="N4" i="63" s="1"/>
  <c r="N45" i="63" s="1"/>
  <c r="I25" i="58"/>
  <c r="E13" i="35"/>
  <c r="I12" i="35"/>
  <c r="B17" i="35"/>
  <c r="L15" i="35" s="1"/>
  <c r="I13" i="35"/>
  <c r="I14" i="35"/>
  <c r="A29" i="56"/>
  <c r="A32" i="63"/>
  <c r="C28" i="56"/>
  <c r="M26" i="57"/>
  <c r="N26" i="57"/>
  <c r="I26" i="63"/>
  <c r="A23" i="45"/>
  <c r="E26" i="58"/>
  <c r="C26" i="58" s="1"/>
  <c r="C29" i="59" s="1"/>
  <c r="N5" i="63" s="1"/>
  <c r="N44" i="63" s="1"/>
  <c r="D26" i="58"/>
  <c r="V26" i="58"/>
  <c r="G26" i="63"/>
  <c r="A23" i="49"/>
  <c r="C30" i="63"/>
  <c r="A27" i="55"/>
  <c r="B26" i="55"/>
  <c r="D30" i="63" s="1"/>
  <c r="N12" i="33"/>
  <c r="O11" i="33"/>
  <c r="P11" i="33"/>
  <c r="C13" i="39" s="1"/>
  <c r="B25" i="33"/>
  <c r="A26" i="33"/>
  <c r="A26" i="39"/>
  <c r="K29" i="63"/>
  <c r="C28" i="57"/>
  <c r="I4" i="36"/>
  <c r="C22" i="62"/>
  <c r="I7" i="36"/>
  <c r="E22" i="62"/>
  <c r="F22" i="62" s="1"/>
  <c r="H22" i="62" s="1"/>
  <c r="D30" i="33"/>
  <c r="E26" i="63"/>
  <c r="A23" i="51"/>
  <c r="I27" i="57"/>
  <c r="O27" i="57"/>
  <c r="E28" i="57"/>
  <c r="D28" i="57"/>
  <c r="I1" i="38"/>
  <c r="B30" i="59"/>
  <c r="B27" i="58" s="1"/>
  <c r="B18" i="33"/>
  <c r="E16" i="33"/>
  <c r="F30" i="33" s="1"/>
  <c r="E15" i="33"/>
  <c r="E30" i="33" s="1"/>
  <c r="B22" i="34"/>
  <c r="A23" i="34"/>
  <c r="A24" i="51" l="1"/>
  <c r="E27" i="63"/>
  <c r="A24" i="45"/>
  <c r="I27" i="63"/>
  <c r="A30" i="56"/>
  <c r="C29" i="56"/>
  <c r="A33" i="63"/>
  <c r="J13" i="33"/>
  <c r="J12" i="33"/>
  <c r="E17" i="33"/>
  <c r="J14" i="33"/>
  <c r="E25" i="59"/>
  <c r="I28" i="57"/>
  <c r="O28" i="57"/>
  <c r="A27" i="33"/>
  <c r="B26" i="33"/>
  <c r="I1" i="39"/>
  <c r="B31" i="59"/>
  <c r="B28" i="58" s="1"/>
  <c r="F13" i="35"/>
  <c r="G23" i="62"/>
  <c r="H23" i="62" s="1"/>
  <c r="E23" i="62"/>
  <c r="F23" i="62" s="1"/>
  <c r="C29" i="57"/>
  <c r="I4" i="37"/>
  <c r="I7" i="37"/>
  <c r="C23" i="62"/>
  <c r="I2" i="38"/>
  <c r="I3" i="38" s="1"/>
  <c r="B30" i="57"/>
  <c r="B85" i="38"/>
  <c r="B81" i="38"/>
  <c r="B77" i="38"/>
  <c r="B73" i="38"/>
  <c r="B69" i="38"/>
  <c r="B65" i="38"/>
  <c r="B61" i="38"/>
  <c r="B57" i="38"/>
  <c r="B53" i="38"/>
  <c r="B49" i="38"/>
  <c r="B45" i="38"/>
  <c r="B41" i="38"/>
  <c r="B37" i="38"/>
  <c r="B33" i="38"/>
  <c r="B29" i="38"/>
  <c r="B25" i="38"/>
  <c r="B21" i="38"/>
  <c r="B84" i="38"/>
  <c r="B80" i="38"/>
  <c r="B76" i="38"/>
  <c r="B72" i="38"/>
  <c r="B68" i="38"/>
  <c r="B64" i="38"/>
  <c r="B60" i="38"/>
  <c r="B56" i="38"/>
  <c r="B52" i="38"/>
  <c r="B48" i="38"/>
  <c r="B44" i="38"/>
  <c r="B40" i="38"/>
  <c r="B36" i="38"/>
  <c r="B32" i="38"/>
  <c r="B28" i="38"/>
  <c r="B24" i="38"/>
  <c r="B83" i="38"/>
  <c r="B75" i="38"/>
  <c r="B67" i="38"/>
  <c r="B59" i="38"/>
  <c r="B51" i="38"/>
  <c r="B43" i="38"/>
  <c r="B35" i="38"/>
  <c r="B27" i="38"/>
  <c r="B71" i="38"/>
  <c r="B55" i="38"/>
  <c r="B47" i="38"/>
  <c r="B31" i="38"/>
  <c r="B24" i="62"/>
  <c r="B86" i="38"/>
  <c r="B70" i="38"/>
  <c r="B54" i="38"/>
  <c r="B38" i="38"/>
  <c r="B22" i="38"/>
  <c r="B82" i="38"/>
  <c r="B74" i="38"/>
  <c r="B66" i="38"/>
  <c r="B58" i="38"/>
  <c r="B50" i="38"/>
  <c r="B42" i="38"/>
  <c r="B34" i="38"/>
  <c r="B26" i="38"/>
  <c r="B79" i="38"/>
  <c r="B63" i="38"/>
  <c r="B39" i="38"/>
  <c r="B23" i="38"/>
  <c r="B78" i="38"/>
  <c r="B62" i="38"/>
  <c r="B46" i="38"/>
  <c r="B30" i="38"/>
  <c r="M27" i="57"/>
  <c r="N27" i="57"/>
  <c r="F13" i="33"/>
  <c r="I12" i="36"/>
  <c r="B17" i="36"/>
  <c r="L15" i="36" s="1"/>
  <c r="I14" i="36"/>
  <c r="I13" i="36"/>
  <c r="E13" i="36"/>
  <c r="K30" i="63"/>
  <c r="A27" i="39"/>
  <c r="A28" i="55"/>
  <c r="C31" i="63"/>
  <c r="B27" i="55"/>
  <c r="D31" i="63" s="1"/>
  <c r="I26" i="58"/>
  <c r="B18" i="35"/>
  <c r="E15" i="35"/>
  <c r="E16" i="35"/>
  <c r="A24" i="34"/>
  <c r="B23" i="34"/>
  <c r="E27" i="58"/>
  <c r="C27" i="58" s="1"/>
  <c r="C30" i="59" s="1"/>
  <c r="N6" i="63" s="1"/>
  <c r="N43" i="63" s="1"/>
  <c r="V27" i="58"/>
  <c r="D27" i="58"/>
  <c r="I27" i="58"/>
  <c r="U27" i="57"/>
  <c r="T27" i="57"/>
  <c r="O12" i="33"/>
  <c r="N13" i="33"/>
  <c r="P12" i="33"/>
  <c r="C13" i="40" s="1"/>
  <c r="A24" i="49"/>
  <c r="G27" i="63"/>
  <c r="E29" i="57"/>
  <c r="D29" i="57"/>
  <c r="E47" i="59"/>
  <c r="E17" i="55"/>
  <c r="J12" i="55"/>
  <c r="J14" i="55"/>
  <c r="J13" i="55"/>
  <c r="I1" i="40" l="1"/>
  <c r="B32" i="59"/>
  <c r="B29" i="58" s="1"/>
  <c r="E27" i="59"/>
  <c r="J12" i="35"/>
  <c r="J14" i="35"/>
  <c r="E17" i="35"/>
  <c r="J13" i="35"/>
  <c r="B18" i="36"/>
  <c r="E16" i="36"/>
  <c r="E15" i="36"/>
  <c r="F13" i="36" s="1"/>
  <c r="A31" i="56"/>
  <c r="C30" i="56"/>
  <c r="A34" i="63"/>
  <c r="A25" i="49"/>
  <c r="G28" i="63"/>
  <c r="C30" i="57"/>
  <c r="I4" i="38"/>
  <c r="I7" i="38"/>
  <c r="C24" i="62"/>
  <c r="I14" i="37"/>
  <c r="I13" i="37"/>
  <c r="B17" i="37"/>
  <c r="L15" i="37" s="1"/>
  <c r="I12" i="37"/>
  <c r="E13" i="37"/>
  <c r="A28" i="33"/>
  <c r="B27" i="33"/>
  <c r="K31" i="63"/>
  <c r="A28" i="39"/>
  <c r="E28" i="58"/>
  <c r="C28" i="58" s="1"/>
  <c r="C31" i="59" s="1"/>
  <c r="N7" i="63" s="1"/>
  <c r="N42" i="63" s="1"/>
  <c r="V28" i="58"/>
  <c r="D28" i="58"/>
  <c r="I28" i="58"/>
  <c r="T28" i="57"/>
  <c r="U28" i="57"/>
  <c r="A25" i="45"/>
  <c r="I28" i="63"/>
  <c r="G24" i="62"/>
  <c r="H24" i="62" s="1"/>
  <c r="E24" i="62"/>
  <c r="F24" i="62" s="1"/>
  <c r="E30" i="57"/>
  <c r="D30" i="57"/>
  <c r="A25" i="51"/>
  <c r="E28" i="63"/>
  <c r="I29" i="57"/>
  <c r="O29" i="57"/>
  <c r="A25" i="34"/>
  <c r="B24" i="34"/>
  <c r="A29" i="55"/>
  <c r="C32" i="63"/>
  <c r="B28" i="55"/>
  <c r="D32" i="63" s="1"/>
  <c r="N14" i="33"/>
  <c r="O13" i="33"/>
  <c r="P13" i="33"/>
  <c r="C13" i="41" s="1"/>
  <c r="B31" i="57"/>
  <c r="I2" i="39"/>
  <c r="B26" i="39"/>
  <c r="L30" i="63" s="1"/>
  <c r="B23" i="39"/>
  <c r="L27" i="63" s="1"/>
  <c r="B22" i="39"/>
  <c r="L26" i="63" s="1"/>
  <c r="B27" i="39"/>
  <c r="L31" i="63" s="1"/>
  <c r="B21" i="39"/>
  <c r="L25" i="63" s="1"/>
  <c r="B25" i="39"/>
  <c r="L29" i="63" s="1"/>
  <c r="B24" i="39"/>
  <c r="L28" i="63" s="1"/>
  <c r="B25" i="62"/>
  <c r="M28" i="57"/>
  <c r="N28" i="57"/>
  <c r="E29" i="63" l="1"/>
  <c r="A26" i="51"/>
  <c r="V29" i="58"/>
  <c r="D29" i="58"/>
  <c r="E29" i="58"/>
  <c r="C29" i="58" s="1"/>
  <c r="C32" i="59" s="1"/>
  <c r="N8" i="63" s="1"/>
  <c r="N41" i="63" s="1"/>
  <c r="I29" i="58"/>
  <c r="A30" i="55"/>
  <c r="C33" i="63"/>
  <c r="B29" i="55"/>
  <c r="D33" i="63" s="1"/>
  <c r="K22" i="63"/>
  <c r="I3" i="39"/>
  <c r="O14" i="33"/>
  <c r="N15" i="33"/>
  <c r="P14" i="33"/>
  <c r="C13" i="42" s="1"/>
  <c r="M29" i="57"/>
  <c r="N29" i="57"/>
  <c r="I30" i="57"/>
  <c r="O30" i="57"/>
  <c r="B18" i="37"/>
  <c r="E16" i="37"/>
  <c r="E15" i="37"/>
  <c r="E28" i="59"/>
  <c r="J13" i="36"/>
  <c r="J14" i="36"/>
  <c r="J12" i="36"/>
  <c r="E17" i="36"/>
  <c r="K32" i="63"/>
  <c r="A29" i="39"/>
  <c r="A29" i="33"/>
  <c r="B28" i="33"/>
  <c r="B17" i="38"/>
  <c r="L15" i="38" s="1"/>
  <c r="I13" i="38"/>
  <c r="E13" i="38"/>
  <c r="I14" i="38"/>
  <c r="I12" i="38"/>
  <c r="B28" i="39"/>
  <c r="L32" i="63" s="1"/>
  <c r="B33" i="59"/>
  <c r="B30" i="58" s="1"/>
  <c r="I1" i="41"/>
  <c r="T29" i="57"/>
  <c r="U29" i="57"/>
  <c r="F13" i="37"/>
  <c r="I2" i="40"/>
  <c r="I3" i="40" s="1"/>
  <c r="B32" i="57"/>
  <c r="B83" i="40"/>
  <c r="B79" i="40"/>
  <c r="B75" i="40"/>
  <c r="B71" i="40"/>
  <c r="B67" i="40"/>
  <c r="B63" i="40"/>
  <c r="B59" i="40"/>
  <c r="B55" i="40"/>
  <c r="B51" i="40"/>
  <c r="B47" i="40"/>
  <c r="B43" i="40"/>
  <c r="B39" i="40"/>
  <c r="B35" i="40"/>
  <c r="B31" i="40"/>
  <c r="B27" i="40"/>
  <c r="B23" i="40"/>
  <c r="B86" i="40"/>
  <c r="B82" i="40"/>
  <c r="B78" i="40"/>
  <c r="B74" i="40"/>
  <c r="B70" i="40"/>
  <c r="B66" i="40"/>
  <c r="B62" i="40"/>
  <c r="B58" i="40"/>
  <c r="B54" i="40"/>
  <c r="B50" i="40"/>
  <c r="B46" i="40"/>
  <c r="B42" i="40"/>
  <c r="B38" i="40"/>
  <c r="B34" i="40"/>
  <c r="B30" i="40"/>
  <c r="B26" i="40"/>
  <c r="B22" i="40"/>
  <c r="B26" i="62"/>
  <c r="B81" i="40"/>
  <c r="B73" i="40"/>
  <c r="B65" i="40"/>
  <c r="B57" i="40"/>
  <c r="B49" i="40"/>
  <c r="B41" i="40"/>
  <c r="B33" i="40"/>
  <c r="B25" i="40"/>
  <c r="B77" i="40"/>
  <c r="B61" i="40"/>
  <c r="B53" i="40"/>
  <c r="B37" i="40"/>
  <c r="B21" i="40"/>
  <c r="B84" i="40"/>
  <c r="B68" i="40"/>
  <c r="B52" i="40"/>
  <c r="B36" i="40"/>
  <c r="B28" i="40"/>
  <c r="B80" i="40"/>
  <c r="B72" i="40"/>
  <c r="B64" i="40"/>
  <c r="B56" i="40"/>
  <c r="B48" i="40"/>
  <c r="B40" i="40"/>
  <c r="B32" i="40"/>
  <c r="B24" i="40"/>
  <c r="B85" i="40"/>
  <c r="B69" i="40"/>
  <c r="B45" i="40"/>
  <c r="B29" i="40"/>
  <c r="B76" i="40"/>
  <c r="B60" i="40"/>
  <c r="B44" i="40"/>
  <c r="G25" i="62"/>
  <c r="E25" i="62"/>
  <c r="F25" i="62" s="1"/>
  <c r="E31" i="57"/>
  <c r="D31" i="57"/>
  <c r="B25" i="34"/>
  <c r="A26" i="34"/>
  <c r="I29" i="63"/>
  <c r="A26" i="45"/>
  <c r="A26" i="49"/>
  <c r="G29" i="63"/>
  <c r="A32" i="56"/>
  <c r="A35" i="63"/>
  <c r="C31" i="56"/>
  <c r="G26" i="62" l="1"/>
  <c r="E26" i="62"/>
  <c r="F26" i="62" s="1"/>
  <c r="E30" i="63"/>
  <c r="A27" i="51"/>
  <c r="G30" i="63"/>
  <c r="A27" i="49"/>
  <c r="I1" i="42"/>
  <c r="B34" i="59"/>
  <c r="B31" i="58" s="1"/>
  <c r="E32" i="57"/>
  <c r="D32" i="57"/>
  <c r="A30" i="33"/>
  <c r="B29" i="33"/>
  <c r="T30" i="57"/>
  <c r="U30" i="57"/>
  <c r="I4" i="39"/>
  <c r="I7" i="39"/>
  <c r="C25" i="62"/>
  <c r="C31" i="57"/>
  <c r="A27" i="34"/>
  <c r="B26" i="34"/>
  <c r="B33" i="57"/>
  <c r="I2" i="41"/>
  <c r="I3" i="41" s="1"/>
  <c r="B84" i="41"/>
  <c r="B80" i="41"/>
  <c r="B76" i="41"/>
  <c r="B72" i="41"/>
  <c r="B68" i="41"/>
  <c r="B64" i="41"/>
  <c r="B60" i="41"/>
  <c r="B56" i="41"/>
  <c r="B52" i="41"/>
  <c r="B48" i="41"/>
  <c r="B44" i="41"/>
  <c r="B40" i="41"/>
  <c r="B36" i="41"/>
  <c r="B32" i="41"/>
  <c r="B28" i="41"/>
  <c r="B24" i="41"/>
  <c r="B27" i="62"/>
  <c r="B83" i="41"/>
  <c r="B79" i="41"/>
  <c r="B75" i="41"/>
  <c r="B71" i="41"/>
  <c r="B67" i="41"/>
  <c r="B63" i="41"/>
  <c r="B59" i="41"/>
  <c r="B55" i="41"/>
  <c r="B51" i="41"/>
  <c r="B47" i="41"/>
  <c r="B43" i="41"/>
  <c r="B39" i="41"/>
  <c r="B35" i="41"/>
  <c r="B31" i="41"/>
  <c r="B27" i="41"/>
  <c r="B23" i="41"/>
  <c r="B85" i="41"/>
  <c r="B77" i="41"/>
  <c r="B69" i="41"/>
  <c r="B61" i="41"/>
  <c r="B53" i="41"/>
  <c r="B45" i="41"/>
  <c r="B37" i="41"/>
  <c r="B29" i="41"/>
  <c r="B21" i="41"/>
  <c r="B81" i="41"/>
  <c r="B65" i="41"/>
  <c r="B49" i="41"/>
  <c r="B41" i="41"/>
  <c r="B25" i="41"/>
  <c r="B86" i="41"/>
  <c r="B70" i="41"/>
  <c r="B62" i="41"/>
  <c r="B46" i="41"/>
  <c r="B38" i="41"/>
  <c r="B22" i="41"/>
  <c r="B82" i="41"/>
  <c r="B74" i="41"/>
  <c r="B66" i="41"/>
  <c r="B58" i="41"/>
  <c r="B50" i="41"/>
  <c r="B42" i="41"/>
  <c r="B34" i="41"/>
  <c r="B26" i="41"/>
  <c r="B73" i="41"/>
  <c r="B57" i="41"/>
  <c r="B33" i="41"/>
  <c r="B78" i="41"/>
  <c r="B54" i="41"/>
  <c r="B30" i="41"/>
  <c r="B18" i="38"/>
  <c r="E15" i="38"/>
  <c r="F13" i="38" s="1"/>
  <c r="E16" i="38"/>
  <c r="E29" i="59"/>
  <c r="J13" i="37"/>
  <c r="J12" i="37"/>
  <c r="J14" i="37"/>
  <c r="E17" i="37"/>
  <c r="O15" i="33"/>
  <c r="N16" i="33"/>
  <c r="P15" i="33"/>
  <c r="C13" i="43" s="1"/>
  <c r="H25" i="62"/>
  <c r="E30" i="58"/>
  <c r="C30" i="58" s="1"/>
  <c r="C33" i="59" s="1"/>
  <c r="N9" i="63" s="1"/>
  <c r="N40" i="63" s="1"/>
  <c r="D30" i="58"/>
  <c r="V30" i="58"/>
  <c r="I30" i="63"/>
  <c r="A27" i="45"/>
  <c r="A33" i="56"/>
  <c r="A36" i="63"/>
  <c r="C32" i="56"/>
  <c r="I31" i="57"/>
  <c r="O31" i="57"/>
  <c r="C32" i="57"/>
  <c r="I4" i="40"/>
  <c r="I7" i="40"/>
  <c r="C26" i="62"/>
  <c r="A30" i="39"/>
  <c r="K33" i="63"/>
  <c r="B29" i="39"/>
  <c r="L33" i="63" s="1"/>
  <c r="N30" i="57"/>
  <c r="M30" i="57"/>
  <c r="C34" i="63"/>
  <c r="A31" i="55"/>
  <c r="B30" i="55"/>
  <c r="D34" i="63" s="1"/>
  <c r="K34" i="63" l="1"/>
  <c r="A31" i="39"/>
  <c r="B30" i="39"/>
  <c r="L34" i="63" s="1"/>
  <c r="I30" i="58"/>
  <c r="A28" i="34"/>
  <c r="B27" i="34"/>
  <c r="I13" i="39"/>
  <c r="B17" i="39"/>
  <c r="L15" i="39" s="1"/>
  <c r="E13" i="39"/>
  <c r="I14" i="39"/>
  <c r="I12" i="39"/>
  <c r="I32" i="57"/>
  <c r="O32" i="57"/>
  <c r="M31" i="57"/>
  <c r="N31" i="57"/>
  <c r="A34" i="56"/>
  <c r="C33" i="56"/>
  <c r="A37" i="63"/>
  <c r="E33" i="57"/>
  <c r="D33" i="57"/>
  <c r="A31" i="33"/>
  <c r="B30" i="33"/>
  <c r="E31" i="58"/>
  <c r="C31" i="58" s="1"/>
  <c r="C34" i="59" s="1"/>
  <c r="N10" i="63" s="1"/>
  <c r="N39" i="63" s="1"/>
  <c r="V31" i="58"/>
  <c r="D31" i="58"/>
  <c r="I31" i="58"/>
  <c r="A28" i="51"/>
  <c r="E31" i="63"/>
  <c r="H26" i="62"/>
  <c r="I1" i="43"/>
  <c r="B35" i="59"/>
  <c r="B32" i="58" s="1"/>
  <c r="E30" i="59"/>
  <c r="E17" i="38"/>
  <c r="J14" i="38"/>
  <c r="J12" i="38"/>
  <c r="J13" i="38"/>
  <c r="A28" i="49"/>
  <c r="G31" i="63"/>
  <c r="T31" i="57"/>
  <c r="U31" i="57"/>
  <c r="C33" i="57"/>
  <c r="I4" i="41"/>
  <c r="I7" i="41"/>
  <c r="C27" i="62"/>
  <c r="A32" i="55"/>
  <c r="C35" i="63"/>
  <c r="B31" i="55"/>
  <c r="D35" i="63" s="1"/>
  <c r="I13" i="40"/>
  <c r="I14" i="40"/>
  <c r="I12" i="40"/>
  <c r="B17" i="40"/>
  <c r="E13" i="40"/>
  <c r="A28" i="45"/>
  <c r="I31" i="63"/>
  <c r="O16" i="33"/>
  <c r="N17" i="33"/>
  <c r="P16" i="33"/>
  <c r="C13" i="45" s="1"/>
  <c r="G27" i="62"/>
  <c r="E27" i="62"/>
  <c r="F27" i="62" s="1"/>
  <c r="I2" i="42"/>
  <c r="I3" i="42" s="1"/>
  <c r="B34" i="57"/>
  <c r="B86" i="42"/>
  <c r="B82" i="42"/>
  <c r="B78" i="42"/>
  <c r="B74" i="42"/>
  <c r="B70" i="42"/>
  <c r="B66" i="42"/>
  <c r="B62" i="42"/>
  <c r="B58" i="42"/>
  <c r="B54" i="42"/>
  <c r="B50" i="42"/>
  <c r="B46" i="42"/>
  <c r="B42" i="42"/>
  <c r="B38" i="42"/>
  <c r="B34" i="42"/>
  <c r="B30" i="42"/>
  <c r="B26" i="42"/>
  <c r="B22" i="42"/>
  <c r="B85" i="42"/>
  <c r="B81" i="42"/>
  <c r="B77" i="42"/>
  <c r="B73" i="42"/>
  <c r="B69" i="42"/>
  <c r="B65" i="42"/>
  <c r="B61" i="42"/>
  <c r="B57" i="42"/>
  <c r="B53" i="42"/>
  <c r="B49" i="42"/>
  <c r="B45" i="42"/>
  <c r="B41" i="42"/>
  <c r="B37" i="42"/>
  <c r="B33" i="42"/>
  <c r="B29" i="42"/>
  <c r="B25" i="42"/>
  <c r="B21" i="42"/>
  <c r="B83" i="42"/>
  <c r="B75" i="42"/>
  <c r="B67" i="42"/>
  <c r="B59" i="42"/>
  <c r="B51" i="42"/>
  <c r="B43" i="42"/>
  <c r="B35" i="42"/>
  <c r="B27" i="42"/>
  <c r="B28" i="62"/>
  <c r="B71" i="42"/>
  <c r="B55" i="42"/>
  <c r="B39" i="42"/>
  <c r="B23" i="42"/>
  <c r="B76" i="42"/>
  <c r="B60" i="42"/>
  <c r="B52" i="42"/>
  <c r="B36" i="42"/>
  <c r="B80" i="42"/>
  <c r="B72" i="42"/>
  <c r="B64" i="42"/>
  <c r="B56" i="42"/>
  <c r="B48" i="42"/>
  <c r="B40" i="42"/>
  <c r="B32" i="42"/>
  <c r="B24" i="42"/>
  <c r="B79" i="42"/>
  <c r="B63" i="42"/>
  <c r="B47" i="42"/>
  <c r="B31" i="42"/>
  <c r="B84" i="42"/>
  <c r="B68" i="42"/>
  <c r="B44" i="42"/>
  <c r="B28" i="42"/>
  <c r="A29" i="49" l="1"/>
  <c r="G32" i="63"/>
  <c r="A32" i="33"/>
  <c r="B31" i="33"/>
  <c r="G28" i="62"/>
  <c r="E28" i="62"/>
  <c r="F28" i="62" s="1"/>
  <c r="I1" i="44"/>
  <c r="B36" i="59"/>
  <c r="B33" i="58" s="1"/>
  <c r="K35" i="63"/>
  <c r="A32" i="39"/>
  <c r="B31" i="39"/>
  <c r="L35" i="63" s="1"/>
  <c r="E34" i="57"/>
  <c r="D34" i="57"/>
  <c r="H27" i="62"/>
  <c r="B18" i="40"/>
  <c r="E16" i="40"/>
  <c r="E15" i="40"/>
  <c r="F13" i="40" s="1"/>
  <c r="E13" i="41"/>
  <c r="I14" i="41"/>
  <c r="I12" i="41"/>
  <c r="I13" i="41"/>
  <c r="B17" i="41"/>
  <c r="L15" i="41" s="1"/>
  <c r="E32" i="58"/>
  <c r="C32" i="58" s="1"/>
  <c r="C35" i="59" s="1"/>
  <c r="N11" i="63" s="1"/>
  <c r="N38" i="63" s="1"/>
  <c r="D32" i="58"/>
  <c r="V32" i="58"/>
  <c r="A29" i="51"/>
  <c r="E32" i="63"/>
  <c r="O33" i="57"/>
  <c r="I33" i="57"/>
  <c r="T32" i="57"/>
  <c r="U32" i="57"/>
  <c r="A29" i="34"/>
  <c r="B28" i="34"/>
  <c r="N18" i="33"/>
  <c r="O17" i="33"/>
  <c r="P17" i="33"/>
  <c r="C13" i="44" s="1"/>
  <c r="B18" i="39"/>
  <c r="E16" i="39"/>
  <c r="E15" i="39"/>
  <c r="F13" i="39" s="1"/>
  <c r="C34" i="57"/>
  <c r="I4" i="42"/>
  <c r="I7" i="42"/>
  <c r="C28" i="62"/>
  <c r="A29" i="45"/>
  <c r="I32" i="63"/>
  <c r="A33" i="55"/>
  <c r="C36" i="63"/>
  <c r="B32" i="55"/>
  <c r="D36" i="63" s="1"/>
  <c r="B35" i="57"/>
  <c r="I2" i="43"/>
  <c r="I3" i="43" s="1"/>
  <c r="B84" i="43"/>
  <c r="B80" i="43"/>
  <c r="B76" i="43"/>
  <c r="B72" i="43"/>
  <c r="B68" i="43"/>
  <c r="B64" i="43"/>
  <c r="B60" i="43"/>
  <c r="B56" i="43"/>
  <c r="B52" i="43"/>
  <c r="B48" i="43"/>
  <c r="B44" i="43"/>
  <c r="B40" i="43"/>
  <c r="B36" i="43"/>
  <c r="B32" i="43"/>
  <c r="B28" i="43"/>
  <c r="B24" i="43"/>
  <c r="B83" i="43"/>
  <c r="B79" i="43"/>
  <c r="B75" i="43"/>
  <c r="B71" i="43"/>
  <c r="B67" i="43"/>
  <c r="B63" i="43"/>
  <c r="B59" i="43"/>
  <c r="B55" i="43"/>
  <c r="B51" i="43"/>
  <c r="B47" i="43"/>
  <c r="B43" i="43"/>
  <c r="B39" i="43"/>
  <c r="B35" i="43"/>
  <c r="B31" i="43"/>
  <c r="B27" i="43"/>
  <c r="B23" i="43"/>
  <c r="B81" i="43"/>
  <c r="B73" i="43"/>
  <c r="B65" i="43"/>
  <c r="B57" i="43"/>
  <c r="B49" i="43"/>
  <c r="B41" i="43"/>
  <c r="B33" i="43"/>
  <c r="B25" i="43"/>
  <c r="B86" i="43"/>
  <c r="B78" i="43"/>
  <c r="B70" i="43"/>
  <c r="B62" i="43"/>
  <c r="B54" i="43"/>
  <c r="B46" i="43"/>
  <c r="B38" i="43"/>
  <c r="B30" i="43"/>
  <c r="B22" i="43"/>
  <c r="B82" i="43"/>
  <c r="B66" i="43"/>
  <c r="B50" i="43"/>
  <c r="B34" i="43"/>
  <c r="B74" i="43"/>
  <c r="B58" i="43"/>
  <c r="B42" i="43"/>
  <c r="B26" i="43"/>
  <c r="B85" i="43"/>
  <c r="B53" i="43"/>
  <c r="B21" i="43"/>
  <c r="B37" i="43"/>
  <c r="B77" i="43"/>
  <c r="B45" i="43"/>
  <c r="B29" i="62"/>
  <c r="B69" i="43"/>
  <c r="B61" i="43"/>
  <c r="B29" i="43"/>
  <c r="A35" i="56"/>
  <c r="C34" i="56"/>
  <c r="A38" i="63"/>
  <c r="M32" i="57"/>
  <c r="N32" i="57"/>
  <c r="B37" i="59" l="1"/>
  <c r="B34" i="58" s="1"/>
  <c r="I1" i="45"/>
  <c r="M33" i="57"/>
  <c r="N33" i="57"/>
  <c r="A30" i="51"/>
  <c r="E33" i="63"/>
  <c r="I32" i="58"/>
  <c r="E32" i="59"/>
  <c r="J13" i="40"/>
  <c r="J12" i="40"/>
  <c r="J14" i="40"/>
  <c r="E17" i="40"/>
  <c r="I2" i="44"/>
  <c r="I3" i="44" s="1"/>
  <c r="B36" i="57"/>
  <c r="B86" i="44"/>
  <c r="B82" i="44"/>
  <c r="B78" i="44"/>
  <c r="B74" i="44"/>
  <c r="B70" i="44"/>
  <c r="B66" i="44"/>
  <c r="B62" i="44"/>
  <c r="B58" i="44"/>
  <c r="B54" i="44"/>
  <c r="B50" i="44"/>
  <c r="B46" i="44"/>
  <c r="B42" i="44"/>
  <c r="B38" i="44"/>
  <c r="B34" i="44"/>
  <c r="B30" i="44"/>
  <c r="B26" i="44"/>
  <c r="B22" i="44"/>
  <c r="B85" i="44"/>
  <c r="B81" i="44"/>
  <c r="B77" i="44"/>
  <c r="B73" i="44"/>
  <c r="B69" i="44"/>
  <c r="B65" i="44"/>
  <c r="B61" i="44"/>
  <c r="B57" i="44"/>
  <c r="B53" i="44"/>
  <c r="B49" i="44"/>
  <c r="B45" i="44"/>
  <c r="B41" i="44"/>
  <c r="B37" i="44"/>
  <c r="B33" i="44"/>
  <c r="B29" i="44"/>
  <c r="B25" i="44"/>
  <c r="B21" i="44"/>
  <c r="B84" i="44"/>
  <c r="B76" i="44"/>
  <c r="B68" i="44"/>
  <c r="B60" i="44"/>
  <c r="B52" i="44"/>
  <c r="B44" i="44"/>
  <c r="B36" i="44"/>
  <c r="B28" i="44"/>
  <c r="B83" i="44"/>
  <c r="B75" i="44"/>
  <c r="B67" i="44"/>
  <c r="B59" i="44"/>
  <c r="B51" i="44"/>
  <c r="B43" i="44"/>
  <c r="B35" i="44"/>
  <c r="B27" i="44"/>
  <c r="B30" i="62"/>
  <c r="B72" i="44"/>
  <c r="B56" i="44"/>
  <c r="B40" i="44"/>
  <c r="B24" i="44"/>
  <c r="B80" i="44"/>
  <c r="B64" i="44"/>
  <c r="B48" i="44"/>
  <c r="B32" i="44"/>
  <c r="B79" i="44"/>
  <c r="B47" i="44"/>
  <c r="B63" i="44"/>
  <c r="B23" i="44"/>
  <c r="B71" i="44"/>
  <c r="B39" i="44"/>
  <c r="B31" i="44"/>
  <c r="B55" i="44"/>
  <c r="C35" i="57"/>
  <c r="I7" i="43"/>
  <c r="I4" i="43"/>
  <c r="C29" i="62"/>
  <c r="C37" i="63"/>
  <c r="B33" i="55"/>
  <c r="D37" i="63" s="1"/>
  <c r="A34" i="55"/>
  <c r="O18" i="33"/>
  <c r="N19" i="33"/>
  <c r="P18" i="33"/>
  <c r="C13" i="46" s="1"/>
  <c r="T33" i="57"/>
  <c r="U33" i="57"/>
  <c r="F13" i="41"/>
  <c r="K36" i="63"/>
  <c r="A33" i="39"/>
  <c r="B32" i="39"/>
  <c r="L36" i="63" s="1"/>
  <c r="E35" i="57"/>
  <c r="D35" i="57"/>
  <c r="I14" i="42"/>
  <c r="I13" i="42"/>
  <c r="B17" i="42"/>
  <c r="E13" i="42"/>
  <c r="I12" i="42"/>
  <c r="E31" i="59"/>
  <c r="E17" i="39"/>
  <c r="J13" i="39"/>
  <c r="J12" i="39"/>
  <c r="J14" i="39"/>
  <c r="H28" i="62"/>
  <c r="A30" i="49"/>
  <c r="G33" i="63"/>
  <c r="A36" i="56"/>
  <c r="A39" i="63"/>
  <c r="C35" i="56"/>
  <c r="G29" i="62"/>
  <c r="E29" i="62"/>
  <c r="F29" i="62" s="1"/>
  <c r="B32" i="33"/>
  <c r="A33" i="33"/>
  <c r="A30" i="45"/>
  <c r="I33" i="63"/>
  <c r="B29" i="34"/>
  <c r="A30" i="34"/>
  <c r="B18" i="41"/>
  <c r="E16" i="41"/>
  <c r="E15" i="41"/>
  <c r="I34" i="57"/>
  <c r="O34" i="57"/>
  <c r="E33" i="58"/>
  <c r="C33" i="58" s="1"/>
  <c r="C36" i="59" s="1"/>
  <c r="N12" i="63" s="1"/>
  <c r="N37" i="63" s="1"/>
  <c r="V33" i="58"/>
  <c r="D33" i="58"/>
  <c r="I33" i="58"/>
  <c r="T34" i="57" l="1"/>
  <c r="U34" i="57"/>
  <c r="E17" i="41"/>
  <c r="J13" i="41"/>
  <c r="E33" i="59"/>
  <c r="J14" i="41"/>
  <c r="J12" i="41"/>
  <c r="I34" i="63"/>
  <c r="A31" i="45"/>
  <c r="N34" i="57"/>
  <c r="M34" i="57"/>
  <c r="H29" i="62"/>
  <c r="A37" i="56"/>
  <c r="A40" i="63"/>
  <c r="C36" i="56"/>
  <c r="N20" i="33"/>
  <c r="O19" i="33"/>
  <c r="P19" i="33"/>
  <c r="C13" i="47" s="1"/>
  <c r="G30" i="62"/>
  <c r="E30" i="62"/>
  <c r="F30" i="62" s="1"/>
  <c r="A34" i="33"/>
  <c r="B33" i="33"/>
  <c r="E15" i="42"/>
  <c r="B18" i="42"/>
  <c r="E16" i="42"/>
  <c r="F13" i="42" s="1"/>
  <c r="A34" i="39"/>
  <c r="K37" i="63"/>
  <c r="B33" i="39"/>
  <c r="L37" i="63" s="1"/>
  <c r="I1" i="46"/>
  <c r="B38" i="59"/>
  <c r="B35" i="58" s="1"/>
  <c r="E36" i="57"/>
  <c r="D36" i="57"/>
  <c r="B37" i="57"/>
  <c r="I2" i="45"/>
  <c r="B31" i="45"/>
  <c r="J35" i="63" s="1"/>
  <c r="B26" i="45"/>
  <c r="J30" i="63" s="1"/>
  <c r="B28" i="45"/>
  <c r="J32" i="63" s="1"/>
  <c r="B25" i="45"/>
  <c r="J29" i="63" s="1"/>
  <c r="B23" i="45"/>
  <c r="J27" i="63" s="1"/>
  <c r="B21" i="45"/>
  <c r="J25" i="63" s="1"/>
  <c r="B22" i="45"/>
  <c r="J26" i="63" s="1"/>
  <c r="B30" i="45"/>
  <c r="J34" i="63" s="1"/>
  <c r="B27" i="45"/>
  <c r="J31" i="63" s="1"/>
  <c r="B31" i="62"/>
  <c r="B24" i="45"/>
  <c r="J28" i="63" s="1"/>
  <c r="B29" i="45"/>
  <c r="J33" i="63" s="1"/>
  <c r="I35" i="57"/>
  <c r="O35" i="57"/>
  <c r="A31" i="34"/>
  <c r="B30" i="34"/>
  <c r="G34" i="63"/>
  <c r="A31" i="49"/>
  <c r="C38" i="63"/>
  <c r="A35" i="55"/>
  <c r="B34" i="55"/>
  <c r="D38" i="63" s="1"/>
  <c r="I14" i="43"/>
  <c r="I13" i="43"/>
  <c r="B17" i="43"/>
  <c r="L15" i="43" s="1"/>
  <c r="E13" i="43"/>
  <c r="I12" i="43"/>
  <c r="C36" i="57"/>
  <c r="I4" i="44"/>
  <c r="C30" i="62"/>
  <c r="I7" i="44"/>
  <c r="E34" i="63"/>
  <c r="A31" i="51"/>
  <c r="E34" i="58"/>
  <c r="C34" i="58" s="1"/>
  <c r="C37" i="59" s="1"/>
  <c r="N13" i="63" s="1"/>
  <c r="N36" i="63" s="1"/>
  <c r="D34" i="58"/>
  <c r="V34" i="58"/>
  <c r="A32" i="34" l="1"/>
  <c r="B31" i="34"/>
  <c r="E37" i="57"/>
  <c r="D37" i="57"/>
  <c r="I2" i="46"/>
  <c r="I3" i="46" s="1"/>
  <c r="B38" i="57"/>
  <c r="B84" i="46"/>
  <c r="B80" i="46"/>
  <c r="B76" i="46"/>
  <c r="B72" i="46"/>
  <c r="B68" i="46"/>
  <c r="B64" i="46"/>
  <c r="B60" i="46"/>
  <c r="B56" i="46"/>
  <c r="B52" i="46"/>
  <c r="B48" i="46"/>
  <c r="B44" i="46"/>
  <c r="B40" i="46"/>
  <c r="B36" i="46"/>
  <c r="B32" i="46"/>
  <c r="B28" i="46"/>
  <c r="B24" i="46"/>
  <c r="B83" i="46"/>
  <c r="B79" i="46"/>
  <c r="B75" i="46"/>
  <c r="B71" i="46"/>
  <c r="B67" i="46"/>
  <c r="B63" i="46"/>
  <c r="B59" i="46"/>
  <c r="B55" i="46"/>
  <c r="B51" i="46"/>
  <c r="B47" i="46"/>
  <c r="B43" i="46"/>
  <c r="B39" i="46"/>
  <c r="B35" i="46"/>
  <c r="B31" i="46"/>
  <c r="B27" i="46"/>
  <c r="B23" i="46"/>
  <c r="B85" i="46"/>
  <c r="B77" i="46"/>
  <c r="B69" i="46"/>
  <c r="B61" i="46"/>
  <c r="B53" i="46"/>
  <c r="B45" i="46"/>
  <c r="B37" i="46"/>
  <c r="B29" i="46"/>
  <c r="B21" i="46"/>
  <c r="B82" i="46"/>
  <c r="B74" i="46"/>
  <c r="B66" i="46"/>
  <c r="B58" i="46"/>
  <c r="B50" i="46"/>
  <c r="B42" i="46"/>
  <c r="B34" i="46"/>
  <c r="B26" i="46"/>
  <c r="B86" i="46"/>
  <c r="B70" i="46"/>
  <c r="B54" i="46"/>
  <c r="B38" i="46"/>
  <c r="B22" i="46"/>
  <c r="B78" i="46"/>
  <c r="B62" i="46"/>
  <c r="B46" i="46"/>
  <c r="B30" i="46"/>
  <c r="B65" i="46"/>
  <c r="B33" i="46"/>
  <c r="B81" i="46"/>
  <c r="B73" i="46"/>
  <c r="B57" i="46"/>
  <c r="B25" i="46"/>
  <c r="B49" i="46"/>
  <c r="B32" i="62"/>
  <c r="B41" i="46"/>
  <c r="A32" i="51"/>
  <c r="E35" i="63"/>
  <c r="E13" i="44"/>
  <c r="I12" i="44"/>
  <c r="B17" i="44"/>
  <c r="L15" i="44" s="1"/>
  <c r="I13" i="44"/>
  <c r="I14" i="44"/>
  <c r="A36" i="55"/>
  <c r="C39" i="63"/>
  <c r="B35" i="55"/>
  <c r="D39" i="63" s="1"/>
  <c r="T35" i="57"/>
  <c r="U35" i="57"/>
  <c r="J12" i="42"/>
  <c r="J14" i="42"/>
  <c r="E17" i="42"/>
  <c r="E34" i="59"/>
  <c r="J13" i="42"/>
  <c r="I1" i="47"/>
  <c r="B39" i="59"/>
  <c r="B36" i="58" s="1"/>
  <c r="M35" i="57"/>
  <c r="N35" i="57"/>
  <c r="G31" i="62"/>
  <c r="H31" i="62" s="1"/>
  <c r="E31" i="62"/>
  <c r="F31" i="62" s="1"/>
  <c r="I36" i="57"/>
  <c r="O36" i="57"/>
  <c r="O20" i="33"/>
  <c r="N21" i="33"/>
  <c r="P20" i="33"/>
  <c r="C13" i="48" s="1"/>
  <c r="A38" i="56"/>
  <c r="C37" i="56"/>
  <c r="A41" i="63"/>
  <c r="A32" i="45"/>
  <c r="I35" i="63"/>
  <c r="A32" i="49"/>
  <c r="G35" i="63"/>
  <c r="A35" i="33"/>
  <c r="B34" i="33"/>
  <c r="I34" i="58"/>
  <c r="B18" i="43"/>
  <c r="E16" i="43"/>
  <c r="E15" i="43"/>
  <c r="F13" i="43" s="1"/>
  <c r="I22" i="63"/>
  <c r="I3" i="45"/>
  <c r="E35" i="58"/>
  <c r="C35" i="58" s="1"/>
  <c r="C38" i="59" s="1"/>
  <c r="N14" i="63" s="1"/>
  <c r="N35" i="63" s="1"/>
  <c r="V35" i="58"/>
  <c r="D35" i="58"/>
  <c r="I35" i="58"/>
  <c r="K38" i="63"/>
  <c r="A35" i="39"/>
  <c r="B34" i="39"/>
  <c r="L38" i="63" s="1"/>
  <c r="H30" i="62"/>
  <c r="A33" i="45" l="1"/>
  <c r="I36" i="63"/>
  <c r="B32" i="45"/>
  <c r="J36" i="63" s="1"/>
  <c r="T36" i="57"/>
  <c r="U36" i="57"/>
  <c r="A33" i="51"/>
  <c r="E36" i="63"/>
  <c r="G32" i="62"/>
  <c r="E32" i="62"/>
  <c r="F32" i="62" s="1"/>
  <c r="I37" i="57"/>
  <c r="O37" i="57"/>
  <c r="N22" i="33"/>
  <c r="O21" i="33"/>
  <c r="P21" i="33"/>
  <c r="C13" i="49" s="1"/>
  <c r="E36" i="58"/>
  <c r="C36" i="58" s="1"/>
  <c r="C39" i="59" s="1"/>
  <c r="N15" i="63" s="1"/>
  <c r="N34" i="63" s="1"/>
  <c r="V36" i="58"/>
  <c r="D36" i="58"/>
  <c r="I36" i="58"/>
  <c r="A37" i="55"/>
  <c r="C40" i="63"/>
  <c r="B36" i="55"/>
  <c r="D40" i="63" s="1"/>
  <c r="B18" i="44"/>
  <c r="E15" i="44"/>
  <c r="E16" i="44"/>
  <c r="E38" i="57"/>
  <c r="D38" i="57"/>
  <c r="A39" i="56"/>
  <c r="A42" i="63"/>
  <c r="C38" i="56"/>
  <c r="K39" i="63"/>
  <c r="A36" i="39"/>
  <c r="B35" i="39"/>
  <c r="L39" i="63" s="1"/>
  <c r="A33" i="49"/>
  <c r="G36" i="63"/>
  <c r="M36" i="57"/>
  <c r="N36" i="57"/>
  <c r="C37" i="57"/>
  <c r="I4" i="45"/>
  <c r="C31" i="62"/>
  <c r="I7" i="45"/>
  <c r="E35" i="59"/>
  <c r="E17" i="43"/>
  <c r="J13" i="43"/>
  <c r="J14" i="43"/>
  <c r="J12" i="43"/>
  <c r="A36" i="33"/>
  <c r="B35" i="33"/>
  <c r="B40" i="59"/>
  <c r="B37" i="58" s="1"/>
  <c r="I1" i="48"/>
  <c r="B39" i="57"/>
  <c r="I2" i="47"/>
  <c r="I3" i="47" s="1"/>
  <c r="B86" i="47"/>
  <c r="B82" i="47"/>
  <c r="B78" i="47"/>
  <c r="B74" i="47"/>
  <c r="B70" i="47"/>
  <c r="B66" i="47"/>
  <c r="B62" i="47"/>
  <c r="B58" i="47"/>
  <c r="B54" i="47"/>
  <c r="B50" i="47"/>
  <c r="B46" i="47"/>
  <c r="B42" i="47"/>
  <c r="B38" i="47"/>
  <c r="B34" i="47"/>
  <c r="B30" i="47"/>
  <c r="B26" i="47"/>
  <c r="B22" i="47"/>
  <c r="B85" i="47"/>
  <c r="B81" i="47"/>
  <c r="B77" i="47"/>
  <c r="B73" i="47"/>
  <c r="B69" i="47"/>
  <c r="B65" i="47"/>
  <c r="B61" i="47"/>
  <c r="B57" i="47"/>
  <c r="B53" i="47"/>
  <c r="B49" i="47"/>
  <c r="B45" i="47"/>
  <c r="B41" i="47"/>
  <c r="B37" i="47"/>
  <c r="B33" i="47"/>
  <c r="B29" i="47"/>
  <c r="B25" i="47"/>
  <c r="B21" i="47"/>
  <c r="B83" i="47"/>
  <c r="B75" i="47"/>
  <c r="B67" i="47"/>
  <c r="B59" i="47"/>
  <c r="B51" i="47"/>
  <c r="B43" i="47"/>
  <c r="B35" i="47"/>
  <c r="B27" i="47"/>
  <c r="B80" i="47"/>
  <c r="B72" i="47"/>
  <c r="B64" i="47"/>
  <c r="B56" i="47"/>
  <c r="B48" i="47"/>
  <c r="B40" i="47"/>
  <c r="B32" i="47"/>
  <c r="B24" i="47"/>
  <c r="B84" i="47"/>
  <c r="B68" i="47"/>
  <c r="B52" i="47"/>
  <c r="B36" i="47"/>
  <c r="B76" i="47"/>
  <c r="B60" i="47"/>
  <c r="B44" i="47"/>
  <c r="B28" i="47"/>
  <c r="B71" i="47"/>
  <c r="B39" i="47"/>
  <c r="B23" i="47"/>
  <c r="B33" i="62"/>
  <c r="B63" i="47"/>
  <c r="B31" i="47"/>
  <c r="B55" i="47"/>
  <c r="B79" i="47"/>
  <c r="B47" i="47"/>
  <c r="F13" i="44"/>
  <c r="C38" i="57"/>
  <c r="I7" i="46"/>
  <c r="I4" i="46"/>
  <c r="C32" i="62"/>
  <c r="A33" i="34"/>
  <c r="B32" i="34"/>
  <c r="G33" i="62" l="1"/>
  <c r="E33" i="62"/>
  <c r="F33" i="62" s="1"/>
  <c r="C39" i="57"/>
  <c r="I4" i="47"/>
  <c r="I7" i="47"/>
  <c r="C33" i="62"/>
  <c r="I38" i="57"/>
  <c r="O38" i="57"/>
  <c r="I1" i="49"/>
  <c r="B41" i="59"/>
  <c r="B38" i="58" s="1"/>
  <c r="E39" i="57"/>
  <c r="D39" i="57"/>
  <c r="A37" i="33"/>
  <c r="B36" i="33"/>
  <c r="E13" i="45"/>
  <c r="I13" i="45"/>
  <c r="I14" i="45"/>
  <c r="I12" i="45"/>
  <c r="B17" i="45"/>
  <c r="L15" i="45" s="1"/>
  <c r="K40" i="63"/>
  <c r="A37" i="39"/>
  <c r="B36" i="39"/>
  <c r="L40" i="63" s="1"/>
  <c r="O22" i="33"/>
  <c r="N23" i="33"/>
  <c r="P22" i="33"/>
  <c r="C13" i="50" s="1"/>
  <c r="H32" i="62"/>
  <c r="A34" i="45"/>
  <c r="I37" i="63"/>
  <c r="B33" i="45"/>
  <c r="J37" i="63" s="1"/>
  <c r="E37" i="58"/>
  <c r="C37" i="58" s="1"/>
  <c r="C40" i="59" s="1"/>
  <c r="N16" i="63" s="1"/>
  <c r="N33" i="63" s="1"/>
  <c r="V37" i="58"/>
  <c r="D37" i="58"/>
  <c r="A34" i="49"/>
  <c r="G37" i="63"/>
  <c r="J12" i="44"/>
  <c r="J14" i="44"/>
  <c r="E36" i="59"/>
  <c r="E17" i="44"/>
  <c r="J13" i="44"/>
  <c r="M37" i="57"/>
  <c r="N37" i="57"/>
  <c r="A34" i="51"/>
  <c r="E37" i="63"/>
  <c r="E13" i="46"/>
  <c r="I12" i="46"/>
  <c r="I14" i="46"/>
  <c r="I13" i="46"/>
  <c r="B17" i="46"/>
  <c r="L15" i="46" s="1"/>
  <c r="B33" i="34"/>
  <c r="A34" i="34"/>
  <c r="B40" i="57"/>
  <c r="I2" i="48"/>
  <c r="I3" i="48" s="1"/>
  <c r="B84" i="48"/>
  <c r="B80" i="48"/>
  <c r="B76" i="48"/>
  <c r="B72" i="48"/>
  <c r="B68" i="48"/>
  <c r="B64" i="48"/>
  <c r="B60" i="48"/>
  <c r="B56" i="48"/>
  <c r="B52" i="48"/>
  <c r="B48" i="48"/>
  <c r="B44" i="48"/>
  <c r="B40" i="48"/>
  <c r="B36" i="48"/>
  <c r="B32" i="48"/>
  <c r="B28" i="48"/>
  <c r="B24" i="48"/>
  <c r="B83" i="48"/>
  <c r="B79" i="48"/>
  <c r="B75" i="48"/>
  <c r="B71" i="48"/>
  <c r="B67" i="48"/>
  <c r="B63" i="48"/>
  <c r="B59" i="48"/>
  <c r="B55" i="48"/>
  <c r="B51" i="48"/>
  <c r="B47" i="48"/>
  <c r="B43" i="48"/>
  <c r="B39" i="48"/>
  <c r="B35" i="48"/>
  <c r="B31" i="48"/>
  <c r="B27" i="48"/>
  <c r="B23" i="48"/>
  <c r="B81" i="48"/>
  <c r="B73" i="48"/>
  <c r="B65" i="48"/>
  <c r="B57" i="48"/>
  <c r="B49" i="48"/>
  <c r="B41" i="48"/>
  <c r="B33" i="48"/>
  <c r="B25" i="48"/>
  <c r="B86" i="48"/>
  <c r="B78" i="48"/>
  <c r="B70" i="48"/>
  <c r="B62" i="48"/>
  <c r="B54" i="48"/>
  <c r="B46" i="48"/>
  <c r="B38" i="48"/>
  <c r="B30" i="48"/>
  <c r="B22" i="48"/>
  <c r="B34" i="62"/>
  <c r="B77" i="48"/>
  <c r="B61" i="48"/>
  <c r="B45" i="48"/>
  <c r="B29" i="48"/>
  <c r="B85" i="48"/>
  <c r="B69" i="48"/>
  <c r="B53" i="48"/>
  <c r="B66" i="48"/>
  <c r="B37" i="48"/>
  <c r="B82" i="48"/>
  <c r="B50" i="48"/>
  <c r="B26" i="48"/>
  <c r="B58" i="48"/>
  <c r="B34" i="48"/>
  <c r="B74" i="48"/>
  <c r="B42" i="48"/>
  <c r="B21" i="48"/>
  <c r="A40" i="56"/>
  <c r="A43" i="63"/>
  <c r="C39" i="56"/>
  <c r="A38" i="55"/>
  <c r="C41" i="63"/>
  <c r="B37" i="55"/>
  <c r="D41" i="63" s="1"/>
  <c r="T37" i="57"/>
  <c r="U37" i="57"/>
  <c r="E38" i="63" l="1"/>
  <c r="A35" i="51"/>
  <c r="I38" i="63"/>
  <c r="A35" i="45"/>
  <c r="B34" i="45"/>
  <c r="J38" i="63" s="1"/>
  <c r="I1" i="50"/>
  <c r="B42" i="59"/>
  <c r="B39" i="58" s="1"/>
  <c r="T38" i="57"/>
  <c r="U38" i="57"/>
  <c r="E15" i="45"/>
  <c r="B18" i="45"/>
  <c r="E16" i="45"/>
  <c r="E38" i="58"/>
  <c r="C38" i="58" s="1"/>
  <c r="C41" i="59" s="1"/>
  <c r="N17" i="63" s="1"/>
  <c r="N32" i="63" s="1"/>
  <c r="D38" i="58"/>
  <c r="V38" i="58"/>
  <c r="I7" i="48"/>
  <c r="I4" i="48"/>
  <c r="C40" i="57"/>
  <c r="C34" i="62"/>
  <c r="I37" i="58"/>
  <c r="A38" i="39"/>
  <c r="K41" i="63"/>
  <c r="B37" i="39"/>
  <c r="L41" i="63" s="1"/>
  <c r="B37" i="33"/>
  <c r="A38" i="33"/>
  <c r="B41" i="57"/>
  <c r="I2" i="49"/>
  <c r="B34" i="49"/>
  <c r="H38" i="63" s="1"/>
  <c r="B32" i="49"/>
  <c r="H36" i="63" s="1"/>
  <c r="B30" i="49"/>
  <c r="H34" i="63" s="1"/>
  <c r="B28" i="49"/>
  <c r="H32" i="63" s="1"/>
  <c r="B26" i="49"/>
  <c r="H30" i="63" s="1"/>
  <c r="B24" i="49"/>
  <c r="H28" i="63" s="1"/>
  <c r="B22" i="49"/>
  <c r="H26" i="63" s="1"/>
  <c r="B33" i="49"/>
  <c r="H37" i="63" s="1"/>
  <c r="B29" i="49"/>
  <c r="H33" i="63" s="1"/>
  <c r="B25" i="49"/>
  <c r="H29" i="63" s="1"/>
  <c r="B21" i="49"/>
  <c r="H25" i="63" s="1"/>
  <c r="B27" i="49"/>
  <c r="H31" i="63" s="1"/>
  <c r="B35" i="62"/>
  <c r="B31" i="49"/>
  <c r="H35" i="63" s="1"/>
  <c r="B23" i="49"/>
  <c r="H27" i="63" s="1"/>
  <c r="G34" i="62"/>
  <c r="E34" i="62"/>
  <c r="F34" i="62" s="1"/>
  <c r="A35" i="34"/>
  <c r="B34" i="34"/>
  <c r="F13" i="45"/>
  <c r="I39" i="57"/>
  <c r="O39" i="57"/>
  <c r="I12" i="47"/>
  <c r="E13" i="47"/>
  <c r="I13" i="47"/>
  <c r="I14" i="47"/>
  <c r="B17" i="47"/>
  <c r="L15" i="47" s="1"/>
  <c r="C42" i="63"/>
  <c r="A39" i="55"/>
  <c r="B38" i="55"/>
  <c r="D42" i="63" s="1"/>
  <c r="A44" i="63"/>
  <c r="A41" i="56"/>
  <c r="C40" i="56"/>
  <c r="B18" i="46"/>
  <c r="E16" i="46"/>
  <c r="E15" i="46"/>
  <c r="F13" i="46" s="1"/>
  <c r="G38" i="63"/>
  <c r="A35" i="49"/>
  <c r="B35" i="49" s="1"/>
  <c r="H39" i="63" s="1"/>
  <c r="N38" i="57"/>
  <c r="M38" i="57"/>
  <c r="E40" i="57"/>
  <c r="D40" i="57"/>
  <c r="O23" i="33"/>
  <c r="N24" i="33"/>
  <c r="P23" i="33"/>
  <c r="C13" i="51" s="1"/>
  <c r="H33" i="62"/>
  <c r="B43" i="59" l="1"/>
  <c r="B40" i="58" s="1"/>
  <c r="I1" i="51"/>
  <c r="A40" i="55"/>
  <c r="C43" i="63"/>
  <c r="B39" i="55"/>
  <c r="D43" i="63" s="1"/>
  <c r="K42" i="63"/>
  <c r="A39" i="39"/>
  <c r="B38" i="39"/>
  <c r="L42" i="63" s="1"/>
  <c r="A36" i="45"/>
  <c r="I39" i="63"/>
  <c r="B35" i="45"/>
  <c r="J39" i="63" s="1"/>
  <c r="A42" i="56"/>
  <c r="A45" i="63"/>
  <c r="C41" i="56"/>
  <c r="E13" i="48"/>
  <c r="I12" i="48"/>
  <c r="B17" i="48"/>
  <c r="L15" i="48" s="1"/>
  <c r="I13" i="48"/>
  <c r="I14" i="48"/>
  <c r="E17" i="46"/>
  <c r="E38" i="59"/>
  <c r="J13" i="46"/>
  <c r="J12" i="46"/>
  <c r="J14" i="46"/>
  <c r="E15" i="47"/>
  <c r="B18" i="47"/>
  <c r="E16" i="47"/>
  <c r="G22" i="63"/>
  <c r="I3" i="49"/>
  <c r="I2" i="50"/>
  <c r="I3" i="50" s="1"/>
  <c r="B42" i="57"/>
  <c r="B85" i="50"/>
  <c r="B81" i="50"/>
  <c r="B77" i="50"/>
  <c r="B73" i="50"/>
  <c r="B69" i="50"/>
  <c r="B65" i="50"/>
  <c r="B61" i="50"/>
  <c r="B57" i="50"/>
  <c r="B53" i="50"/>
  <c r="B49" i="50"/>
  <c r="B45" i="50"/>
  <c r="B41" i="50"/>
  <c r="B37" i="50"/>
  <c r="B33" i="50"/>
  <c r="B29" i="50"/>
  <c r="B25" i="50"/>
  <c r="B21" i="50"/>
  <c r="B84" i="50"/>
  <c r="B80" i="50"/>
  <c r="B76" i="50"/>
  <c r="B72" i="50"/>
  <c r="B68" i="50"/>
  <c r="B64" i="50"/>
  <c r="B60" i="50"/>
  <c r="B56" i="50"/>
  <c r="B52" i="50"/>
  <c r="B48" i="50"/>
  <c r="B44" i="50"/>
  <c r="B40" i="50"/>
  <c r="B36" i="50"/>
  <c r="B32" i="50"/>
  <c r="B28" i="50"/>
  <c r="B24" i="50"/>
  <c r="B82" i="50"/>
  <c r="B74" i="50"/>
  <c r="B66" i="50"/>
  <c r="B58" i="50"/>
  <c r="B50" i="50"/>
  <c r="B42" i="50"/>
  <c r="B34" i="50"/>
  <c r="B26" i="50"/>
  <c r="B79" i="50"/>
  <c r="B71" i="50"/>
  <c r="B63" i="50"/>
  <c r="B55" i="50"/>
  <c r="B47" i="50"/>
  <c r="B39" i="50"/>
  <c r="B31" i="50"/>
  <c r="B23" i="50"/>
  <c r="B83" i="50"/>
  <c r="B67" i="50"/>
  <c r="B51" i="50"/>
  <c r="B35" i="50"/>
  <c r="B86" i="50"/>
  <c r="B62" i="50"/>
  <c r="B43" i="50"/>
  <c r="B22" i="50"/>
  <c r="B36" i="62"/>
  <c r="B75" i="50"/>
  <c r="B30" i="50"/>
  <c r="B70" i="50"/>
  <c r="B46" i="50"/>
  <c r="B78" i="50"/>
  <c r="B59" i="50"/>
  <c r="B38" i="50"/>
  <c r="B54" i="50"/>
  <c r="B27" i="50"/>
  <c r="A36" i="51"/>
  <c r="E39" i="63"/>
  <c r="M39" i="57"/>
  <c r="N39" i="57"/>
  <c r="A39" i="33"/>
  <c r="B38" i="33"/>
  <c r="E37" i="59"/>
  <c r="J12" i="45"/>
  <c r="J14" i="45"/>
  <c r="J13" i="45"/>
  <c r="E17" i="45"/>
  <c r="F13" i="47"/>
  <c r="H34" i="62"/>
  <c r="E39" i="58"/>
  <c r="C39" i="58" s="1"/>
  <c r="C42" i="59" s="1"/>
  <c r="N18" i="63" s="1"/>
  <c r="N31" i="63" s="1"/>
  <c r="V39" i="58"/>
  <c r="D39" i="58"/>
  <c r="A36" i="49"/>
  <c r="G39" i="63"/>
  <c r="O24" i="33"/>
  <c r="N25" i="33"/>
  <c r="P24" i="33"/>
  <c r="C13" i="52" s="1"/>
  <c r="I40" i="57"/>
  <c r="O40" i="57"/>
  <c r="T39" i="57"/>
  <c r="U39" i="57"/>
  <c r="A36" i="34"/>
  <c r="B35" i="34"/>
  <c r="G35" i="62"/>
  <c r="E35" i="62"/>
  <c r="F35" i="62" s="1"/>
  <c r="E41" i="57"/>
  <c r="D41" i="57"/>
  <c r="I38" i="58"/>
  <c r="M40" i="57" l="1"/>
  <c r="N40" i="57"/>
  <c r="G36" i="62"/>
  <c r="E36" i="62"/>
  <c r="F36" i="62" s="1"/>
  <c r="A43" i="56"/>
  <c r="C42" i="56"/>
  <c r="A46" i="63"/>
  <c r="H35" i="62"/>
  <c r="A37" i="49"/>
  <c r="G40" i="63"/>
  <c r="B36" i="49"/>
  <c r="H40" i="63" s="1"/>
  <c r="C42" i="57"/>
  <c r="I4" i="50"/>
  <c r="I7" i="50"/>
  <c r="C36" i="62"/>
  <c r="J12" i="47"/>
  <c r="J14" i="47"/>
  <c r="E39" i="59"/>
  <c r="J13" i="47"/>
  <c r="E17" i="47"/>
  <c r="A41" i="55"/>
  <c r="C44" i="63"/>
  <c r="B40" i="55"/>
  <c r="D44" i="63" s="1"/>
  <c r="O25" i="33"/>
  <c r="N27" i="33"/>
  <c r="P25" i="33"/>
  <c r="C13" i="53" s="1"/>
  <c r="I39" i="58"/>
  <c r="C41" i="57"/>
  <c r="I4" i="49"/>
  <c r="I7" i="49"/>
  <c r="C35" i="62"/>
  <c r="B43" i="57"/>
  <c r="I2" i="51"/>
  <c r="B22" i="51"/>
  <c r="F26" i="63" s="1"/>
  <c r="B24" i="51"/>
  <c r="F28" i="63" s="1"/>
  <c r="B26" i="51"/>
  <c r="F30" i="63" s="1"/>
  <c r="B28" i="51"/>
  <c r="F32" i="63" s="1"/>
  <c r="B30" i="51"/>
  <c r="F34" i="63" s="1"/>
  <c r="B32" i="51"/>
  <c r="F36" i="63" s="1"/>
  <c r="B34" i="51"/>
  <c r="F38" i="63" s="1"/>
  <c r="B36" i="51"/>
  <c r="F40" i="63" s="1"/>
  <c r="B23" i="51"/>
  <c r="F27" i="63" s="1"/>
  <c r="B27" i="51"/>
  <c r="F31" i="63" s="1"/>
  <c r="B31" i="51"/>
  <c r="F35" i="63" s="1"/>
  <c r="B35" i="51"/>
  <c r="F39" i="63" s="1"/>
  <c r="B21" i="51"/>
  <c r="F25" i="63" s="1"/>
  <c r="B29" i="51"/>
  <c r="F33" i="63" s="1"/>
  <c r="B37" i="51"/>
  <c r="F41" i="63" s="1"/>
  <c r="B25" i="51"/>
  <c r="F29" i="63" s="1"/>
  <c r="B33" i="51"/>
  <c r="F37" i="63" s="1"/>
  <c r="B37" i="62"/>
  <c r="D42" i="57"/>
  <c r="E42" i="57"/>
  <c r="K43" i="63"/>
  <c r="A40" i="39"/>
  <c r="B39" i="39"/>
  <c r="L43" i="63" s="1"/>
  <c r="I41" i="57"/>
  <c r="O41" i="57"/>
  <c r="A37" i="34"/>
  <c r="B36" i="34"/>
  <c r="T40" i="57"/>
  <c r="U40" i="57"/>
  <c r="B44" i="59"/>
  <c r="B41" i="58" s="1"/>
  <c r="I1" i="52"/>
  <c r="A40" i="33"/>
  <c r="B39" i="33"/>
  <c r="A37" i="51"/>
  <c r="E40" i="63"/>
  <c r="B18" i="48"/>
  <c r="E16" i="48"/>
  <c r="E15" i="48"/>
  <c r="F13" i="48" s="1"/>
  <c r="A37" i="45"/>
  <c r="I40" i="63"/>
  <c r="B36" i="45"/>
  <c r="J40" i="63" s="1"/>
  <c r="E40" i="58"/>
  <c r="C40" i="58" s="1"/>
  <c r="C43" i="59" s="1"/>
  <c r="N19" i="63" s="1"/>
  <c r="N30" i="63" s="1"/>
  <c r="D40" i="58"/>
  <c r="V40" i="58"/>
  <c r="I40" i="58"/>
  <c r="A41" i="33" l="1"/>
  <c r="B40" i="33"/>
  <c r="K44" i="63"/>
  <c r="A41" i="39"/>
  <c r="B40" i="39"/>
  <c r="L44" i="63" s="1"/>
  <c r="E22" i="63"/>
  <c r="I3" i="51"/>
  <c r="I14" i="49"/>
  <c r="E13" i="49"/>
  <c r="I13" i="49"/>
  <c r="B17" i="49"/>
  <c r="L15" i="49" s="1"/>
  <c r="I12" i="49"/>
  <c r="O27" i="33"/>
  <c r="N26" i="33"/>
  <c r="P27" i="33"/>
  <c r="C45" i="63"/>
  <c r="A42" i="55"/>
  <c r="B41" i="55"/>
  <c r="D45" i="63" s="1"/>
  <c r="E13" i="50"/>
  <c r="B17" i="50"/>
  <c r="L15" i="50" s="1"/>
  <c r="I12" i="50"/>
  <c r="I13" i="50"/>
  <c r="I14" i="50"/>
  <c r="A38" i="49"/>
  <c r="G41" i="63"/>
  <c r="B37" i="49"/>
  <c r="H41" i="63" s="1"/>
  <c r="H36" i="62"/>
  <c r="A38" i="51"/>
  <c r="E41" i="63"/>
  <c r="I2" i="52"/>
  <c r="I3" i="52" s="1"/>
  <c r="B44" i="57"/>
  <c r="B83" i="52"/>
  <c r="B79" i="52"/>
  <c r="B75" i="52"/>
  <c r="B71" i="52"/>
  <c r="B67" i="52"/>
  <c r="B63" i="52"/>
  <c r="B59" i="52"/>
  <c r="B55" i="52"/>
  <c r="B51" i="52"/>
  <c r="B47" i="52"/>
  <c r="B43" i="52"/>
  <c r="B39" i="52"/>
  <c r="B35" i="52"/>
  <c r="B31" i="52"/>
  <c r="B27" i="52"/>
  <c r="B23" i="52"/>
  <c r="B86" i="52"/>
  <c r="B81" i="52"/>
  <c r="B76" i="52"/>
  <c r="B70" i="52"/>
  <c r="B65" i="52"/>
  <c r="B60" i="52"/>
  <c r="B54" i="52"/>
  <c r="B49" i="52"/>
  <c r="B44" i="52"/>
  <c r="B38" i="52"/>
  <c r="B33" i="52"/>
  <c r="B28" i="52"/>
  <c r="B22" i="52"/>
  <c r="B85" i="52"/>
  <c r="B80" i="52"/>
  <c r="B74" i="52"/>
  <c r="B69" i="52"/>
  <c r="B64" i="52"/>
  <c r="B58" i="52"/>
  <c r="B53" i="52"/>
  <c r="B48" i="52"/>
  <c r="B42" i="52"/>
  <c r="B37" i="52"/>
  <c r="B32" i="52"/>
  <c r="B26" i="52"/>
  <c r="B21" i="52"/>
  <c r="B38" i="62"/>
  <c r="B77" i="52"/>
  <c r="B66" i="52"/>
  <c r="B56" i="52"/>
  <c r="B45" i="52"/>
  <c r="B34" i="52"/>
  <c r="B24" i="52"/>
  <c r="B72" i="52"/>
  <c r="B50" i="52"/>
  <c r="B29" i="52"/>
  <c r="B78" i="52"/>
  <c r="B57" i="52"/>
  <c r="B36" i="52"/>
  <c r="B25" i="52"/>
  <c r="B84" i="52"/>
  <c r="B73" i="52"/>
  <c r="B62" i="52"/>
  <c r="B52" i="52"/>
  <c r="B41" i="52"/>
  <c r="B30" i="52"/>
  <c r="B82" i="52"/>
  <c r="B61" i="52"/>
  <c r="B40" i="52"/>
  <c r="B68" i="52"/>
  <c r="B46" i="52"/>
  <c r="M41" i="57"/>
  <c r="N41" i="57"/>
  <c r="G37" i="62"/>
  <c r="E37" i="62"/>
  <c r="F37" i="62" s="1"/>
  <c r="E43" i="57"/>
  <c r="D43" i="57"/>
  <c r="B45" i="59"/>
  <c r="B42" i="58" s="1"/>
  <c r="I1" i="53"/>
  <c r="A44" i="56"/>
  <c r="A47" i="63"/>
  <c r="C43" i="56"/>
  <c r="J13" i="48"/>
  <c r="J12" i="48"/>
  <c r="J14" i="48"/>
  <c r="E40" i="59"/>
  <c r="E17" i="48"/>
  <c r="B37" i="34"/>
  <c r="A38" i="34"/>
  <c r="A38" i="45"/>
  <c r="I41" i="63"/>
  <c r="B37" i="45"/>
  <c r="J41" i="63" s="1"/>
  <c r="T41" i="57"/>
  <c r="U41" i="57"/>
  <c r="E41" i="58"/>
  <c r="C41" i="58" s="1"/>
  <c r="C44" i="59" s="1"/>
  <c r="N20" i="63" s="1"/>
  <c r="N29" i="63" s="1"/>
  <c r="V41" i="58"/>
  <c r="D41" i="58"/>
  <c r="I42" i="57"/>
  <c r="O42" i="57"/>
  <c r="I42" i="63" l="1"/>
  <c r="A39" i="45"/>
  <c r="B38" i="45"/>
  <c r="J42" i="63" s="1"/>
  <c r="I43" i="57"/>
  <c r="O43" i="57"/>
  <c r="E42" i="63"/>
  <c r="A39" i="51"/>
  <c r="B38" i="51"/>
  <c r="F42" i="63" s="1"/>
  <c r="G42" i="63"/>
  <c r="A39" i="49"/>
  <c r="B38" i="49"/>
  <c r="H42" i="63" s="1"/>
  <c r="B18" i="49"/>
  <c r="E16" i="49"/>
  <c r="E15" i="49"/>
  <c r="A42" i="39"/>
  <c r="K45" i="63"/>
  <c r="B41" i="39"/>
  <c r="L45" i="63" s="1"/>
  <c r="T42" i="57"/>
  <c r="U42" i="57"/>
  <c r="C43" i="57"/>
  <c r="I4" i="51"/>
  <c r="I7" i="51"/>
  <c r="C37" i="62"/>
  <c r="B38" i="34"/>
  <c r="A39" i="34"/>
  <c r="E42" i="58"/>
  <c r="C42" i="58" s="1"/>
  <c r="C45" i="59" s="1"/>
  <c r="N21" i="63" s="1"/>
  <c r="N28" i="63" s="1"/>
  <c r="D42" i="58"/>
  <c r="V42" i="58"/>
  <c r="I42" i="58"/>
  <c r="H37" i="62"/>
  <c r="C44" i="57"/>
  <c r="I4" i="52"/>
  <c r="I7" i="52"/>
  <c r="C38" i="62"/>
  <c r="O26" i="33"/>
  <c r="P26" i="33"/>
  <c r="C13" i="55" s="1"/>
  <c r="A45" i="56"/>
  <c r="A48" i="63"/>
  <c r="C44" i="56"/>
  <c r="G38" i="62"/>
  <c r="E38" i="62"/>
  <c r="F38" i="62" s="1"/>
  <c r="B45" i="57"/>
  <c r="I2" i="53"/>
  <c r="I3" i="53" s="1"/>
  <c r="B84" i="53"/>
  <c r="B80" i="53"/>
  <c r="B76" i="53"/>
  <c r="B72" i="53"/>
  <c r="B68" i="53"/>
  <c r="B64" i="53"/>
  <c r="B60" i="53"/>
  <c r="B56" i="53"/>
  <c r="B52" i="53"/>
  <c r="B48" i="53"/>
  <c r="B44" i="53"/>
  <c r="B40" i="53"/>
  <c r="B36" i="53"/>
  <c r="B32" i="53"/>
  <c r="B28" i="53"/>
  <c r="B24" i="53"/>
  <c r="B104" i="53"/>
  <c r="B108" i="53"/>
  <c r="B112" i="53"/>
  <c r="B116" i="53"/>
  <c r="B120" i="53"/>
  <c r="B95" i="53"/>
  <c r="B99" i="53"/>
  <c r="B103" i="53"/>
  <c r="B86" i="53"/>
  <c r="B81" i="53"/>
  <c r="B75" i="53"/>
  <c r="B70" i="53"/>
  <c r="B65" i="53"/>
  <c r="B59" i="53"/>
  <c r="B54" i="53"/>
  <c r="B49" i="53"/>
  <c r="B43" i="53"/>
  <c r="B38" i="53"/>
  <c r="B33" i="53"/>
  <c r="B27" i="53"/>
  <c r="B22" i="53"/>
  <c r="B109" i="53"/>
  <c r="B114" i="53"/>
  <c r="B119" i="53"/>
  <c r="B96" i="53"/>
  <c r="B101" i="53"/>
  <c r="B39" i="62"/>
  <c r="B85" i="53"/>
  <c r="B79" i="53"/>
  <c r="B74" i="53"/>
  <c r="B69" i="53"/>
  <c r="B63" i="53"/>
  <c r="B58" i="53"/>
  <c r="B53" i="53"/>
  <c r="B47" i="53"/>
  <c r="B42" i="53"/>
  <c r="B37" i="53"/>
  <c r="B31" i="53"/>
  <c r="B26" i="53"/>
  <c r="B21" i="53"/>
  <c r="B105" i="53"/>
  <c r="B110" i="53"/>
  <c r="B115" i="53"/>
  <c r="B121" i="53"/>
  <c r="B97" i="53"/>
  <c r="B102" i="53"/>
  <c r="B77" i="53"/>
  <c r="B66" i="53"/>
  <c r="B55" i="53"/>
  <c r="B45" i="53"/>
  <c r="B34" i="53"/>
  <c r="B23" i="53"/>
  <c r="B107" i="53"/>
  <c r="B118" i="53"/>
  <c r="B100" i="53"/>
  <c r="B71" i="53"/>
  <c r="B61" i="53"/>
  <c r="B39" i="53"/>
  <c r="B113" i="53"/>
  <c r="B78" i="53"/>
  <c r="B57" i="53"/>
  <c r="B46" i="53"/>
  <c r="B25" i="53"/>
  <c r="B106" i="53"/>
  <c r="B117" i="53"/>
  <c r="B98" i="53"/>
  <c r="B83" i="53"/>
  <c r="B73" i="53"/>
  <c r="B62" i="53"/>
  <c r="B51" i="53"/>
  <c r="B41" i="53"/>
  <c r="B30" i="53"/>
  <c r="B111" i="53"/>
  <c r="B122" i="53"/>
  <c r="B82" i="53"/>
  <c r="B50" i="53"/>
  <c r="B29" i="53"/>
  <c r="B94" i="53"/>
  <c r="B67" i="53"/>
  <c r="B35" i="53"/>
  <c r="E44" i="57"/>
  <c r="D44" i="57"/>
  <c r="C13" i="58"/>
  <c r="C13" i="54"/>
  <c r="N42" i="57"/>
  <c r="M42" i="57"/>
  <c r="I41" i="58"/>
  <c r="E15" i="50"/>
  <c r="F13" i="50" s="1"/>
  <c r="E16" i="50"/>
  <c r="B18" i="50"/>
  <c r="C46" i="63"/>
  <c r="A43" i="55"/>
  <c r="B42" i="55"/>
  <c r="D46" i="63" s="1"/>
  <c r="B47" i="59"/>
  <c r="B44" i="58" s="1"/>
  <c r="N28" i="33"/>
  <c r="P28" i="33" s="1"/>
  <c r="F13" i="49"/>
  <c r="B41" i="33"/>
  <c r="A42" i="33"/>
  <c r="E45" i="57" l="1"/>
  <c r="D45" i="57"/>
  <c r="I1" i="54"/>
  <c r="B46" i="59"/>
  <c r="B43" i="58" s="1"/>
  <c r="I44" i="57"/>
  <c r="O44" i="57"/>
  <c r="K46" i="63"/>
  <c r="A43" i="39"/>
  <c r="B42" i="39"/>
  <c r="L46" i="63" s="1"/>
  <c r="A40" i="51"/>
  <c r="E43" i="63"/>
  <c r="B39" i="51"/>
  <c r="F43" i="63" s="1"/>
  <c r="G39" i="62"/>
  <c r="E39" i="62"/>
  <c r="F39" i="62" s="1"/>
  <c r="H38" i="62"/>
  <c r="A46" i="56"/>
  <c r="C45" i="56"/>
  <c r="A49" i="63"/>
  <c r="A40" i="34"/>
  <c r="B39" i="34"/>
  <c r="E13" i="51"/>
  <c r="I14" i="51"/>
  <c r="B17" i="51"/>
  <c r="L15" i="51" s="1"/>
  <c r="I12" i="51"/>
  <c r="I13" i="51"/>
  <c r="A40" i="49"/>
  <c r="G43" i="63"/>
  <c r="B39" i="49"/>
  <c r="H43" i="63" s="1"/>
  <c r="A40" i="45"/>
  <c r="I43" i="63"/>
  <c r="B39" i="45"/>
  <c r="J43" i="63" s="1"/>
  <c r="J13" i="49"/>
  <c r="J12" i="49"/>
  <c r="J14" i="49"/>
  <c r="E17" i="49"/>
  <c r="E41" i="59"/>
  <c r="M43" i="57"/>
  <c r="N43" i="57"/>
  <c r="A44" i="55"/>
  <c r="C47" i="63"/>
  <c r="B43" i="55"/>
  <c r="D47" i="63" s="1"/>
  <c r="A43" i="33"/>
  <c r="B42" i="33"/>
  <c r="E44" i="58"/>
  <c r="C44" i="58" s="1"/>
  <c r="V44" i="58"/>
  <c r="B45" i="58"/>
  <c r="D44" i="58"/>
  <c r="J12" i="50"/>
  <c r="J14" i="50"/>
  <c r="E42" i="59"/>
  <c r="J13" i="50"/>
  <c r="E17" i="50"/>
  <c r="C45" i="57"/>
  <c r="I4" i="53"/>
  <c r="C39" i="62"/>
  <c r="I7" i="53"/>
  <c r="I14" i="52"/>
  <c r="B17" i="52"/>
  <c r="L15" i="52" s="1"/>
  <c r="I12" i="52"/>
  <c r="I13" i="52"/>
  <c r="E13" i="52"/>
  <c r="T43" i="57"/>
  <c r="U43" i="57"/>
  <c r="I44" i="58" l="1"/>
  <c r="E15" i="51"/>
  <c r="B18" i="51"/>
  <c r="E16" i="51"/>
  <c r="E43" i="58"/>
  <c r="C43" i="58" s="1"/>
  <c r="C46" i="59" s="1"/>
  <c r="N22" i="63" s="1"/>
  <c r="N27" i="63" s="1"/>
  <c r="V43" i="58"/>
  <c r="D43" i="58"/>
  <c r="I43" i="58"/>
  <c r="A45" i="55"/>
  <c r="C48" i="63"/>
  <c r="B44" i="55"/>
  <c r="D48" i="63" s="1"/>
  <c r="A41" i="34"/>
  <c r="B40" i="34"/>
  <c r="H39" i="62"/>
  <c r="A41" i="51"/>
  <c r="E44" i="63"/>
  <c r="B40" i="51"/>
  <c r="F44" i="63" s="1"/>
  <c r="I2" i="54"/>
  <c r="I3" i="54" s="1"/>
  <c r="B46" i="57"/>
  <c r="B83" i="54"/>
  <c r="B79" i="54"/>
  <c r="B75" i="54"/>
  <c r="B71" i="54"/>
  <c r="B67" i="54"/>
  <c r="B63" i="54"/>
  <c r="B59" i="54"/>
  <c r="B55" i="54"/>
  <c r="B51" i="54"/>
  <c r="B47" i="54"/>
  <c r="B43" i="54"/>
  <c r="B39" i="54"/>
  <c r="B35" i="54"/>
  <c r="B31" i="54"/>
  <c r="B27" i="54"/>
  <c r="B23" i="54"/>
  <c r="B85" i="54"/>
  <c r="B80" i="54"/>
  <c r="B74" i="54"/>
  <c r="B69" i="54"/>
  <c r="B64" i="54"/>
  <c r="B58" i="54"/>
  <c r="B53" i="54"/>
  <c r="B48" i="54"/>
  <c r="B42" i="54"/>
  <c r="B37" i="54"/>
  <c r="B32" i="54"/>
  <c r="B26" i="54"/>
  <c r="B21" i="54"/>
  <c r="B84" i="54"/>
  <c r="B78" i="54"/>
  <c r="B73" i="54"/>
  <c r="B68" i="54"/>
  <c r="B62" i="54"/>
  <c r="B57" i="54"/>
  <c r="B52" i="54"/>
  <c r="B46" i="54"/>
  <c r="B41" i="54"/>
  <c r="B36" i="54"/>
  <c r="B30" i="54"/>
  <c r="B25" i="54"/>
  <c r="B77" i="54"/>
  <c r="B66" i="54"/>
  <c r="B56" i="54"/>
  <c r="B45" i="54"/>
  <c r="B34" i="54"/>
  <c r="B24" i="54"/>
  <c r="B82" i="54"/>
  <c r="B61" i="54"/>
  <c r="B40" i="54"/>
  <c r="B29" i="54"/>
  <c r="B40" i="62"/>
  <c r="B81" i="54"/>
  <c r="B60" i="54"/>
  <c r="B38" i="54"/>
  <c r="B28" i="54"/>
  <c r="B86" i="54"/>
  <c r="B76" i="54"/>
  <c r="B65" i="54"/>
  <c r="B54" i="54"/>
  <c r="B44" i="54"/>
  <c r="B33" i="54"/>
  <c r="B22" i="54"/>
  <c r="B72" i="54"/>
  <c r="B50" i="54"/>
  <c r="B70" i="54"/>
  <c r="B49" i="54"/>
  <c r="E13" i="53"/>
  <c r="I14" i="53"/>
  <c r="B17" i="53"/>
  <c r="L15" i="53" s="1"/>
  <c r="I12" i="53"/>
  <c r="I13" i="53"/>
  <c r="B43" i="33"/>
  <c r="A44" i="33"/>
  <c r="A41" i="49"/>
  <c r="G44" i="63"/>
  <c r="B40" i="49"/>
  <c r="H44" i="63" s="1"/>
  <c r="A47" i="56"/>
  <c r="C46" i="56"/>
  <c r="A50" i="63"/>
  <c r="T44" i="57"/>
  <c r="U44" i="57"/>
  <c r="C47" i="59"/>
  <c r="N23" i="63" s="1"/>
  <c r="S44" i="58"/>
  <c r="T44" i="58"/>
  <c r="B18" i="52"/>
  <c r="E16" i="52"/>
  <c r="E15" i="52"/>
  <c r="F13" i="52"/>
  <c r="A41" i="45"/>
  <c r="I44" i="63"/>
  <c r="B40" i="45"/>
  <c r="J44" i="63" s="1"/>
  <c r="F13" i="51"/>
  <c r="K47" i="63"/>
  <c r="A44" i="39"/>
  <c r="B43" i="39"/>
  <c r="L47" i="63" s="1"/>
  <c r="M44" i="57"/>
  <c r="N44" i="57"/>
  <c r="I45" i="57"/>
  <c r="O45" i="57"/>
  <c r="A42" i="49" l="1"/>
  <c r="G45" i="63"/>
  <c r="B41" i="49"/>
  <c r="H45" i="63" s="1"/>
  <c r="E46" i="57"/>
  <c r="D46" i="57"/>
  <c r="E45" i="63"/>
  <c r="A42" i="51"/>
  <c r="B41" i="51"/>
  <c r="F45" i="63" s="1"/>
  <c r="J12" i="51"/>
  <c r="J14" i="51"/>
  <c r="E17" i="51"/>
  <c r="E43" i="59"/>
  <c r="J13" i="51"/>
  <c r="T45" i="57"/>
  <c r="U45" i="57"/>
  <c r="A48" i="56"/>
  <c r="A51" i="63"/>
  <c r="C47" i="56"/>
  <c r="A45" i="33"/>
  <c r="B44" i="33"/>
  <c r="C46" i="57"/>
  <c r="I7" i="54"/>
  <c r="I4" i="54"/>
  <c r="C40" i="62"/>
  <c r="M45" i="57"/>
  <c r="N45" i="57"/>
  <c r="A46" i="55"/>
  <c r="B45" i="55"/>
  <c r="D49" i="63" s="1"/>
  <c r="C49" i="63"/>
  <c r="E15" i="53"/>
  <c r="E16" i="53"/>
  <c r="B18" i="53"/>
  <c r="G40" i="62"/>
  <c r="E40" i="62"/>
  <c r="F40" i="62" s="1"/>
  <c r="K48" i="63"/>
  <c r="A45" i="39"/>
  <c r="B44" i="39"/>
  <c r="L48" i="63" s="1"/>
  <c r="I45" i="63"/>
  <c r="A42" i="45"/>
  <c r="B41" i="45"/>
  <c r="J45" i="63" s="1"/>
  <c r="J13" i="52"/>
  <c r="J14" i="52"/>
  <c r="E44" i="59"/>
  <c r="J12" i="52"/>
  <c r="E17" i="52"/>
  <c r="F13" i="53"/>
  <c r="B41" i="34"/>
  <c r="A42" i="34"/>
  <c r="E46" i="63" l="1"/>
  <c r="A43" i="51"/>
  <c r="B42" i="51"/>
  <c r="F46" i="63" s="1"/>
  <c r="A43" i="34"/>
  <c r="B42" i="34"/>
  <c r="A46" i="39"/>
  <c r="K49" i="63"/>
  <c r="B45" i="39"/>
  <c r="L49" i="63" s="1"/>
  <c r="J12" i="53"/>
  <c r="J14" i="53"/>
  <c r="E45" i="59"/>
  <c r="E17" i="53"/>
  <c r="J13" i="53"/>
  <c r="I46" i="57"/>
  <c r="O46" i="57"/>
  <c r="H40" i="62"/>
  <c r="H19" i="62" s="1"/>
  <c r="I46" i="63"/>
  <c r="A43" i="45"/>
  <c r="B42" i="45"/>
  <c r="J46" i="63" s="1"/>
  <c r="C50" i="63"/>
  <c r="A47" i="55"/>
  <c r="B46" i="55"/>
  <c r="D50" i="63" s="1"/>
  <c r="I12" i="54"/>
  <c r="I13" i="54"/>
  <c r="E13" i="54"/>
  <c r="I14" i="54"/>
  <c r="B17" i="54"/>
  <c r="L15" i="54" s="1"/>
  <c r="A46" i="33"/>
  <c r="B45" i="33"/>
  <c r="A49" i="56"/>
  <c r="A52" i="63"/>
  <c r="C48" i="56"/>
  <c r="G46" i="63"/>
  <c r="A43" i="49"/>
  <c r="B42" i="49"/>
  <c r="H46" i="63" s="1"/>
  <c r="A47" i="33" l="1"/>
  <c r="B46" i="33"/>
  <c r="A44" i="49"/>
  <c r="G47" i="63"/>
  <c r="B43" i="49"/>
  <c r="H47" i="63" s="1"/>
  <c r="B18" i="54"/>
  <c r="E16" i="54"/>
  <c r="E15" i="54"/>
  <c r="F13" i="54" s="1"/>
  <c r="T46" i="57"/>
  <c r="T48" i="57" s="1"/>
  <c r="P21" i="57" s="1"/>
  <c r="U46" i="57"/>
  <c r="U48" i="57" s="1"/>
  <c r="R46" i="57"/>
  <c r="S46" i="57" s="1"/>
  <c r="P22" i="57"/>
  <c r="A50" i="56"/>
  <c r="C49" i="56"/>
  <c r="A53" i="63"/>
  <c r="A44" i="45"/>
  <c r="I47" i="63"/>
  <c r="B43" i="45"/>
  <c r="J47" i="63" s="1"/>
  <c r="N46" i="57"/>
  <c r="N48" i="57" s="1"/>
  <c r="M46" i="57"/>
  <c r="M48" i="57" s="1"/>
  <c r="J22" i="57"/>
  <c r="K50" i="63"/>
  <c r="A47" i="39"/>
  <c r="B46" i="39"/>
  <c r="L50" i="63" s="1"/>
  <c r="A44" i="51"/>
  <c r="E47" i="63"/>
  <c r="B43" i="51"/>
  <c r="F47" i="63" s="1"/>
  <c r="A44" i="34"/>
  <c r="B43" i="34"/>
  <c r="A48" i="55"/>
  <c r="C51" i="63"/>
  <c r="B47" i="55"/>
  <c r="D51" i="63" s="1"/>
  <c r="A49" i="55" l="1"/>
  <c r="C52" i="63"/>
  <c r="B48" i="55"/>
  <c r="D52" i="63" s="1"/>
  <c r="K51" i="63"/>
  <c r="A48" i="39"/>
  <c r="B47" i="39"/>
  <c r="L51" i="63" s="1"/>
  <c r="A45" i="51"/>
  <c r="E48" i="63"/>
  <c r="B44" i="51"/>
  <c r="F48" i="63" s="1"/>
  <c r="E46" i="59"/>
  <c r="E17" i="54"/>
  <c r="J14" i="54"/>
  <c r="J12" i="54"/>
  <c r="J13" i="54"/>
  <c r="A45" i="49"/>
  <c r="G48" i="63"/>
  <c r="B44" i="49"/>
  <c r="H48" i="63" s="1"/>
  <c r="A45" i="34"/>
  <c r="B44" i="34"/>
  <c r="J21" i="57"/>
  <c r="A45" i="45"/>
  <c r="I48" i="63"/>
  <c r="B44" i="45"/>
  <c r="J48" i="63" s="1"/>
  <c r="A51" i="56"/>
  <c r="C50" i="56"/>
  <c r="A54" i="63"/>
  <c r="Q26" i="57"/>
  <c r="Q28" i="57"/>
  <c r="Q30" i="57"/>
  <c r="Q32" i="57"/>
  <c r="Q34" i="57"/>
  <c r="Q36" i="57"/>
  <c r="Q38" i="57"/>
  <c r="Q39" i="57"/>
  <c r="Q46" i="57"/>
  <c r="Q47" i="57"/>
  <c r="Q27" i="57"/>
  <c r="Q31" i="57"/>
  <c r="Q35" i="57"/>
  <c r="Q40" i="57"/>
  <c r="Q41" i="57"/>
  <c r="Q42" i="57"/>
  <c r="Q29" i="57"/>
  <c r="Q37" i="57"/>
  <c r="Q44" i="57"/>
  <c r="Q33" i="57"/>
  <c r="Q45" i="57"/>
  <c r="Q43" i="57"/>
  <c r="R47" i="57"/>
  <c r="S47" i="57" s="1"/>
  <c r="R26" i="57"/>
  <c r="S26" i="57" s="1"/>
  <c r="R27" i="57"/>
  <c r="S27" i="57" s="1"/>
  <c r="R28" i="57"/>
  <c r="S28" i="57" s="1"/>
  <c r="R29" i="57"/>
  <c r="S29" i="57" s="1"/>
  <c r="R30" i="57"/>
  <c r="S30" i="57" s="1"/>
  <c r="R31" i="57"/>
  <c r="S31" i="57" s="1"/>
  <c r="R32" i="57"/>
  <c r="S32" i="57" s="1"/>
  <c r="R33" i="57"/>
  <c r="S33" i="57" s="1"/>
  <c r="R34" i="57"/>
  <c r="S34" i="57" s="1"/>
  <c r="R35" i="57"/>
  <c r="S35" i="57" s="1"/>
  <c r="R36" i="57"/>
  <c r="S36" i="57" s="1"/>
  <c r="R37" i="57"/>
  <c r="S37" i="57" s="1"/>
  <c r="R38" i="57"/>
  <c r="S38" i="57" s="1"/>
  <c r="R39" i="57"/>
  <c r="S39" i="57" s="1"/>
  <c r="R40" i="57"/>
  <c r="S40" i="57" s="1"/>
  <c r="R41" i="57"/>
  <c r="S41" i="57" s="1"/>
  <c r="R42" i="57"/>
  <c r="S42" i="57" s="1"/>
  <c r="R43" i="57"/>
  <c r="S43" i="57" s="1"/>
  <c r="R44" i="57"/>
  <c r="S44" i="57" s="1"/>
  <c r="R45" i="57"/>
  <c r="S45" i="57" s="1"/>
  <c r="B47" i="33"/>
  <c r="A48" i="33"/>
  <c r="E15" i="60" l="1"/>
  <c r="J48" i="57"/>
  <c r="K48" i="57" s="1"/>
  <c r="B13" i="56" s="1"/>
  <c r="J26" i="57"/>
  <c r="K26" i="57" s="1"/>
  <c r="L26" i="57" s="1"/>
  <c r="J28" i="57"/>
  <c r="K28" i="57" s="1"/>
  <c r="L28" i="57" s="1"/>
  <c r="J30" i="57"/>
  <c r="K30" i="57" s="1"/>
  <c r="L30" i="57" s="1"/>
  <c r="J32" i="57"/>
  <c r="K32" i="57" s="1"/>
  <c r="L32" i="57" s="1"/>
  <c r="J34" i="57"/>
  <c r="K34" i="57" s="1"/>
  <c r="L34" i="57" s="1"/>
  <c r="J36" i="57"/>
  <c r="K36" i="57" s="1"/>
  <c r="L36" i="57" s="1"/>
  <c r="J38" i="57"/>
  <c r="K38" i="57" s="1"/>
  <c r="L38" i="57" s="1"/>
  <c r="J40" i="57"/>
  <c r="K40" i="57" s="1"/>
  <c r="L40" i="57" s="1"/>
  <c r="J42" i="57"/>
  <c r="K42" i="57" s="1"/>
  <c r="L42" i="57" s="1"/>
  <c r="J44" i="57"/>
  <c r="K44" i="57" s="1"/>
  <c r="L44" i="57" s="1"/>
  <c r="J46" i="57"/>
  <c r="K46" i="57" s="1"/>
  <c r="L46" i="57" s="1"/>
  <c r="J27" i="57"/>
  <c r="K27" i="57" s="1"/>
  <c r="L27" i="57" s="1"/>
  <c r="J31" i="57"/>
  <c r="K31" i="57" s="1"/>
  <c r="L31" i="57" s="1"/>
  <c r="J35" i="57"/>
  <c r="K35" i="57" s="1"/>
  <c r="L35" i="57" s="1"/>
  <c r="J43" i="57"/>
  <c r="K43" i="57" s="1"/>
  <c r="L43" i="57" s="1"/>
  <c r="J45" i="57"/>
  <c r="K45" i="57" s="1"/>
  <c r="L45" i="57" s="1"/>
  <c r="J29" i="57"/>
  <c r="K29" i="57" s="1"/>
  <c r="L29" i="57" s="1"/>
  <c r="J37" i="57"/>
  <c r="K37" i="57" s="1"/>
  <c r="L37" i="57" s="1"/>
  <c r="J39" i="57"/>
  <c r="K39" i="57" s="1"/>
  <c r="L39" i="57" s="1"/>
  <c r="J41" i="57"/>
  <c r="K41" i="57" s="1"/>
  <c r="L41" i="57" s="1"/>
  <c r="J47" i="57"/>
  <c r="K47" i="57" s="1"/>
  <c r="L47" i="57" s="1"/>
  <c r="G19" i="58"/>
  <c r="J33" i="57"/>
  <c r="K33" i="57" s="1"/>
  <c r="L33" i="57" s="1"/>
  <c r="A46" i="49"/>
  <c r="G49" i="63"/>
  <c r="B45" i="49"/>
  <c r="H49" i="63" s="1"/>
  <c r="A46" i="51"/>
  <c r="E49" i="63"/>
  <c r="B45" i="51"/>
  <c r="F49" i="63" s="1"/>
  <c r="B45" i="34"/>
  <c r="A46" i="34"/>
  <c r="A49" i="33"/>
  <c r="B48" i="33"/>
  <c r="A52" i="56"/>
  <c r="A55" i="63"/>
  <c r="C51" i="56"/>
  <c r="B51" i="56"/>
  <c r="B55" i="63" s="1"/>
  <c r="A46" i="45"/>
  <c r="I49" i="63"/>
  <c r="B45" i="45"/>
  <c r="J49" i="63" s="1"/>
  <c r="K52" i="63"/>
  <c r="A49" i="39"/>
  <c r="B48" i="39"/>
  <c r="L52" i="63" s="1"/>
  <c r="C53" i="63"/>
  <c r="A50" i="55"/>
  <c r="B49" i="55"/>
  <c r="D53" i="63" s="1"/>
  <c r="I50" i="63" l="1"/>
  <c r="A47" i="45"/>
  <c r="B46" i="45"/>
  <c r="J50" i="63" s="1"/>
  <c r="A53" i="56"/>
  <c r="A56" i="63"/>
  <c r="C52" i="56"/>
  <c r="B52" i="56"/>
  <c r="B56" i="63" s="1"/>
  <c r="G34" i="58"/>
  <c r="G41" i="58"/>
  <c r="G24" i="58"/>
  <c r="G40" i="58"/>
  <c r="G26" i="58"/>
  <c r="G23" i="58"/>
  <c r="H23" i="58" s="1"/>
  <c r="G25" i="58"/>
  <c r="G32" i="58"/>
  <c r="G30" i="58"/>
  <c r="G35" i="58"/>
  <c r="G29" i="58"/>
  <c r="G37" i="58"/>
  <c r="G42" i="58"/>
  <c r="G44" i="58"/>
  <c r="G31" i="58"/>
  <c r="G43" i="58"/>
  <c r="G33" i="58"/>
  <c r="G36" i="58"/>
  <c r="G38" i="58"/>
  <c r="G28" i="58"/>
  <c r="G27" i="58"/>
  <c r="G39" i="58"/>
  <c r="A50" i="33"/>
  <c r="B49" i="33"/>
  <c r="G50" i="63"/>
  <c r="A47" i="49"/>
  <c r="B46" i="49"/>
  <c r="H50" i="63" s="1"/>
  <c r="B23" i="56"/>
  <c r="B27" i="63" s="1"/>
  <c r="B26" i="56"/>
  <c r="B30" i="63" s="1"/>
  <c r="B21" i="56"/>
  <c r="B25" i="63" s="1"/>
  <c r="B22" i="56"/>
  <c r="B26" i="63" s="1"/>
  <c r="B24" i="56"/>
  <c r="B28" i="63" s="1"/>
  <c r="B25" i="56"/>
  <c r="B29" i="63" s="1"/>
  <c r="B27" i="56"/>
  <c r="B31" i="63" s="1"/>
  <c r="B28" i="56"/>
  <c r="B32" i="63" s="1"/>
  <c r="B29" i="56"/>
  <c r="B33" i="63" s="1"/>
  <c r="B30" i="56"/>
  <c r="B34" i="63" s="1"/>
  <c r="B31" i="56"/>
  <c r="B35" i="63" s="1"/>
  <c r="B32" i="56"/>
  <c r="B36" i="63" s="1"/>
  <c r="B33" i="56"/>
  <c r="B37" i="63" s="1"/>
  <c r="B34" i="56"/>
  <c r="B38" i="63" s="1"/>
  <c r="B35" i="56"/>
  <c r="B39" i="63" s="1"/>
  <c r="B36" i="56"/>
  <c r="B40" i="63" s="1"/>
  <c r="B37" i="56"/>
  <c r="B41" i="63" s="1"/>
  <c r="B38" i="56"/>
  <c r="B42" i="63" s="1"/>
  <c r="B39" i="56"/>
  <c r="B43" i="63" s="1"/>
  <c r="B40" i="56"/>
  <c r="B44" i="63" s="1"/>
  <c r="B41" i="56"/>
  <c r="B45" i="63" s="1"/>
  <c r="B42" i="56"/>
  <c r="B46" i="63" s="1"/>
  <c r="B43" i="56"/>
  <c r="B47" i="63" s="1"/>
  <c r="B44" i="56"/>
  <c r="B48" i="63" s="1"/>
  <c r="B45" i="56"/>
  <c r="B49" i="63" s="1"/>
  <c r="B46" i="56"/>
  <c r="B50" i="63" s="1"/>
  <c r="B47" i="56"/>
  <c r="B51" i="63" s="1"/>
  <c r="B48" i="56"/>
  <c r="B52" i="63" s="1"/>
  <c r="B49" i="56"/>
  <c r="B53" i="63" s="1"/>
  <c r="B50" i="56"/>
  <c r="B54" i="63" s="1"/>
  <c r="A50" i="39"/>
  <c r="K53" i="63"/>
  <c r="B49" i="39"/>
  <c r="L53" i="63" s="1"/>
  <c r="C54" i="63"/>
  <c r="A51" i="55"/>
  <c r="B50" i="55"/>
  <c r="D54" i="63" s="1"/>
  <c r="A47" i="34"/>
  <c r="B46" i="34"/>
  <c r="E50" i="63"/>
  <c r="A47" i="51"/>
  <c r="B46" i="51"/>
  <c r="F50" i="63" s="1"/>
  <c r="K45" i="60"/>
  <c r="L45" i="60" s="1"/>
  <c r="K49" i="60"/>
  <c r="L49" i="60" s="1"/>
  <c r="K53" i="60"/>
  <c r="L53" i="60" s="1"/>
  <c r="K42" i="60"/>
  <c r="L42" i="60" s="1"/>
  <c r="K46" i="60"/>
  <c r="L46" i="60" s="1"/>
  <c r="K50" i="60"/>
  <c r="L50" i="60" s="1"/>
  <c r="K54" i="60"/>
  <c r="L54" i="60" s="1"/>
  <c r="K34" i="60"/>
  <c r="L34" i="60" s="1"/>
  <c r="K38" i="60"/>
  <c r="L38" i="60" s="1"/>
  <c r="K47" i="60"/>
  <c r="L47" i="60" s="1"/>
  <c r="K48" i="60"/>
  <c r="L48" i="60" s="1"/>
  <c r="K55" i="60"/>
  <c r="L55" i="60" s="1"/>
  <c r="K56" i="60"/>
  <c r="L56" i="60" s="1"/>
  <c r="K31" i="60"/>
  <c r="L31" i="60" s="1"/>
  <c r="K35" i="60"/>
  <c r="L35" i="60" s="1"/>
  <c r="K39" i="60"/>
  <c r="L39" i="60" s="1"/>
  <c r="K43" i="60"/>
  <c r="L43" i="60" s="1"/>
  <c r="K40" i="60"/>
  <c r="L40" i="60" s="1"/>
  <c r="K41" i="60"/>
  <c r="L41" i="60" s="1"/>
  <c r="K52" i="60"/>
  <c r="L52" i="60" s="1"/>
  <c r="K36" i="60"/>
  <c r="L36" i="60" s="1"/>
  <c r="K37" i="60"/>
  <c r="L37" i="60" s="1"/>
  <c r="K51" i="60"/>
  <c r="L51" i="60" s="1"/>
  <c r="K32" i="60"/>
  <c r="L32" i="60" s="1"/>
  <c r="K33" i="60"/>
  <c r="L33" i="60" s="1"/>
  <c r="K21" i="60"/>
  <c r="L21" i="60" s="1"/>
  <c r="K23" i="60"/>
  <c r="L23" i="60" s="1"/>
  <c r="K25" i="60"/>
  <c r="L25" i="60" s="1"/>
  <c r="K27" i="60"/>
  <c r="L27" i="60" s="1"/>
  <c r="K29" i="60"/>
  <c r="L29" i="60" s="1"/>
  <c r="K24" i="60"/>
  <c r="L24" i="60" s="1"/>
  <c r="K22" i="60"/>
  <c r="L22" i="60" s="1"/>
  <c r="K26" i="60"/>
  <c r="L26" i="60" s="1"/>
  <c r="K28" i="60"/>
  <c r="L28" i="60" s="1"/>
  <c r="K44" i="60"/>
  <c r="L44" i="60" s="1"/>
  <c r="K30" i="60"/>
  <c r="L30" i="60" s="1"/>
  <c r="J33" i="58" l="1"/>
  <c r="L33" i="58" s="1"/>
  <c r="H33" i="58"/>
  <c r="K33" i="58" s="1"/>
  <c r="H30" i="58"/>
  <c r="K30" i="58" s="1"/>
  <c r="J30" i="58"/>
  <c r="L30" i="58" s="1"/>
  <c r="H26" i="58"/>
  <c r="K26" i="58" s="1"/>
  <c r="J26" i="58"/>
  <c r="A54" i="56"/>
  <c r="C53" i="56"/>
  <c r="A57" i="63"/>
  <c r="B53" i="56"/>
  <c r="B57" i="63" s="1"/>
  <c r="H28" i="58"/>
  <c r="K28" i="58" s="1"/>
  <c r="J28" i="58"/>
  <c r="L28" i="58" s="1"/>
  <c r="H37" i="58"/>
  <c r="K37" i="58" s="1"/>
  <c r="J37" i="58"/>
  <c r="H32" i="58"/>
  <c r="K32" i="58" s="1"/>
  <c r="J32" i="58"/>
  <c r="L32" i="58" s="1"/>
  <c r="J40" i="58"/>
  <c r="L40" i="58" s="1"/>
  <c r="H40" i="58"/>
  <c r="K40" i="58" s="1"/>
  <c r="A48" i="51"/>
  <c r="E51" i="63"/>
  <c r="B47" i="51"/>
  <c r="F51" i="63" s="1"/>
  <c r="A51" i="33"/>
  <c r="B50" i="33"/>
  <c r="H38" i="58"/>
  <c r="K38" i="58" s="1"/>
  <c r="J38" i="58"/>
  <c r="H31" i="58"/>
  <c r="K31" i="58" s="1"/>
  <c r="J31" i="58"/>
  <c r="L31" i="58" s="1"/>
  <c r="H29" i="58"/>
  <c r="K29" i="58" s="1"/>
  <c r="J29" i="58"/>
  <c r="H25" i="58"/>
  <c r="K25" i="58" s="1"/>
  <c r="J25" i="58"/>
  <c r="L25" i="58" s="1"/>
  <c r="H24" i="58"/>
  <c r="K24" i="58" s="1"/>
  <c r="J24" i="58"/>
  <c r="A48" i="45"/>
  <c r="I51" i="63"/>
  <c r="B47" i="45"/>
  <c r="J51" i="63" s="1"/>
  <c r="H27" i="58"/>
  <c r="K27" i="58" s="1"/>
  <c r="J27" i="58"/>
  <c r="H42" i="58"/>
  <c r="K42" i="58" s="1"/>
  <c r="J42" i="58"/>
  <c r="L42" i="58" s="1"/>
  <c r="H34" i="58"/>
  <c r="K34" i="58" s="1"/>
  <c r="J34" i="58"/>
  <c r="A48" i="34"/>
  <c r="B47" i="34"/>
  <c r="J43" i="58"/>
  <c r="L43" i="58" s="1"/>
  <c r="H43" i="58"/>
  <c r="K43" i="58" s="1"/>
  <c r="A52" i="55"/>
  <c r="C55" i="63"/>
  <c r="B51" i="55"/>
  <c r="D55" i="63" s="1"/>
  <c r="K54" i="63"/>
  <c r="A51" i="39"/>
  <c r="B50" i="39"/>
  <c r="L54" i="63" s="1"/>
  <c r="A48" i="49"/>
  <c r="G51" i="63"/>
  <c r="B47" i="49"/>
  <c r="H51" i="63" s="1"/>
  <c r="H39" i="58"/>
  <c r="K39" i="58" s="1"/>
  <c r="J39" i="58"/>
  <c r="H36" i="58"/>
  <c r="K36" i="58" s="1"/>
  <c r="J36" i="58"/>
  <c r="L36" i="58" s="1"/>
  <c r="H44" i="58"/>
  <c r="K44" i="58" s="1"/>
  <c r="M44" i="58"/>
  <c r="J44" i="58"/>
  <c r="H35" i="58"/>
  <c r="K35" i="58" s="1"/>
  <c r="J35" i="58"/>
  <c r="L35" i="58" s="1"/>
  <c r="J23" i="58"/>
  <c r="I23" i="58"/>
  <c r="K23" i="58"/>
  <c r="J41" i="58"/>
  <c r="L41" i="58" s="1"/>
  <c r="H41" i="58"/>
  <c r="K41" i="58" s="1"/>
  <c r="M35" i="58" l="1"/>
  <c r="M42" i="58"/>
  <c r="M28" i="58"/>
  <c r="M36" i="58"/>
  <c r="K55" i="63"/>
  <c r="A52" i="39"/>
  <c r="B51" i="39"/>
  <c r="L55" i="63" s="1"/>
  <c r="A49" i="34"/>
  <c r="B48" i="34"/>
  <c r="M25" i="58"/>
  <c r="M31" i="58"/>
  <c r="A49" i="51"/>
  <c r="E52" i="63"/>
  <c r="B48" i="51"/>
  <c r="F52" i="63" s="1"/>
  <c r="A55" i="56"/>
  <c r="C54" i="56"/>
  <c r="A58" i="63"/>
  <c r="B54" i="56"/>
  <c r="B58" i="63" s="1"/>
  <c r="L23" i="58"/>
  <c r="B18" i="58" s="1"/>
  <c r="L34" i="58"/>
  <c r="L27" i="58"/>
  <c r="A49" i="45"/>
  <c r="I52" i="63"/>
  <c r="B48" i="45"/>
  <c r="J52" i="63" s="1"/>
  <c r="A52" i="33"/>
  <c r="B51" i="33"/>
  <c r="L37" i="58"/>
  <c r="L26" i="58"/>
  <c r="M41" i="58"/>
  <c r="M32" i="58"/>
  <c r="M30" i="58"/>
  <c r="A53" i="55"/>
  <c r="C56" i="63"/>
  <c r="B52" i="55"/>
  <c r="D56" i="63" s="1"/>
  <c r="N44" i="58"/>
  <c r="P44" i="58"/>
  <c r="O44" i="58"/>
  <c r="L39" i="58"/>
  <c r="A49" i="49"/>
  <c r="G52" i="63"/>
  <c r="B48" i="49"/>
  <c r="H52" i="63" s="1"/>
  <c r="M43" i="58"/>
  <c r="L24" i="58"/>
  <c r="L29" i="58"/>
  <c r="L38" i="58"/>
  <c r="M40" i="58"/>
  <c r="M33" i="58"/>
  <c r="K12" i="58" l="1"/>
  <c r="K14" i="58"/>
  <c r="M38" i="58"/>
  <c r="A53" i="33"/>
  <c r="B52" i="33"/>
  <c r="P36" i="58"/>
  <c r="N36" i="58"/>
  <c r="Q36" i="58" s="1"/>
  <c r="R36" i="58" s="1"/>
  <c r="O36" i="58"/>
  <c r="M29" i="58"/>
  <c r="M26" i="58"/>
  <c r="M34" i="58"/>
  <c r="O25" i="58"/>
  <c r="P25" i="58"/>
  <c r="N25" i="58"/>
  <c r="N40" i="58"/>
  <c r="P40" i="58"/>
  <c r="O40" i="58"/>
  <c r="M24" i="58"/>
  <c r="A54" i="55"/>
  <c r="C57" i="63"/>
  <c r="B53" i="55"/>
  <c r="D57" i="63" s="1"/>
  <c r="M37" i="58"/>
  <c r="A50" i="51"/>
  <c r="E53" i="63"/>
  <c r="B49" i="51"/>
  <c r="F53" i="63" s="1"/>
  <c r="K56" i="63"/>
  <c r="A53" i="39"/>
  <c r="B52" i="39"/>
  <c r="L56" i="63" s="1"/>
  <c r="N28" i="58"/>
  <c r="O28" i="58"/>
  <c r="P28" i="58"/>
  <c r="N35" i="58"/>
  <c r="O35" i="58"/>
  <c r="P35" i="58"/>
  <c r="N33" i="58"/>
  <c r="P33" i="58"/>
  <c r="O33" i="58"/>
  <c r="M39" i="58"/>
  <c r="M27" i="58"/>
  <c r="B49" i="34"/>
  <c r="A50" i="34"/>
  <c r="O42" i="58"/>
  <c r="N42" i="58"/>
  <c r="P42" i="58"/>
  <c r="P32" i="58"/>
  <c r="N32" i="58"/>
  <c r="O32" i="58"/>
  <c r="P43" i="58"/>
  <c r="O43" i="58"/>
  <c r="N43" i="58"/>
  <c r="A50" i="49"/>
  <c r="G53" i="63"/>
  <c r="B49" i="49"/>
  <c r="H53" i="63" s="1"/>
  <c r="Q44" i="58"/>
  <c r="O30" i="58"/>
  <c r="P30" i="58"/>
  <c r="N30" i="58"/>
  <c r="P41" i="58"/>
  <c r="O41" i="58"/>
  <c r="N41" i="58"/>
  <c r="Q41" i="58" s="1"/>
  <c r="R41" i="58" s="1"/>
  <c r="A50" i="45"/>
  <c r="I53" i="63"/>
  <c r="B49" i="45"/>
  <c r="J53" i="63" s="1"/>
  <c r="K13" i="58"/>
  <c r="V15" i="58"/>
  <c r="M23" i="58"/>
  <c r="A56" i="56"/>
  <c r="A59" i="63"/>
  <c r="C55" i="56"/>
  <c r="B55" i="56"/>
  <c r="B59" i="63" s="1"/>
  <c r="P31" i="58"/>
  <c r="N31" i="58"/>
  <c r="O31" i="58"/>
  <c r="A60" i="63" l="1"/>
  <c r="A57" i="56"/>
  <c r="C56" i="56"/>
  <c r="B56" i="56"/>
  <c r="B60" i="63" s="1"/>
  <c r="O37" i="58"/>
  <c r="P37" i="58"/>
  <c r="N37" i="58"/>
  <c r="Q37" i="58" s="1"/>
  <c r="R37" i="58" s="1"/>
  <c r="T36" i="58"/>
  <c r="S36" i="58"/>
  <c r="P27" i="58"/>
  <c r="N27" i="58"/>
  <c r="O27" i="58"/>
  <c r="Q40" i="58"/>
  <c r="R40" i="58" s="1"/>
  <c r="N34" i="58"/>
  <c r="O34" i="58"/>
  <c r="P34" i="58"/>
  <c r="N29" i="58"/>
  <c r="P29" i="58"/>
  <c r="O29" i="58"/>
  <c r="Q43" i="58"/>
  <c r="R43" i="58" s="1"/>
  <c r="Q32" i="58"/>
  <c r="R32" i="58" s="1"/>
  <c r="Q35" i="58"/>
  <c r="R35" i="58" s="1"/>
  <c r="Q25" i="58"/>
  <c r="R25" i="58" s="1"/>
  <c r="T41" i="58"/>
  <c r="S41" i="58"/>
  <c r="C58" i="63"/>
  <c r="A55" i="55"/>
  <c r="B54" i="55"/>
  <c r="D58" i="63" s="1"/>
  <c r="O38" i="58"/>
  <c r="N38" i="58"/>
  <c r="P38" i="58"/>
  <c r="O23" i="58"/>
  <c r="P23" i="58"/>
  <c r="N23" i="58"/>
  <c r="G54" i="63"/>
  <c r="A51" i="49"/>
  <c r="B50" i="49"/>
  <c r="H54" i="63" s="1"/>
  <c r="Q42" i="58"/>
  <c r="R42" i="58" s="1"/>
  <c r="Q28" i="58"/>
  <c r="R28" i="58" s="1"/>
  <c r="O24" i="58"/>
  <c r="P24" i="58"/>
  <c r="N24" i="58"/>
  <c r="Q31" i="58"/>
  <c r="R31" i="58" s="1"/>
  <c r="I54" i="63"/>
  <c r="A51" i="45"/>
  <c r="B50" i="45"/>
  <c r="J54" i="63" s="1"/>
  <c r="Q30" i="58"/>
  <c r="R30" i="58" s="1"/>
  <c r="A51" i="34"/>
  <c r="B50" i="34"/>
  <c r="O39" i="58"/>
  <c r="P39" i="58"/>
  <c r="N39" i="58"/>
  <c r="Q39" i="58" s="1"/>
  <c r="R39" i="58" s="1"/>
  <c r="Q33" i="58"/>
  <c r="R33" i="58" s="1"/>
  <c r="A54" i="39"/>
  <c r="K57" i="63"/>
  <c r="B53" i="39"/>
  <c r="L57" i="63" s="1"/>
  <c r="E54" i="63"/>
  <c r="A51" i="51"/>
  <c r="B50" i="51"/>
  <c r="F54" i="63" s="1"/>
  <c r="N26" i="58"/>
  <c r="Q26" i="58" s="1"/>
  <c r="R26" i="58" s="1"/>
  <c r="O26" i="58"/>
  <c r="P26" i="58"/>
  <c r="B53" i="33"/>
  <c r="A54" i="33"/>
  <c r="A55" i="33" l="1"/>
  <c r="B54" i="33"/>
  <c r="T39" i="58"/>
  <c r="S39" i="58"/>
  <c r="A52" i="34"/>
  <c r="B51" i="34"/>
  <c r="T43" i="58"/>
  <c r="S43" i="58"/>
  <c r="T30" i="58"/>
  <c r="S30" i="58"/>
  <c r="T31" i="58"/>
  <c r="S31" i="58"/>
  <c r="T25" i="58"/>
  <c r="S25" i="58"/>
  <c r="Q27" i="58"/>
  <c r="R27" i="58" s="1"/>
  <c r="T37" i="58"/>
  <c r="S37" i="58"/>
  <c r="A52" i="51"/>
  <c r="E55" i="63"/>
  <c r="B51" i="51"/>
  <c r="F55" i="63" s="1"/>
  <c r="K58" i="63"/>
  <c r="A55" i="39"/>
  <c r="B54" i="39"/>
  <c r="L58" i="63" s="1"/>
  <c r="Q24" i="58"/>
  <c r="R24" i="58" s="1"/>
  <c r="T42" i="58"/>
  <c r="S42" i="58"/>
  <c r="Q23" i="58"/>
  <c r="R23" i="58" s="1"/>
  <c r="Q38" i="58"/>
  <c r="R38" i="58" s="1"/>
  <c r="T35" i="58"/>
  <c r="S35" i="58"/>
  <c r="Q34" i="58"/>
  <c r="R34" i="58" s="1"/>
  <c r="A58" i="56"/>
  <c r="A61" i="63"/>
  <c r="C57" i="56"/>
  <c r="B57" i="56"/>
  <c r="B61" i="63" s="1"/>
  <c r="T26" i="58"/>
  <c r="S26" i="58"/>
  <c r="A52" i="49"/>
  <c r="G55" i="63"/>
  <c r="B51" i="49"/>
  <c r="H55" i="63" s="1"/>
  <c r="T28" i="58"/>
  <c r="S28" i="58"/>
  <c r="A56" i="55"/>
  <c r="C59" i="63"/>
  <c r="B55" i="55"/>
  <c r="D59" i="63" s="1"/>
  <c r="T33" i="58"/>
  <c r="S33" i="58"/>
  <c r="A52" i="45"/>
  <c r="I55" i="63"/>
  <c r="B51" i="45"/>
  <c r="J55" i="63" s="1"/>
  <c r="T32" i="58"/>
  <c r="S32" i="58"/>
  <c r="Q29" i="58"/>
  <c r="R29" i="58" s="1"/>
  <c r="T40" i="58"/>
  <c r="S40" i="58"/>
  <c r="A53" i="45" l="1"/>
  <c r="I56" i="63"/>
  <c r="B52" i="45"/>
  <c r="J56" i="63" s="1"/>
  <c r="T38" i="58"/>
  <c r="S38" i="58"/>
  <c r="T23" i="58"/>
  <c r="S23" i="58"/>
  <c r="T27" i="58"/>
  <c r="S27" i="58"/>
  <c r="A53" i="49"/>
  <c r="G56" i="63"/>
  <c r="B52" i="49"/>
  <c r="H56" i="63" s="1"/>
  <c r="K59" i="63"/>
  <c r="A56" i="39"/>
  <c r="B55" i="39"/>
  <c r="L59" i="63" s="1"/>
  <c r="A53" i="51"/>
  <c r="E56" i="63"/>
  <c r="B52" i="51"/>
  <c r="F56" i="63" s="1"/>
  <c r="A59" i="56"/>
  <c r="C58" i="56"/>
  <c r="A62" i="63"/>
  <c r="B58" i="56"/>
  <c r="B62" i="63" s="1"/>
  <c r="T24" i="58"/>
  <c r="S24" i="58"/>
  <c r="A57" i="55"/>
  <c r="C60" i="63"/>
  <c r="B56" i="55"/>
  <c r="D60" i="63" s="1"/>
  <c r="T34" i="58"/>
  <c r="S34" i="58"/>
  <c r="T29" i="58"/>
  <c r="S29" i="58"/>
  <c r="A53" i="34"/>
  <c r="B52" i="34"/>
  <c r="A56" i="33"/>
  <c r="B55" i="33"/>
  <c r="B53" i="34" l="1"/>
  <c r="A54" i="34"/>
  <c r="A63" i="63"/>
  <c r="A60" i="56"/>
  <c r="C59" i="56"/>
  <c r="B59" i="56"/>
  <c r="B63" i="63" s="1"/>
  <c r="A57" i="33"/>
  <c r="B56" i="33"/>
  <c r="K60" i="63"/>
  <c r="A57" i="39"/>
  <c r="B56" i="39"/>
  <c r="L60" i="63" s="1"/>
  <c r="A54" i="49"/>
  <c r="G57" i="63"/>
  <c r="B53" i="49"/>
  <c r="H57" i="63" s="1"/>
  <c r="A54" i="51"/>
  <c r="E57" i="63"/>
  <c r="B53" i="51"/>
  <c r="F57" i="63" s="1"/>
  <c r="C61" i="63"/>
  <c r="A58" i="55"/>
  <c r="B57" i="55"/>
  <c r="D61" i="63" s="1"/>
  <c r="A54" i="45"/>
  <c r="I57" i="63"/>
  <c r="B53" i="45"/>
  <c r="J57" i="63" s="1"/>
  <c r="G58" i="63" l="1"/>
  <c r="A55" i="49"/>
  <c r="B54" i="49"/>
  <c r="H58" i="63" s="1"/>
  <c r="B57" i="33"/>
  <c r="A58" i="33"/>
  <c r="A58" i="39"/>
  <c r="K61" i="63"/>
  <c r="B57" i="39"/>
  <c r="L61" i="63" s="1"/>
  <c r="A55" i="34"/>
  <c r="B54" i="34"/>
  <c r="A61" i="56"/>
  <c r="A64" i="63"/>
  <c r="C60" i="56"/>
  <c r="B60" i="56"/>
  <c r="B64" i="63" s="1"/>
  <c r="C62" i="63"/>
  <c r="A59" i="55"/>
  <c r="B58" i="55"/>
  <c r="D62" i="63" s="1"/>
  <c r="E58" i="63"/>
  <c r="A55" i="51"/>
  <c r="B54" i="51"/>
  <c r="F58" i="63" s="1"/>
  <c r="I58" i="63"/>
  <c r="A55" i="45"/>
  <c r="B54" i="45"/>
  <c r="J58" i="63" s="1"/>
  <c r="A62" i="56" l="1"/>
  <c r="C61" i="56"/>
  <c r="A65" i="63"/>
  <c r="B61" i="56"/>
  <c r="B65" i="63" s="1"/>
  <c r="A56" i="45"/>
  <c r="I59" i="63"/>
  <c r="B55" i="45"/>
  <c r="J59" i="63" s="1"/>
  <c r="K62" i="63"/>
  <c r="A59" i="39"/>
  <c r="B58" i="39"/>
  <c r="L62" i="63" s="1"/>
  <c r="A56" i="49"/>
  <c r="G59" i="63"/>
  <c r="B55" i="49"/>
  <c r="H59" i="63" s="1"/>
  <c r="A60" i="55"/>
  <c r="C63" i="63"/>
  <c r="B59" i="55"/>
  <c r="D63" i="63" s="1"/>
  <c r="A56" i="51"/>
  <c r="E59" i="63"/>
  <c r="B55" i="51"/>
  <c r="F59" i="63" s="1"/>
  <c r="A56" i="34"/>
  <c r="B55" i="34"/>
  <c r="A59" i="33"/>
  <c r="B58" i="33"/>
  <c r="A57" i="34" l="1"/>
  <c r="B56" i="34"/>
  <c r="A60" i="33"/>
  <c r="B59" i="33"/>
  <c r="A61" i="55"/>
  <c r="C64" i="63"/>
  <c r="B60" i="55"/>
  <c r="D64" i="63" s="1"/>
  <c r="A57" i="49"/>
  <c r="G60" i="63"/>
  <c r="B56" i="49"/>
  <c r="H60" i="63" s="1"/>
  <c r="A57" i="51"/>
  <c r="E60" i="63"/>
  <c r="B56" i="51"/>
  <c r="F60" i="63" s="1"/>
  <c r="K63" i="63"/>
  <c r="A60" i="39"/>
  <c r="B59" i="39"/>
  <c r="L63" i="63" s="1"/>
  <c r="A57" i="45"/>
  <c r="I60" i="63"/>
  <c r="B56" i="45"/>
  <c r="J60" i="63" s="1"/>
  <c r="A63" i="56"/>
  <c r="C62" i="56"/>
  <c r="A66" i="63"/>
  <c r="B62" i="56"/>
  <c r="B66" i="63" s="1"/>
  <c r="A64" i="56" l="1"/>
  <c r="A67" i="63"/>
  <c r="C63" i="56"/>
  <c r="B63" i="56"/>
  <c r="B67" i="63" s="1"/>
  <c r="A58" i="49"/>
  <c r="G61" i="63"/>
  <c r="B57" i="49"/>
  <c r="H61" i="63" s="1"/>
  <c r="K64" i="63"/>
  <c r="A61" i="39"/>
  <c r="B60" i="39"/>
  <c r="L64" i="63" s="1"/>
  <c r="E61" i="63"/>
  <c r="A58" i="51"/>
  <c r="B57" i="51"/>
  <c r="F61" i="63" s="1"/>
  <c r="A61" i="33"/>
  <c r="B60" i="33"/>
  <c r="I61" i="63"/>
  <c r="A58" i="45"/>
  <c r="B57" i="45"/>
  <c r="J61" i="63" s="1"/>
  <c r="A62" i="55"/>
  <c r="C65" i="63"/>
  <c r="B61" i="55"/>
  <c r="D65" i="63" s="1"/>
  <c r="B57" i="34"/>
  <c r="A58" i="34"/>
  <c r="E62" i="63" l="1"/>
  <c r="A59" i="51"/>
  <c r="B58" i="51"/>
  <c r="F62" i="63" s="1"/>
  <c r="A59" i="34"/>
  <c r="B58" i="34"/>
  <c r="C66" i="63"/>
  <c r="A63" i="55"/>
  <c r="B62" i="55"/>
  <c r="D66" i="63" s="1"/>
  <c r="B61" i="33"/>
  <c r="A62" i="33"/>
  <c r="I62" i="63"/>
  <c r="A59" i="45"/>
  <c r="B58" i="45"/>
  <c r="J62" i="63" s="1"/>
  <c r="A62" i="39"/>
  <c r="K65" i="63"/>
  <c r="B61" i="39"/>
  <c r="L65" i="63" s="1"/>
  <c r="G62" i="63"/>
  <c r="A59" i="49"/>
  <c r="B58" i="49"/>
  <c r="H62" i="63" s="1"/>
  <c r="A65" i="56"/>
  <c r="A68" i="63"/>
  <c r="C64" i="56"/>
  <c r="B64" i="56"/>
  <c r="B68" i="63" s="1"/>
  <c r="A66" i="56" l="1"/>
  <c r="C65" i="56"/>
  <c r="A69" i="63"/>
  <c r="B65" i="56"/>
  <c r="B69" i="63" s="1"/>
  <c r="A64" i="55"/>
  <c r="C67" i="63"/>
  <c r="B63" i="55"/>
  <c r="D67" i="63" s="1"/>
  <c r="A60" i="49"/>
  <c r="G63" i="63"/>
  <c r="B59" i="49"/>
  <c r="H63" i="63" s="1"/>
  <c r="K66" i="63"/>
  <c r="A63" i="39"/>
  <c r="B62" i="39"/>
  <c r="L66" i="63" s="1"/>
  <c r="A63" i="33"/>
  <c r="B62" i="33"/>
  <c r="A60" i="51"/>
  <c r="E63" i="63"/>
  <c r="B59" i="51"/>
  <c r="F63" i="63" s="1"/>
  <c r="A60" i="45"/>
  <c r="I63" i="63"/>
  <c r="B59" i="45"/>
  <c r="J63" i="63" s="1"/>
  <c r="A60" i="34"/>
  <c r="B59" i="34"/>
  <c r="A61" i="51" l="1"/>
  <c r="E64" i="63"/>
  <c r="B60" i="51"/>
  <c r="F64" i="63" s="1"/>
  <c r="A61" i="45"/>
  <c r="I64" i="63"/>
  <c r="B60" i="45"/>
  <c r="J64" i="63" s="1"/>
  <c r="A61" i="34"/>
  <c r="B60" i="34"/>
  <c r="B63" i="33"/>
  <c r="A64" i="33"/>
  <c r="K67" i="63"/>
  <c r="A64" i="39"/>
  <c r="B63" i="39"/>
  <c r="L67" i="63" s="1"/>
  <c r="A61" i="49"/>
  <c r="G64" i="63"/>
  <c r="B60" i="49"/>
  <c r="H64" i="63" s="1"/>
  <c r="A65" i="55"/>
  <c r="C68" i="63"/>
  <c r="B64" i="55"/>
  <c r="D68" i="63" s="1"/>
  <c r="A67" i="56"/>
  <c r="C66" i="56"/>
  <c r="A70" i="63"/>
  <c r="B66" i="56"/>
  <c r="B70" i="63" s="1"/>
  <c r="K68" i="63" l="1"/>
  <c r="A65" i="39"/>
  <c r="B64" i="39"/>
  <c r="L68" i="63" s="1"/>
  <c r="A62" i="45"/>
  <c r="I65" i="63"/>
  <c r="B61" i="45"/>
  <c r="J65" i="63" s="1"/>
  <c r="B61" i="34"/>
  <c r="A62" i="34"/>
  <c r="A62" i="49"/>
  <c r="G65" i="63"/>
  <c r="B61" i="49"/>
  <c r="H65" i="63" s="1"/>
  <c r="A65" i="33"/>
  <c r="B64" i="33"/>
  <c r="A68" i="56"/>
  <c r="A71" i="63"/>
  <c r="C67" i="56"/>
  <c r="B67" i="56"/>
  <c r="B71" i="63" s="1"/>
  <c r="C69" i="63"/>
  <c r="B65" i="55"/>
  <c r="D69" i="63" s="1"/>
  <c r="A66" i="55"/>
  <c r="A62" i="51"/>
  <c r="E65" i="63"/>
  <c r="B61" i="51"/>
  <c r="F65" i="63" s="1"/>
  <c r="B65" i="33" l="1"/>
  <c r="A66" i="33"/>
  <c r="I66" i="63"/>
  <c r="A63" i="45"/>
  <c r="B62" i="45"/>
  <c r="J66" i="63" s="1"/>
  <c r="A69" i="56"/>
  <c r="A72" i="63"/>
  <c r="C68" i="56"/>
  <c r="B68" i="56"/>
  <c r="B72" i="63" s="1"/>
  <c r="A66" i="39"/>
  <c r="K69" i="63"/>
  <c r="B65" i="39"/>
  <c r="L69" i="63" s="1"/>
  <c r="C70" i="63"/>
  <c r="A67" i="55"/>
  <c r="B66" i="55"/>
  <c r="D70" i="63" s="1"/>
  <c r="A63" i="34"/>
  <c r="B62" i="34"/>
  <c r="E66" i="63"/>
  <c r="A63" i="51"/>
  <c r="B62" i="51"/>
  <c r="F66" i="63" s="1"/>
  <c r="G66" i="63"/>
  <c r="A63" i="49"/>
  <c r="B62" i="49"/>
  <c r="H66" i="63" s="1"/>
  <c r="A64" i="45" l="1"/>
  <c r="I67" i="63"/>
  <c r="B63" i="45"/>
  <c r="J67" i="63" s="1"/>
  <c r="A64" i="51"/>
  <c r="E67" i="63"/>
  <c r="B63" i="51"/>
  <c r="F67" i="63" s="1"/>
  <c r="A64" i="49"/>
  <c r="G67" i="63"/>
  <c r="B63" i="49"/>
  <c r="H67" i="63" s="1"/>
  <c r="A68" i="55"/>
  <c r="C71" i="63"/>
  <c r="B67" i="55"/>
  <c r="D71" i="63" s="1"/>
  <c r="K70" i="63"/>
  <c r="A67" i="39"/>
  <c r="B66" i="39"/>
  <c r="L70" i="63" s="1"/>
  <c r="A70" i="56"/>
  <c r="C69" i="56"/>
  <c r="A73" i="63"/>
  <c r="B69" i="56"/>
  <c r="B73" i="63" s="1"/>
  <c r="A67" i="33"/>
  <c r="B66" i="33"/>
  <c r="A64" i="34"/>
  <c r="B63" i="34"/>
  <c r="K71" i="63" l="1"/>
  <c r="A68" i="39"/>
  <c r="B67" i="39"/>
  <c r="L71" i="63" s="1"/>
  <c r="A69" i="55"/>
  <c r="C72" i="63"/>
  <c r="B68" i="55"/>
  <c r="D72" i="63" s="1"/>
  <c r="A68" i="33"/>
  <c r="B67" i="33"/>
  <c r="A71" i="56"/>
  <c r="C70" i="56"/>
  <c r="A74" i="63"/>
  <c r="B70" i="56"/>
  <c r="B74" i="63" s="1"/>
  <c r="A65" i="51"/>
  <c r="E68" i="63"/>
  <c r="B64" i="51"/>
  <c r="F68" i="63" s="1"/>
  <c r="A65" i="49"/>
  <c r="G68" i="63"/>
  <c r="B64" i="49"/>
  <c r="H68" i="63" s="1"/>
  <c r="A65" i="34"/>
  <c r="B64" i="34"/>
  <c r="A65" i="45"/>
  <c r="I68" i="63"/>
  <c r="B64" i="45"/>
  <c r="J68" i="63" s="1"/>
  <c r="A66" i="49" l="1"/>
  <c r="G69" i="63"/>
  <c r="B65" i="49"/>
  <c r="H69" i="63" s="1"/>
  <c r="A70" i="55"/>
  <c r="C73" i="63"/>
  <c r="B69" i="55"/>
  <c r="D73" i="63" s="1"/>
  <c r="K72" i="63"/>
  <c r="A69" i="39"/>
  <c r="B68" i="39"/>
  <c r="L72" i="63" s="1"/>
  <c r="B65" i="34"/>
  <c r="A66" i="34"/>
  <c r="A69" i="33"/>
  <c r="B68" i="33"/>
  <c r="A66" i="45"/>
  <c r="I69" i="63"/>
  <c r="B65" i="45"/>
  <c r="J69" i="63" s="1"/>
  <c r="A66" i="51"/>
  <c r="E69" i="63"/>
  <c r="B65" i="51"/>
  <c r="F69" i="63" s="1"/>
  <c r="A72" i="56"/>
  <c r="A75" i="63"/>
  <c r="C71" i="56"/>
  <c r="B71" i="56"/>
  <c r="B75" i="63" s="1"/>
  <c r="A70" i="39" l="1"/>
  <c r="K73" i="63"/>
  <c r="B69" i="39"/>
  <c r="L73" i="63" s="1"/>
  <c r="C74" i="63"/>
  <c r="A71" i="55"/>
  <c r="B70" i="55"/>
  <c r="D74" i="63" s="1"/>
  <c r="A67" i="34"/>
  <c r="B66" i="34"/>
  <c r="I70" i="63"/>
  <c r="A67" i="45"/>
  <c r="B66" i="45"/>
  <c r="J70" i="63" s="1"/>
  <c r="A76" i="63"/>
  <c r="A73" i="56"/>
  <c r="C72" i="56"/>
  <c r="B72" i="56"/>
  <c r="B76" i="63" s="1"/>
  <c r="A70" i="33"/>
  <c r="B69" i="33"/>
  <c r="E70" i="63"/>
  <c r="A67" i="51"/>
  <c r="B66" i="51"/>
  <c r="F70" i="63" s="1"/>
  <c r="G70" i="63"/>
  <c r="A67" i="49"/>
  <c r="B66" i="49"/>
  <c r="H70" i="63" s="1"/>
  <c r="A68" i="34" l="1"/>
  <c r="B67" i="34"/>
  <c r="A68" i="49"/>
  <c r="G71" i="63"/>
  <c r="B67" i="49"/>
  <c r="H71" i="63" s="1"/>
  <c r="A68" i="45"/>
  <c r="I71" i="63"/>
  <c r="B67" i="45"/>
  <c r="J71" i="63" s="1"/>
  <c r="A71" i="33"/>
  <c r="B70" i="33"/>
  <c r="A68" i="51"/>
  <c r="E71" i="63"/>
  <c r="B67" i="51"/>
  <c r="F71" i="63" s="1"/>
  <c r="A74" i="56"/>
  <c r="A77" i="63"/>
  <c r="C73" i="56"/>
  <c r="B73" i="56"/>
  <c r="B77" i="63" s="1"/>
  <c r="A72" i="55"/>
  <c r="C75" i="63"/>
  <c r="B71" i="55"/>
  <c r="D75" i="63" s="1"/>
  <c r="K74" i="63"/>
  <c r="A71" i="39"/>
  <c r="B70" i="39"/>
  <c r="L74" i="63" s="1"/>
  <c r="A69" i="51" l="1"/>
  <c r="E72" i="63"/>
  <c r="B68" i="51"/>
  <c r="F72" i="63" s="1"/>
  <c r="A69" i="49"/>
  <c r="G72" i="63"/>
  <c r="B68" i="49"/>
  <c r="H72" i="63" s="1"/>
  <c r="K75" i="63"/>
  <c r="A72" i="39"/>
  <c r="B71" i="39"/>
  <c r="L75" i="63" s="1"/>
  <c r="A73" i="55"/>
  <c r="C76" i="63"/>
  <c r="B72" i="55"/>
  <c r="D76" i="63" s="1"/>
  <c r="A75" i="56"/>
  <c r="C74" i="56"/>
  <c r="A78" i="63"/>
  <c r="B74" i="56"/>
  <c r="B78" i="63" s="1"/>
  <c r="A69" i="45"/>
  <c r="I72" i="63"/>
  <c r="B68" i="45"/>
  <c r="J72" i="63" s="1"/>
  <c r="B71" i="33"/>
  <c r="A72" i="33"/>
  <c r="A69" i="34"/>
  <c r="B68" i="34"/>
  <c r="A73" i="33" l="1"/>
  <c r="B72" i="33"/>
  <c r="A76" i="56"/>
  <c r="A79" i="63"/>
  <c r="C75" i="56"/>
  <c r="B75" i="56"/>
  <c r="B79" i="63" s="1"/>
  <c r="K76" i="63"/>
  <c r="A73" i="39"/>
  <c r="B72" i="39"/>
  <c r="L76" i="63" s="1"/>
  <c r="A70" i="49"/>
  <c r="G73" i="63"/>
  <c r="B69" i="49"/>
  <c r="H73" i="63" s="1"/>
  <c r="B69" i="34"/>
  <c r="A70" i="34"/>
  <c r="C77" i="63"/>
  <c r="A74" i="55"/>
  <c r="B73" i="55"/>
  <c r="D77" i="63" s="1"/>
  <c r="A70" i="45"/>
  <c r="I73" i="63"/>
  <c r="B69" i="45"/>
  <c r="J73" i="63" s="1"/>
  <c r="A70" i="51"/>
  <c r="E73" i="63"/>
  <c r="B69" i="51"/>
  <c r="F73" i="63" s="1"/>
  <c r="C78" i="63" l="1"/>
  <c r="A75" i="55"/>
  <c r="B74" i="55"/>
  <c r="D78" i="63" s="1"/>
  <c r="A74" i="39"/>
  <c r="K77" i="63"/>
  <c r="B73" i="39"/>
  <c r="L77" i="63" s="1"/>
  <c r="A77" i="56"/>
  <c r="A80" i="63"/>
  <c r="C76" i="56"/>
  <c r="B76" i="56"/>
  <c r="B80" i="63" s="1"/>
  <c r="I74" i="63"/>
  <c r="A71" i="45"/>
  <c r="B70" i="45"/>
  <c r="J74" i="63" s="1"/>
  <c r="A71" i="34"/>
  <c r="B70" i="34"/>
  <c r="G74" i="63"/>
  <c r="A71" i="49"/>
  <c r="B70" i="49"/>
  <c r="H74" i="63" s="1"/>
  <c r="E74" i="63"/>
  <c r="A71" i="51"/>
  <c r="B70" i="51"/>
  <c r="F74" i="63" s="1"/>
  <c r="B73" i="33"/>
  <c r="A74" i="33"/>
  <c r="A72" i="51" l="1"/>
  <c r="E75" i="63"/>
  <c r="B71" i="51"/>
  <c r="F75" i="63" s="1"/>
  <c r="A72" i="45"/>
  <c r="I75" i="63"/>
  <c r="B71" i="45"/>
  <c r="J75" i="63" s="1"/>
  <c r="A72" i="34"/>
  <c r="B71" i="34"/>
  <c r="A76" i="55"/>
  <c r="C79" i="63"/>
  <c r="B75" i="55"/>
  <c r="D79" i="63" s="1"/>
  <c r="K78" i="63"/>
  <c r="A75" i="39"/>
  <c r="B74" i="39"/>
  <c r="L78" i="63" s="1"/>
  <c r="A75" i="33"/>
  <c r="B74" i="33"/>
  <c r="A78" i="56"/>
  <c r="C77" i="56"/>
  <c r="A81" i="63"/>
  <c r="B77" i="56"/>
  <c r="B81" i="63" s="1"/>
  <c r="A72" i="49"/>
  <c r="G75" i="63"/>
  <c r="B71" i="49"/>
  <c r="H75" i="63" s="1"/>
  <c r="A73" i="45" l="1"/>
  <c r="I76" i="63"/>
  <c r="B72" i="45"/>
  <c r="J76" i="63" s="1"/>
  <c r="A76" i="33"/>
  <c r="B75" i="33"/>
  <c r="A73" i="34"/>
  <c r="B72" i="34"/>
  <c r="A73" i="49"/>
  <c r="G76" i="63"/>
  <c r="B72" i="49"/>
  <c r="H76" i="63" s="1"/>
  <c r="A79" i="56"/>
  <c r="C78" i="56"/>
  <c r="A82" i="63"/>
  <c r="B78" i="56"/>
  <c r="B82" i="63" s="1"/>
  <c r="K79" i="63"/>
  <c r="A76" i="39"/>
  <c r="B75" i="39"/>
  <c r="L79" i="63" s="1"/>
  <c r="A77" i="55"/>
  <c r="C80" i="63"/>
  <c r="B76" i="55"/>
  <c r="D80" i="63" s="1"/>
  <c r="A73" i="51"/>
  <c r="E76" i="63"/>
  <c r="B72" i="51"/>
  <c r="F76" i="63" s="1"/>
  <c r="A78" i="55" l="1"/>
  <c r="B77" i="55"/>
  <c r="D81" i="63" s="1"/>
  <c r="C81" i="63"/>
  <c r="B73" i="34"/>
  <c r="A74" i="34"/>
  <c r="K80" i="63"/>
  <c r="A77" i="39"/>
  <c r="B76" i="39"/>
  <c r="L80" i="63" s="1"/>
  <c r="A74" i="49"/>
  <c r="G77" i="63"/>
  <c r="B73" i="49"/>
  <c r="H77" i="63" s="1"/>
  <c r="A77" i="33"/>
  <c r="B76" i="33"/>
  <c r="A80" i="56"/>
  <c r="A83" i="63"/>
  <c r="C79" i="56"/>
  <c r="B79" i="56"/>
  <c r="B83" i="63" s="1"/>
  <c r="E77" i="63"/>
  <c r="A74" i="51"/>
  <c r="B73" i="51"/>
  <c r="F77" i="63" s="1"/>
  <c r="I77" i="63"/>
  <c r="A74" i="45"/>
  <c r="B73" i="45"/>
  <c r="J77" i="63" s="1"/>
  <c r="E78" i="63" l="1"/>
  <c r="A75" i="51"/>
  <c r="B74" i="51"/>
  <c r="F78" i="63" s="1"/>
  <c r="A78" i="39"/>
  <c r="K81" i="63"/>
  <c r="B77" i="39"/>
  <c r="L81" i="63" s="1"/>
  <c r="I78" i="63"/>
  <c r="A75" i="45"/>
  <c r="B74" i="45"/>
  <c r="J78" i="63" s="1"/>
  <c r="A81" i="56"/>
  <c r="A84" i="63"/>
  <c r="C80" i="56"/>
  <c r="B80" i="56"/>
  <c r="B84" i="63" s="1"/>
  <c r="B77" i="33"/>
  <c r="A78" i="33"/>
  <c r="G78" i="63"/>
  <c r="A75" i="49"/>
  <c r="B74" i="49"/>
  <c r="H78" i="63" s="1"/>
  <c r="A75" i="34"/>
  <c r="B74" i="34"/>
  <c r="C82" i="63"/>
  <c r="A79" i="55"/>
  <c r="B78" i="55"/>
  <c r="D82" i="63" s="1"/>
  <c r="A79" i="33" l="1"/>
  <c r="B78" i="33"/>
  <c r="A80" i="55"/>
  <c r="C83" i="63"/>
  <c r="B79" i="55"/>
  <c r="D83" i="63" s="1"/>
  <c r="A82" i="56"/>
  <c r="C81" i="56"/>
  <c r="A85" i="63"/>
  <c r="B81" i="56"/>
  <c r="B85" i="63" s="1"/>
  <c r="A76" i="51"/>
  <c r="E79" i="63"/>
  <c r="B75" i="51"/>
  <c r="F79" i="63" s="1"/>
  <c r="A76" i="45"/>
  <c r="I79" i="63"/>
  <c r="B75" i="45"/>
  <c r="J79" i="63" s="1"/>
  <c r="K82" i="63"/>
  <c r="A79" i="39"/>
  <c r="B78" i="39"/>
  <c r="L82" i="63" s="1"/>
  <c r="A76" i="34"/>
  <c r="B75" i="34"/>
  <c r="A76" i="49"/>
  <c r="G79" i="63"/>
  <c r="B75" i="49"/>
  <c r="H79" i="63" s="1"/>
  <c r="A77" i="34" l="1"/>
  <c r="B76" i="34"/>
  <c r="A81" i="55"/>
  <c r="C84" i="63"/>
  <c r="B80" i="55"/>
  <c r="D84" i="63" s="1"/>
  <c r="A77" i="51"/>
  <c r="E80" i="63"/>
  <c r="B76" i="51"/>
  <c r="F80" i="63" s="1"/>
  <c r="A83" i="56"/>
  <c r="C82" i="56"/>
  <c r="A86" i="63"/>
  <c r="B82" i="56"/>
  <c r="B86" i="63" s="1"/>
  <c r="A77" i="49"/>
  <c r="G80" i="63"/>
  <c r="B76" i="49"/>
  <c r="H80" i="63" s="1"/>
  <c r="K83" i="63"/>
  <c r="A80" i="39"/>
  <c r="B79" i="39"/>
  <c r="L83" i="63" s="1"/>
  <c r="A77" i="45"/>
  <c r="I80" i="63"/>
  <c r="B76" i="45"/>
  <c r="J80" i="63" s="1"/>
  <c r="B79" i="33"/>
  <c r="A80" i="33"/>
  <c r="A78" i="45" l="1"/>
  <c r="I81" i="63"/>
  <c r="B77" i="45"/>
  <c r="J81" i="63" s="1"/>
  <c r="C85" i="63"/>
  <c r="A82" i="55"/>
  <c r="B81" i="55"/>
  <c r="D85" i="63" s="1"/>
  <c r="A78" i="51"/>
  <c r="E81" i="63"/>
  <c r="B77" i="51"/>
  <c r="F81" i="63" s="1"/>
  <c r="A81" i="33"/>
  <c r="B80" i="33"/>
  <c r="K84" i="63"/>
  <c r="A81" i="39"/>
  <c r="B80" i="39"/>
  <c r="L84" i="63" s="1"/>
  <c r="A78" i="49"/>
  <c r="G81" i="63"/>
  <c r="B77" i="49"/>
  <c r="H81" i="63" s="1"/>
  <c r="A84" i="56"/>
  <c r="A87" i="63"/>
  <c r="C83" i="56"/>
  <c r="B83" i="56"/>
  <c r="B87" i="63" s="1"/>
  <c r="B77" i="34"/>
  <c r="A78" i="34"/>
  <c r="E82" i="63" l="1"/>
  <c r="A79" i="51"/>
  <c r="B78" i="51"/>
  <c r="F82" i="63" s="1"/>
  <c r="A85" i="56"/>
  <c r="A88" i="63"/>
  <c r="C84" i="56"/>
  <c r="B84" i="56"/>
  <c r="B88" i="63" s="1"/>
  <c r="B81" i="33"/>
  <c r="A82" i="33"/>
  <c r="A79" i="34"/>
  <c r="B78" i="34"/>
  <c r="G82" i="63"/>
  <c r="A79" i="49"/>
  <c r="B78" i="49"/>
  <c r="H82" i="63" s="1"/>
  <c r="A82" i="39"/>
  <c r="K85" i="63"/>
  <c r="B81" i="39"/>
  <c r="L85" i="63" s="1"/>
  <c r="C86" i="63"/>
  <c r="A83" i="55"/>
  <c r="B82" i="55"/>
  <c r="D86" i="63" s="1"/>
  <c r="I82" i="63"/>
  <c r="A79" i="45"/>
  <c r="B78" i="45"/>
  <c r="J82" i="63" s="1"/>
  <c r="K86" i="63" l="1"/>
  <c r="A83" i="39"/>
  <c r="B82" i="39"/>
  <c r="L86" i="63" s="1"/>
  <c r="A80" i="45"/>
  <c r="I83" i="63"/>
  <c r="B79" i="45"/>
  <c r="J83" i="63" s="1"/>
  <c r="A80" i="34"/>
  <c r="B79" i="34"/>
  <c r="A80" i="51"/>
  <c r="E83" i="63"/>
  <c r="B79" i="51"/>
  <c r="F83" i="63" s="1"/>
  <c r="A86" i="56"/>
  <c r="C85" i="56"/>
  <c r="A89" i="63"/>
  <c r="B85" i="56"/>
  <c r="B89" i="63" s="1"/>
  <c r="A84" i="55"/>
  <c r="C87" i="63"/>
  <c r="B83" i="55"/>
  <c r="D87" i="63" s="1"/>
  <c r="A80" i="49"/>
  <c r="G83" i="63"/>
  <c r="B79" i="49"/>
  <c r="H83" i="63" s="1"/>
  <c r="A83" i="33"/>
  <c r="B82" i="33"/>
  <c r="A85" i="55" l="1"/>
  <c r="C88" i="63"/>
  <c r="B84" i="55"/>
  <c r="D88" i="63" s="1"/>
  <c r="A87" i="56"/>
  <c r="C86" i="56"/>
  <c r="A90" i="63"/>
  <c r="B86" i="56"/>
  <c r="B90" i="63" s="1"/>
  <c r="A81" i="34"/>
  <c r="B80" i="34"/>
  <c r="A84" i="33"/>
  <c r="B83" i="33"/>
  <c r="K87" i="63"/>
  <c r="A84" i="39"/>
  <c r="B83" i="39"/>
  <c r="L87" i="63" s="1"/>
  <c r="A81" i="45"/>
  <c r="I84" i="63"/>
  <c r="B80" i="45"/>
  <c r="J84" i="63" s="1"/>
  <c r="A81" i="49"/>
  <c r="G84" i="63"/>
  <c r="B80" i="49"/>
  <c r="H84" i="63" s="1"/>
  <c r="A81" i="51"/>
  <c r="E84" i="63"/>
  <c r="B80" i="51"/>
  <c r="F84" i="63" s="1"/>
  <c r="A82" i="49" l="1"/>
  <c r="G85" i="63"/>
  <c r="B81" i="49"/>
  <c r="H85" i="63" s="1"/>
  <c r="A85" i="33"/>
  <c r="B84" i="33"/>
  <c r="B81" i="34"/>
  <c r="A82" i="34"/>
  <c r="A88" i="56"/>
  <c r="A91" i="63"/>
  <c r="C87" i="56"/>
  <c r="B87" i="56"/>
  <c r="B91" i="63" s="1"/>
  <c r="A82" i="45"/>
  <c r="I85" i="63"/>
  <c r="B81" i="45"/>
  <c r="J85" i="63" s="1"/>
  <c r="A82" i="51"/>
  <c r="E85" i="63"/>
  <c r="B81" i="51"/>
  <c r="F85" i="63" s="1"/>
  <c r="K88" i="63"/>
  <c r="A85" i="39"/>
  <c r="B84" i="39"/>
  <c r="L88" i="63" s="1"/>
  <c r="A86" i="55"/>
  <c r="C89" i="63"/>
  <c r="B85" i="55"/>
  <c r="D89" i="63" s="1"/>
  <c r="I86" i="63" l="1"/>
  <c r="A83" i="45"/>
  <c r="B82" i="45"/>
  <c r="J86" i="63" s="1"/>
  <c r="A92" i="63"/>
  <c r="A89" i="56"/>
  <c r="C88" i="56"/>
  <c r="B88" i="56"/>
  <c r="B92" i="63" s="1"/>
  <c r="A86" i="33"/>
  <c r="B86" i="33" s="1"/>
  <c r="B85" i="33"/>
  <c r="K89" i="63"/>
  <c r="A86" i="39"/>
  <c r="B86" i="39" s="1"/>
  <c r="B85" i="39"/>
  <c r="L89" i="63" s="1"/>
  <c r="A83" i="34"/>
  <c r="B82" i="34"/>
  <c r="E86" i="63"/>
  <c r="A83" i="51"/>
  <c r="B82" i="51"/>
  <c r="F86" i="63" s="1"/>
  <c r="C90" i="63"/>
  <c r="A87" i="55"/>
  <c r="B86" i="55"/>
  <c r="D90" i="63" s="1"/>
  <c r="G86" i="63"/>
  <c r="A83" i="49"/>
  <c r="B82" i="49"/>
  <c r="H86" i="63" s="1"/>
  <c r="A84" i="51" l="1"/>
  <c r="E87" i="63"/>
  <c r="B83" i="51"/>
  <c r="F87" i="63" s="1"/>
  <c r="A84" i="49"/>
  <c r="G87" i="63"/>
  <c r="B83" i="49"/>
  <c r="H87" i="63" s="1"/>
  <c r="A84" i="45"/>
  <c r="I87" i="63"/>
  <c r="B83" i="45"/>
  <c r="J87" i="63" s="1"/>
  <c r="A88" i="55"/>
  <c r="C91" i="63"/>
  <c r="B87" i="55"/>
  <c r="D91" i="63" s="1"/>
  <c r="A84" i="34"/>
  <c r="B83" i="34"/>
  <c r="A90" i="56"/>
  <c r="A93" i="63"/>
  <c r="C89" i="56"/>
  <c r="B89" i="56"/>
  <c r="B93" i="63" s="1"/>
  <c r="A91" i="56" l="1"/>
  <c r="C90" i="56"/>
  <c r="A94" i="63"/>
  <c r="B90" i="56"/>
  <c r="B94" i="63" s="1"/>
  <c r="A85" i="45"/>
  <c r="I88" i="63"/>
  <c r="B84" i="45"/>
  <c r="J88" i="63" s="1"/>
  <c r="A89" i="55"/>
  <c r="C92" i="63"/>
  <c r="B88" i="55"/>
  <c r="D92" i="63" s="1"/>
  <c r="A85" i="49"/>
  <c r="G88" i="63"/>
  <c r="B84" i="49"/>
  <c r="H88" i="63" s="1"/>
  <c r="A85" i="34"/>
  <c r="B84" i="34"/>
  <c r="A85" i="51"/>
  <c r="E88" i="63"/>
  <c r="B84" i="51"/>
  <c r="F88" i="63" s="1"/>
  <c r="E89" i="63" l="1"/>
  <c r="A86" i="51"/>
  <c r="B86" i="51" s="1"/>
  <c r="B85" i="51"/>
  <c r="F89" i="63" s="1"/>
  <c r="C93" i="63"/>
  <c r="A90" i="55"/>
  <c r="B89" i="55"/>
  <c r="D93" i="63" s="1"/>
  <c r="A86" i="49"/>
  <c r="B86" i="49" s="1"/>
  <c r="G89" i="63"/>
  <c r="B85" i="49"/>
  <c r="H89" i="63" s="1"/>
  <c r="B85" i="34"/>
  <c r="A86" i="34"/>
  <c r="B86" i="34" s="1"/>
  <c r="I89" i="63"/>
  <c r="A86" i="45"/>
  <c r="B86" i="45" s="1"/>
  <c r="B85" i="45"/>
  <c r="J89" i="63" s="1"/>
  <c r="A95" i="63"/>
  <c r="A92" i="56"/>
  <c r="C91" i="56"/>
  <c r="B91" i="56"/>
  <c r="B95" i="63" s="1"/>
  <c r="A93" i="56" l="1"/>
  <c r="A96" i="63"/>
  <c r="C92" i="56"/>
  <c r="B92" i="56"/>
  <c r="B96" i="63" s="1"/>
  <c r="C94" i="63"/>
  <c r="A91" i="55"/>
  <c r="B90" i="55"/>
  <c r="D94" i="63" s="1"/>
  <c r="A92" i="55" l="1"/>
  <c r="C95" i="63"/>
  <c r="B91" i="55"/>
  <c r="D95" i="63" s="1"/>
  <c r="A94" i="56"/>
  <c r="C93" i="56"/>
  <c r="A97" i="63"/>
  <c r="B93" i="56"/>
  <c r="B97" i="63" s="1"/>
  <c r="A95" i="56" l="1"/>
  <c r="C94" i="56"/>
  <c r="A98" i="63"/>
  <c r="B94" i="56"/>
  <c r="B98" i="63" s="1"/>
  <c r="A93" i="55"/>
  <c r="C96" i="63"/>
  <c r="B92" i="55"/>
  <c r="D96" i="63" s="1"/>
  <c r="A94" i="55" l="1"/>
  <c r="C97" i="63"/>
  <c r="B93" i="55"/>
  <c r="D97" i="63" s="1"/>
  <c r="A96" i="56"/>
  <c r="A99" i="63"/>
  <c r="C95" i="56"/>
  <c r="B95" i="56"/>
  <c r="B99" i="63" s="1"/>
  <c r="A97" i="56" l="1"/>
  <c r="A100" i="63"/>
  <c r="C96" i="56"/>
  <c r="B96" i="56"/>
  <c r="B100" i="63" s="1"/>
  <c r="C98" i="63"/>
  <c r="A95" i="55"/>
  <c r="B94" i="55"/>
  <c r="D98" i="63" s="1"/>
  <c r="A96" i="55" l="1"/>
  <c r="C99" i="63"/>
  <c r="B95" i="55"/>
  <c r="D99" i="63" s="1"/>
  <c r="A98" i="56"/>
  <c r="C97" i="56"/>
  <c r="A101" i="63"/>
  <c r="B97" i="56"/>
  <c r="B101" i="63" s="1"/>
  <c r="A99" i="56" l="1"/>
  <c r="C98" i="56"/>
  <c r="A102" i="63"/>
  <c r="B98" i="56"/>
  <c r="B102" i="63" s="1"/>
  <c r="A97" i="55"/>
  <c r="C100" i="63"/>
  <c r="B96" i="55"/>
  <c r="D100" i="63" s="1"/>
  <c r="C101" i="63" l="1"/>
  <c r="B97" i="55"/>
  <c r="D101" i="63" s="1"/>
  <c r="A98" i="55"/>
  <c r="A100" i="56"/>
  <c r="A103" i="63"/>
  <c r="C99" i="56"/>
  <c r="B99" i="56"/>
  <c r="B103" i="63" s="1"/>
  <c r="A101" i="56" l="1"/>
  <c r="A104" i="63"/>
  <c r="C100" i="56"/>
  <c r="B100" i="56"/>
  <c r="B104" i="63" s="1"/>
  <c r="C102" i="63"/>
  <c r="A99" i="55"/>
  <c r="B98" i="55"/>
  <c r="D102" i="63" s="1"/>
  <c r="A100" i="55" l="1"/>
  <c r="C103" i="63"/>
  <c r="B99" i="55"/>
  <c r="D103" i="63" s="1"/>
  <c r="A102" i="56"/>
  <c r="C101" i="56"/>
  <c r="A105" i="63"/>
  <c r="B101" i="56"/>
  <c r="B105" i="63" s="1"/>
  <c r="A103" i="56" l="1"/>
  <c r="A106" i="63"/>
  <c r="C102" i="56"/>
  <c r="B102" i="56"/>
  <c r="B106" i="63" s="1"/>
  <c r="A101" i="55"/>
  <c r="C104" i="63"/>
  <c r="B100" i="55"/>
  <c r="D104" i="63" s="1"/>
  <c r="A102" i="55" l="1"/>
  <c r="C105" i="63"/>
  <c r="B101" i="55"/>
  <c r="D105" i="63" s="1"/>
  <c r="A104" i="56"/>
  <c r="A107" i="63"/>
  <c r="C103" i="56"/>
  <c r="B103" i="56"/>
  <c r="B107" i="63" s="1"/>
  <c r="A105" i="56" l="1"/>
  <c r="C104" i="56"/>
  <c r="B104" i="56"/>
  <c r="C106" i="63"/>
  <c r="A103" i="55"/>
  <c r="B102" i="55"/>
  <c r="D106" i="63" s="1"/>
  <c r="C107" i="63" l="1"/>
  <c r="A104" i="55"/>
  <c r="B103" i="55"/>
  <c r="D107" i="63" s="1"/>
  <c r="A106" i="56"/>
  <c r="C105" i="56"/>
  <c r="B105" i="56"/>
  <c r="A105" i="55" l="1"/>
  <c r="B104" i="55"/>
  <c r="A107" i="56"/>
  <c r="C106" i="56"/>
  <c r="B106" i="56"/>
  <c r="A108" i="56" l="1"/>
  <c r="C107" i="56"/>
  <c r="B107" i="56"/>
  <c r="B105" i="55"/>
  <c r="A106" i="55"/>
  <c r="A107" i="55" l="1"/>
  <c r="B106" i="55"/>
  <c r="A109" i="56"/>
  <c r="C108" i="56"/>
  <c r="B108" i="56"/>
  <c r="A110" i="56" l="1"/>
  <c r="C109" i="56"/>
  <c r="B109" i="56"/>
  <c r="B107" i="55"/>
  <c r="A108" i="55"/>
  <c r="A109" i="55" l="1"/>
  <c r="B108" i="55"/>
  <c r="A111" i="56"/>
  <c r="C110" i="56"/>
  <c r="B110" i="56"/>
  <c r="A112" i="56" l="1"/>
  <c r="C111" i="56"/>
  <c r="B111" i="56"/>
  <c r="B109" i="55"/>
  <c r="A110" i="55"/>
  <c r="A111" i="55" l="1"/>
  <c r="B110" i="55"/>
  <c r="A113" i="56"/>
  <c r="C112" i="56"/>
  <c r="B112" i="56"/>
  <c r="A114" i="56" l="1"/>
  <c r="C113" i="56"/>
  <c r="B113" i="56"/>
  <c r="B111" i="55"/>
  <c r="A112" i="55"/>
  <c r="A113" i="55" l="1"/>
  <c r="B112" i="55"/>
  <c r="A115" i="56"/>
  <c r="C114" i="56"/>
  <c r="B114" i="56"/>
  <c r="A116" i="56" l="1"/>
  <c r="C115" i="56"/>
  <c r="B115" i="56"/>
  <c r="B113" i="55"/>
  <c r="A114" i="55"/>
  <c r="A115" i="55" l="1"/>
  <c r="B114" i="55"/>
  <c r="A117" i="56"/>
  <c r="C116" i="56"/>
  <c r="B116" i="56"/>
  <c r="A118" i="56" l="1"/>
  <c r="C117" i="56"/>
  <c r="B117" i="56"/>
  <c r="B115" i="55"/>
  <c r="A116" i="55"/>
  <c r="B116" i="55" s="1"/>
  <c r="A119" i="56" l="1"/>
  <c r="C118" i="56"/>
  <c r="B118" i="56"/>
  <c r="A120" i="56" l="1"/>
  <c r="C119" i="56"/>
  <c r="B119" i="56"/>
  <c r="A121" i="56" l="1"/>
  <c r="C120" i="56"/>
  <c r="B120" i="56"/>
  <c r="A122" i="56" l="1"/>
  <c r="C121" i="56"/>
  <c r="B121" i="56"/>
  <c r="A123" i="56" l="1"/>
  <c r="C122" i="56"/>
  <c r="B122" i="56"/>
  <c r="A124" i="56" l="1"/>
  <c r="C123" i="56"/>
  <c r="B123" i="56"/>
  <c r="A125" i="56" l="1"/>
  <c r="C124" i="56"/>
  <c r="B124" i="56"/>
  <c r="A126" i="56" l="1"/>
  <c r="C125" i="56"/>
  <c r="B125" i="56"/>
  <c r="A127" i="56" l="1"/>
  <c r="C126" i="56"/>
  <c r="B126" i="56"/>
  <c r="A128" i="56" l="1"/>
  <c r="C127" i="56"/>
  <c r="B127" i="56"/>
  <c r="A129" i="56" l="1"/>
  <c r="C128" i="56"/>
  <c r="B128" i="56"/>
  <c r="A130" i="56" l="1"/>
  <c r="C129" i="56"/>
  <c r="B129" i="56"/>
  <c r="A131" i="56" l="1"/>
  <c r="C130" i="56"/>
  <c r="B130" i="56"/>
  <c r="A132" i="56" l="1"/>
  <c r="C131" i="56"/>
  <c r="B131" i="56"/>
  <c r="A133" i="56" l="1"/>
  <c r="C132" i="56"/>
  <c r="B132" i="56"/>
  <c r="A134" i="56" l="1"/>
  <c r="C133" i="56"/>
  <c r="B133" i="56"/>
  <c r="A135" i="56" l="1"/>
  <c r="C134" i="56"/>
  <c r="B134" i="56"/>
  <c r="A136" i="56" l="1"/>
  <c r="C135" i="56"/>
  <c r="B135" i="56"/>
  <c r="C136" i="56" l="1"/>
  <c r="B136" i="56"/>
</calcChain>
</file>

<file path=xl/comments1.xml><?xml version="1.0" encoding="utf-8"?>
<comments xmlns="http://schemas.openxmlformats.org/spreadsheetml/2006/main">
  <authors>
    <author>HARLEYDE</author>
  </authors>
  <commentList>
    <comment ref="O1" authorId="0">
      <text>
        <r>
          <rPr>
            <b/>
            <sz val="8"/>
            <color indexed="81"/>
            <rFont val="Tahoma"/>
            <family val="2"/>
          </rPr>
          <t>From Phase Diagram Sheet</t>
        </r>
      </text>
    </comment>
  </commentList>
</comments>
</file>

<file path=xl/sharedStrings.xml><?xml version="1.0" encoding="utf-8"?>
<sst xmlns="http://schemas.openxmlformats.org/spreadsheetml/2006/main" count="1829" uniqueCount="195">
  <si>
    <t>Method</t>
  </si>
  <si>
    <t xml:space="preserve">T = </t>
  </si>
  <si>
    <t>K</t>
  </si>
  <si>
    <t>g/mol</t>
  </si>
  <si>
    <t xml:space="preserve">VP A = </t>
  </si>
  <si>
    <t xml:space="preserve">VP B = </t>
  </si>
  <si>
    <t xml:space="preserve">P = </t>
  </si>
  <si>
    <t>bar</t>
  </si>
  <si>
    <t xml:space="preserve">VP C = </t>
  </si>
  <si>
    <t>kPa</t>
  </si>
  <si>
    <t xml:space="preserve">VP D = </t>
  </si>
  <si>
    <t>R =</t>
  </si>
  <si>
    <t>J/(mol.K)</t>
  </si>
  <si>
    <t>van der Waals:</t>
  </si>
  <si>
    <t>Integral</t>
  </si>
  <si>
    <r>
      <t>M</t>
    </r>
    <r>
      <rPr>
        <sz val="10"/>
        <rFont val="Arial"/>
        <family val="2"/>
      </rPr>
      <t xml:space="preserve"> = </t>
    </r>
  </si>
  <si>
    <r>
      <t>1 - T</t>
    </r>
    <r>
      <rPr>
        <vertAlign val="subscript"/>
        <sz val="10"/>
        <rFont val="Arial"/>
        <family val="2"/>
      </rPr>
      <t>R</t>
    </r>
    <r>
      <rPr>
        <sz val="10"/>
        <rFont val="Arial"/>
        <family val="2"/>
      </rPr>
      <t xml:space="preserve"> = </t>
    </r>
  </si>
  <si>
    <r>
      <t>T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= </t>
    </r>
  </si>
  <si>
    <r>
      <t>P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= </t>
    </r>
  </si>
  <si>
    <r>
      <t>V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= </t>
    </r>
  </si>
  <si>
    <r>
      <t>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/mol</t>
    </r>
  </si>
  <si>
    <r>
      <t>T</t>
    </r>
    <r>
      <rPr>
        <vertAlign val="subscript"/>
        <sz val="10"/>
        <rFont val="Arial"/>
        <family val="2"/>
      </rPr>
      <t>min</t>
    </r>
    <r>
      <rPr>
        <sz val="10"/>
        <rFont val="Arial"/>
        <family val="2"/>
      </rPr>
      <t xml:space="preserve"> = </t>
    </r>
  </si>
  <si>
    <r>
      <t>T</t>
    </r>
    <r>
      <rPr>
        <vertAlign val="subscript"/>
        <sz val="10"/>
        <rFont val="Arial"/>
        <family val="2"/>
      </rPr>
      <t>min</t>
    </r>
    <r>
      <rPr>
        <sz val="10"/>
        <rFont val="Arial"/>
        <family val="2"/>
      </rPr>
      <t>/T</t>
    </r>
    <r>
      <rPr>
        <vertAlign val="subscript"/>
        <sz val="10"/>
        <rFont val="Arial"/>
        <family val="2"/>
      </rPr>
      <t>c</t>
    </r>
  </si>
  <si>
    <r>
      <t>l</t>
    </r>
    <r>
      <rPr>
        <sz val="10"/>
        <rFont val="Arial"/>
        <family val="2"/>
      </rPr>
      <t>/mol</t>
    </r>
  </si>
  <si>
    <r>
      <t>T</t>
    </r>
    <r>
      <rPr>
        <vertAlign val="subscript"/>
        <sz val="10"/>
        <rFont val="Arial"/>
        <family val="2"/>
      </rPr>
      <t>max</t>
    </r>
    <r>
      <rPr>
        <sz val="10"/>
        <rFont val="Arial"/>
        <family val="2"/>
      </rPr>
      <t xml:space="preserve"> = </t>
    </r>
  </si>
  <si>
    <r>
      <t>T</t>
    </r>
    <r>
      <rPr>
        <vertAlign val="subscript"/>
        <sz val="10"/>
        <rFont val="Arial"/>
        <family val="2"/>
      </rPr>
      <t>max</t>
    </r>
    <r>
      <rPr>
        <sz val="10"/>
        <rFont val="Arial"/>
        <family val="2"/>
      </rPr>
      <t>/T</t>
    </r>
    <r>
      <rPr>
        <vertAlign val="subscript"/>
        <sz val="10"/>
        <rFont val="Arial"/>
        <family val="2"/>
      </rPr>
      <t>c</t>
    </r>
  </si>
  <si>
    <r>
      <t>z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= </t>
    </r>
  </si>
  <si>
    <r>
      <t>T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= </t>
    </r>
  </si>
  <si>
    <r>
      <t>T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>/T</t>
    </r>
    <r>
      <rPr>
        <vertAlign val="subscript"/>
        <sz val="10"/>
        <rFont val="Arial"/>
        <family val="2"/>
      </rPr>
      <t>c</t>
    </r>
  </si>
  <si>
    <r>
      <t>w</t>
    </r>
    <r>
      <rPr>
        <sz val="10"/>
        <rFont val="Arial"/>
        <family val="2"/>
      </rPr>
      <t xml:space="preserve"> = </t>
    </r>
  </si>
  <si>
    <r>
      <t>F(v) = v</t>
    </r>
    <r>
      <rPr>
        <vertAlign val="superscript"/>
        <sz val="14"/>
        <rFont val="Arial"/>
        <family val="2"/>
      </rPr>
      <t>3</t>
    </r>
    <r>
      <rPr>
        <sz val="14"/>
        <rFont val="Arial"/>
        <family val="2"/>
      </rPr>
      <t xml:space="preserve"> + a</t>
    </r>
    <r>
      <rPr>
        <vertAlign val="subscript"/>
        <sz val="14"/>
        <rFont val="Arial"/>
        <family val="2"/>
      </rPr>
      <t>1</t>
    </r>
    <r>
      <rPr>
        <sz val="14"/>
        <rFont val="Arial"/>
        <family val="2"/>
      </rPr>
      <t>v</t>
    </r>
    <r>
      <rPr>
        <vertAlign val="superscript"/>
        <sz val="14"/>
        <rFont val="Arial"/>
        <family val="2"/>
      </rPr>
      <t>2</t>
    </r>
    <r>
      <rPr>
        <sz val="14"/>
        <rFont val="Arial"/>
        <family val="2"/>
      </rPr>
      <t xml:space="preserve"> + a</t>
    </r>
    <r>
      <rPr>
        <vertAlign val="subscript"/>
        <sz val="14"/>
        <rFont val="Arial"/>
        <family val="2"/>
      </rPr>
      <t>2</t>
    </r>
    <r>
      <rPr>
        <sz val="14"/>
        <rFont val="Arial"/>
        <family val="2"/>
      </rPr>
      <t>v + a</t>
    </r>
    <r>
      <rPr>
        <vertAlign val="subscript"/>
        <sz val="14"/>
        <rFont val="Arial"/>
        <family val="2"/>
      </rPr>
      <t>3</t>
    </r>
    <r>
      <rPr>
        <sz val="14"/>
        <rFont val="Arial"/>
        <family val="2"/>
      </rPr>
      <t xml:space="preserve">  =  0</t>
    </r>
  </si>
  <si>
    <r>
      <t>a</t>
    </r>
    <r>
      <rPr>
        <b/>
        <vertAlign val="subscript"/>
        <sz val="10"/>
        <rFont val="Arial"/>
        <family val="2"/>
      </rPr>
      <t>c</t>
    </r>
    <r>
      <rPr>
        <b/>
        <sz val="10"/>
        <rFont val="Arial"/>
        <family val="2"/>
      </rPr>
      <t xml:space="preserve"> = </t>
    </r>
  </si>
  <si>
    <r>
      <t>a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= </t>
    </r>
  </si>
  <si>
    <r>
      <t>a</t>
    </r>
    <r>
      <rPr>
        <b/>
        <sz val="10"/>
        <rFont val="Arial"/>
        <family val="2"/>
      </rPr>
      <t xml:space="preserve"> = </t>
    </r>
  </si>
  <si>
    <r>
      <t>a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= </t>
    </r>
  </si>
  <si>
    <r>
      <t>b</t>
    </r>
    <r>
      <rPr>
        <b/>
        <sz val="10"/>
        <rFont val="Arial"/>
        <family val="2"/>
      </rPr>
      <t xml:space="preserve"> = </t>
    </r>
  </si>
  <si>
    <r>
      <t>a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 xml:space="preserve"> = </t>
    </r>
  </si>
  <si>
    <r>
      <t>V</t>
    </r>
    <r>
      <rPr>
        <b/>
        <vertAlign val="subscript"/>
        <sz val="10"/>
        <rFont val="Times New Roman"/>
        <family val="1"/>
      </rPr>
      <t>L</t>
    </r>
    <r>
      <rPr>
        <b/>
        <sz val="10"/>
        <rFont val="Times New Roman"/>
        <family val="1"/>
      </rPr>
      <t xml:space="preserve"> = </t>
    </r>
  </si>
  <si>
    <r>
      <t>10</t>
    </r>
    <r>
      <rPr>
        <vertAlign val="superscript"/>
        <sz val="10"/>
        <rFont val="Arial"/>
        <family val="2"/>
      </rPr>
      <t>6</t>
    </r>
    <r>
      <rPr>
        <sz val="10"/>
        <rFont val="Arial"/>
        <family val="2"/>
      </rPr>
      <t>F(V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) = </t>
    </r>
  </si>
  <si>
    <r>
      <t>V</t>
    </r>
    <r>
      <rPr>
        <b/>
        <vertAlign val="subscript"/>
        <sz val="10"/>
        <rFont val="Times New Roman"/>
        <family val="1"/>
      </rPr>
      <t>V</t>
    </r>
    <r>
      <rPr>
        <b/>
        <sz val="10"/>
        <rFont val="Times New Roman"/>
        <family val="1"/>
      </rPr>
      <t xml:space="preserve"> = </t>
    </r>
  </si>
  <si>
    <r>
      <t>F(V</t>
    </r>
    <r>
      <rPr>
        <vertAlign val="subscript"/>
        <sz val="10"/>
        <rFont val="Arial"/>
        <family val="2"/>
      </rPr>
      <t>V</t>
    </r>
    <r>
      <rPr>
        <sz val="10"/>
        <rFont val="Arial"/>
        <family val="2"/>
      </rPr>
      <t xml:space="preserve">) = </t>
    </r>
  </si>
  <si>
    <r>
      <t>V</t>
    </r>
    <r>
      <rPr>
        <b/>
        <vertAlign val="subscript"/>
        <sz val="10"/>
        <rFont val="Arial"/>
        <family val="2"/>
      </rPr>
      <t>IG</t>
    </r>
    <r>
      <rPr>
        <b/>
        <sz val="10"/>
        <rFont val="Arial"/>
        <family val="2"/>
      </rPr>
      <t xml:space="preserve"> = </t>
    </r>
  </si>
  <si>
    <r>
      <t>10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F(V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 xml:space="preserve">) = </t>
    </r>
  </si>
  <si>
    <r>
      <t>V</t>
    </r>
    <r>
      <rPr>
        <b/>
        <vertAlign val="subscript"/>
        <sz val="10"/>
        <rFont val="Times New Roman"/>
        <family val="1"/>
      </rPr>
      <t>I</t>
    </r>
    <r>
      <rPr>
        <b/>
        <sz val="10"/>
        <rFont val="Times New Roman"/>
        <family val="1"/>
      </rPr>
      <t xml:space="preserve"> = </t>
    </r>
  </si>
  <si>
    <t>V</t>
  </si>
  <si>
    <t>P</t>
  </si>
  <si>
    <t xml:space="preserve">a = </t>
  </si>
  <si>
    <t xml:space="preserve">Slope = </t>
  </si>
  <si>
    <t>Predicted</t>
  </si>
  <si>
    <t>T</t>
  </si>
  <si>
    <t>1000/T</t>
  </si>
  <si>
    <t>%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</si>
  <si>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</si>
  <si>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</si>
  <si>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</si>
  <si>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</si>
  <si>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</si>
  <si>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</si>
  <si>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</si>
  <si>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</si>
  <si>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</si>
  <si>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</si>
  <si>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</si>
  <si>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</si>
  <si>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</si>
  <si>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</si>
  <si>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</si>
  <si>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</si>
  <si>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</si>
  <si>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</si>
  <si>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</si>
  <si>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</si>
  <si>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</si>
  <si>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 xml:space="preserve">m = </t>
  </si>
  <si>
    <t>Correlation</t>
  </si>
  <si>
    <t>V-vapour</t>
  </si>
  <si>
    <t>EOS</t>
  </si>
  <si>
    <t>a = a(T)</t>
  </si>
  <si>
    <t>V-liquid</t>
  </si>
  <si>
    <t>Tb</t>
  </si>
  <si>
    <t>Tmax</t>
  </si>
  <si>
    <t>T, K</t>
  </si>
  <si>
    <t>% Error:</t>
  </si>
  <si>
    <t>B = B(T)</t>
  </si>
  <si>
    <t>Ref 1</t>
  </si>
  <si>
    <t>Ref 2</t>
  </si>
  <si>
    <t>Ref 3</t>
  </si>
  <si>
    <t>Rackett equation for the volume of saturated liquids</t>
  </si>
  <si>
    <t>Volume translation:</t>
  </si>
  <si>
    <t>A Peneloux, E Rauzy and R Freeze, Fluid phase Equilibria, 8 (1982) 7</t>
  </si>
  <si>
    <t>Rackett</t>
  </si>
  <si>
    <t>C(T)</t>
  </si>
  <si>
    <t>Pressure</t>
  </si>
  <si>
    <t>1.5 Tc</t>
  </si>
  <si>
    <t>Tc</t>
  </si>
  <si>
    <r>
      <t>10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F(V</t>
    </r>
    <r>
      <rPr>
        <vertAlign val="subscript"/>
        <sz val="10"/>
        <rFont val="Arial"/>
        <family val="2"/>
      </rPr>
      <t>V</t>
    </r>
    <r>
      <rPr>
        <sz val="10"/>
        <rFont val="Arial"/>
        <family val="2"/>
      </rPr>
      <t xml:space="preserve">) = </t>
    </r>
  </si>
  <si>
    <r>
      <t>a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= </t>
    </r>
  </si>
  <si>
    <r>
      <t>b</t>
    </r>
    <r>
      <rPr>
        <sz val="10"/>
        <rFont val="Arial"/>
        <family val="2"/>
      </rPr>
      <t xml:space="preserve"> = </t>
    </r>
  </si>
  <si>
    <r>
      <t>a(T)/a</t>
    </r>
    <r>
      <rPr>
        <i/>
        <vertAlign val="subscript"/>
        <sz val="14"/>
        <rFont val="Bookman Old Style"/>
        <family val="1"/>
      </rPr>
      <t>c</t>
    </r>
    <r>
      <rPr>
        <i/>
        <sz val="14"/>
        <rFont val="Bookman Old Style"/>
        <family val="1"/>
      </rPr>
      <t xml:space="preserve"> = exp(m(1-T</t>
    </r>
    <r>
      <rPr>
        <i/>
        <vertAlign val="subscript"/>
        <sz val="14"/>
        <rFont val="Bookman Old Style"/>
        <family val="1"/>
      </rPr>
      <t>R</t>
    </r>
    <r>
      <rPr>
        <i/>
        <sz val="14"/>
        <rFont val="Bookman Old Style"/>
        <family val="1"/>
      </rPr>
      <t>))</t>
    </r>
  </si>
  <si>
    <r>
      <t>r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= </t>
    </r>
  </si>
  <si>
    <r>
      <t>T</t>
    </r>
    <r>
      <rPr>
        <vertAlign val="subscript"/>
        <sz val="10"/>
        <rFont val="Times New Roman"/>
        <family val="1"/>
      </rPr>
      <t>R</t>
    </r>
  </si>
  <si>
    <r>
      <t>a</t>
    </r>
    <r>
      <rPr>
        <sz val="10"/>
        <rFont val="Times New Roman"/>
        <family val="1"/>
      </rPr>
      <t xml:space="preserve"> = </t>
    </r>
    <r>
      <rPr>
        <i/>
        <sz val="10"/>
        <rFont val="Times New Roman"/>
        <family val="1"/>
      </rPr>
      <t>a</t>
    </r>
    <r>
      <rPr>
        <sz val="10"/>
        <rFont val="Times New Roman"/>
        <family val="1"/>
      </rPr>
      <t>(T)</t>
    </r>
  </si>
  <si>
    <r>
      <t>l</t>
    </r>
    <r>
      <rPr>
        <sz val="10"/>
        <rFont val="Times New Roman"/>
        <family val="1"/>
      </rPr>
      <t>n(</t>
    </r>
    <r>
      <rPr>
        <i/>
        <sz val="10"/>
        <rFont val="Times New Roman"/>
        <family val="1"/>
      </rPr>
      <t>a</t>
    </r>
    <r>
      <rPr>
        <sz val="10"/>
        <rFont val="Times New Roman"/>
        <family val="1"/>
      </rPr>
      <t>/</t>
    </r>
    <r>
      <rPr>
        <i/>
        <sz val="10"/>
        <rFont val="Times New Roman"/>
        <family val="1"/>
      </rPr>
      <t>a</t>
    </r>
    <r>
      <rPr>
        <vertAlign val="subscript"/>
        <sz val="10"/>
        <rFont val="Times New Roman"/>
        <family val="1"/>
      </rPr>
      <t>c</t>
    </r>
    <r>
      <rPr>
        <sz val="10"/>
        <rFont val="Times New Roman"/>
        <family val="1"/>
      </rPr>
      <t>)</t>
    </r>
  </si>
  <si>
    <r>
      <t>V</t>
    </r>
    <r>
      <rPr>
        <b/>
        <vertAlign val="subscript"/>
        <sz val="10"/>
        <rFont val="Times New Roman"/>
        <family val="1"/>
      </rPr>
      <t>L</t>
    </r>
  </si>
  <si>
    <r>
      <t>1 - T</t>
    </r>
    <r>
      <rPr>
        <vertAlign val="subscript"/>
        <sz val="12"/>
        <rFont val="Times New Roman"/>
        <family val="1"/>
      </rPr>
      <t>R</t>
    </r>
  </si>
  <si>
    <r>
      <t>a</t>
    </r>
    <r>
      <rPr>
        <sz val="10"/>
        <rFont val="Times New Roman"/>
        <family val="1"/>
      </rPr>
      <t xml:space="preserve"> </t>
    </r>
    <r>
      <rPr>
        <vertAlign val="subscript"/>
        <sz val="10"/>
        <rFont val="Times New Roman"/>
        <family val="1"/>
      </rPr>
      <t>Error</t>
    </r>
  </si>
  <si>
    <r>
      <t>l</t>
    </r>
    <r>
      <rPr>
        <sz val="10"/>
        <rFont val="Times New Roman"/>
        <family val="1"/>
      </rPr>
      <t>n(a/a</t>
    </r>
    <r>
      <rPr>
        <vertAlign val="subscript"/>
        <sz val="10"/>
        <rFont val="Times New Roman"/>
        <family val="1"/>
      </rPr>
      <t>c</t>
    </r>
    <r>
      <rPr>
        <sz val="10"/>
        <rFont val="Times New Roman"/>
        <family val="1"/>
      </rPr>
      <t>)(1-T</t>
    </r>
    <r>
      <rPr>
        <vertAlign val="subscript"/>
        <sz val="10"/>
        <rFont val="Times New Roman"/>
        <family val="1"/>
      </rPr>
      <t>R</t>
    </r>
    <r>
      <rPr>
        <sz val="10"/>
        <rFont val="Times New Roman"/>
        <family val="1"/>
      </rPr>
      <t>)</t>
    </r>
  </si>
  <si>
    <r>
      <t>(1-T</t>
    </r>
    <r>
      <rPr>
        <vertAlign val="subscript"/>
        <sz val="10"/>
        <rFont val="Times New Roman"/>
        <family val="1"/>
      </rPr>
      <t>R</t>
    </r>
    <r>
      <rPr>
        <sz val="10"/>
        <rFont val="Times New Roman"/>
        <family val="1"/>
      </rPr>
      <t>)</t>
    </r>
    <r>
      <rPr>
        <vertAlign val="superscript"/>
        <sz val="10"/>
        <rFont val="Times New Roman"/>
        <family val="1"/>
      </rPr>
      <t>2</t>
    </r>
  </si>
  <si>
    <r>
      <t>(1-T</t>
    </r>
    <r>
      <rPr>
        <i/>
        <vertAlign val="subscript"/>
        <sz val="14"/>
        <rFont val="Bookman Old Style"/>
        <family val="1"/>
      </rPr>
      <t>R</t>
    </r>
    <r>
      <rPr>
        <i/>
        <vertAlign val="superscript"/>
        <sz val="14"/>
        <rFont val="Bookman Old Style"/>
        <family val="1"/>
      </rPr>
      <t>1/2</t>
    </r>
    <r>
      <rPr>
        <i/>
        <sz val="14"/>
        <rFont val="Bookman Old Style"/>
        <family val="1"/>
      </rPr>
      <t>)</t>
    </r>
  </si>
  <si>
    <r>
      <t>1-sqrt(</t>
    </r>
    <r>
      <rPr>
        <i/>
        <sz val="10"/>
        <rFont val="Times New Roman"/>
        <family val="1"/>
      </rPr>
      <t>a</t>
    </r>
    <r>
      <rPr>
        <sz val="10"/>
        <rFont val="Times New Roman"/>
        <family val="1"/>
      </rPr>
      <t>/</t>
    </r>
    <r>
      <rPr>
        <i/>
        <sz val="10"/>
        <rFont val="Times New Roman"/>
        <family val="1"/>
      </rPr>
      <t>a</t>
    </r>
    <r>
      <rPr>
        <vertAlign val="subscript"/>
        <sz val="10"/>
        <rFont val="Times New Roman"/>
        <family val="1"/>
      </rPr>
      <t>c</t>
    </r>
    <r>
      <rPr>
        <sz val="10"/>
        <rFont val="Times New Roman"/>
        <family val="1"/>
      </rPr>
      <t>)</t>
    </r>
  </si>
  <si>
    <r>
      <t>T</t>
    </r>
    <r>
      <rPr>
        <vertAlign val="subscript"/>
        <sz val="10"/>
        <rFont val="Arial"/>
        <family val="2"/>
      </rPr>
      <t>R</t>
    </r>
  </si>
  <si>
    <r>
      <t>V</t>
    </r>
    <r>
      <rPr>
        <b/>
        <vertAlign val="subscript"/>
        <sz val="10"/>
        <rFont val="Times New Roman"/>
        <family val="1"/>
      </rPr>
      <t>V</t>
    </r>
  </si>
  <si>
    <r>
      <t>P</t>
    </r>
    <r>
      <rPr>
        <vertAlign val="subscript"/>
        <sz val="10"/>
        <rFont val="Arial"/>
        <family val="2"/>
      </rPr>
      <t>error</t>
    </r>
  </si>
  <si>
    <r>
      <t>P</t>
    </r>
    <r>
      <rPr>
        <vertAlign val="subscript"/>
        <sz val="10"/>
        <rFont val="Arial"/>
        <family val="2"/>
      </rPr>
      <t>pred</t>
    </r>
    <r>
      <rPr>
        <sz val="10"/>
        <rFont val="Arial"/>
        <family val="2"/>
      </rPr>
      <t>/P</t>
    </r>
  </si>
  <si>
    <r>
      <t>o</t>
    </r>
    <r>
      <rPr>
        <sz val="10"/>
        <rFont val="Arial"/>
        <family val="2"/>
      </rPr>
      <t>C</t>
    </r>
  </si>
  <si>
    <r>
      <t>V</t>
    </r>
    <r>
      <rPr>
        <b/>
        <vertAlign val="subscript"/>
        <sz val="10"/>
        <rFont val="Arial"/>
        <family val="2"/>
      </rPr>
      <t>I</t>
    </r>
    <r>
      <rPr>
        <b/>
        <sz val="10"/>
        <rFont val="Arial"/>
        <family val="2"/>
      </rPr>
      <t xml:space="preserve"> </t>
    </r>
  </si>
  <si>
    <r>
      <t>V</t>
    </r>
    <r>
      <rPr>
        <b/>
        <vertAlign val="subscript"/>
        <sz val="10"/>
        <rFont val="Arial"/>
        <family val="2"/>
      </rPr>
      <t>R</t>
    </r>
    <r>
      <rPr>
        <b/>
        <sz val="10"/>
        <rFont val="Arial"/>
        <family val="2"/>
      </rPr>
      <t xml:space="preserve"> </t>
    </r>
  </si>
  <si>
    <r>
      <t xml:space="preserve">T, </t>
    </r>
    <r>
      <rPr>
        <vertAlign val="superscript"/>
        <sz val="10"/>
        <rFont val="Arial"/>
        <family val="2"/>
      </rPr>
      <t>o</t>
    </r>
    <r>
      <rPr>
        <sz val="10"/>
        <rFont val="Arial"/>
        <family val="2"/>
      </rPr>
      <t>C</t>
    </r>
  </si>
  <si>
    <r>
      <t xml:space="preserve">B, </t>
    </r>
    <r>
      <rPr>
        <sz val="10"/>
        <rFont val="MT Extra"/>
        <family val="1"/>
        <charset val="2"/>
      </rPr>
      <t>l</t>
    </r>
    <r>
      <rPr>
        <sz val="10"/>
        <rFont val="Times New Roman"/>
        <family val="1"/>
      </rPr>
      <t>/mol</t>
    </r>
  </si>
  <si>
    <r>
      <t>l</t>
    </r>
    <r>
      <rPr>
        <sz val="12"/>
        <rFont val="Times New Roman"/>
        <family val="1"/>
      </rPr>
      <t>n(</t>
    </r>
    <r>
      <rPr>
        <i/>
        <sz val="12"/>
        <rFont val="Times New Roman"/>
        <family val="1"/>
      </rPr>
      <t>a</t>
    </r>
    <r>
      <rPr>
        <sz val="12"/>
        <rFont val="Times New Roman"/>
        <family val="1"/>
      </rPr>
      <t>/</t>
    </r>
    <r>
      <rPr>
        <i/>
        <sz val="12"/>
        <rFont val="Times New Roman"/>
        <family val="1"/>
      </rPr>
      <t>a</t>
    </r>
    <r>
      <rPr>
        <vertAlign val="subscript"/>
        <sz val="12"/>
        <rFont val="Times New Roman"/>
        <family val="1"/>
      </rPr>
      <t>c</t>
    </r>
    <r>
      <rPr>
        <sz val="12"/>
        <rFont val="Times New Roman"/>
        <family val="1"/>
      </rPr>
      <t>)</t>
    </r>
  </si>
  <si>
    <r>
      <t>a</t>
    </r>
    <r>
      <rPr>
        <sz val="12"/>
        <rFont val="Times New Roman"/>
        <family val="1"/>
      </rPr>
      <t xml:space="preserve"> = </t>
    </r>
    <r>
      <rPr>
        <i/>
        <sz val="12"/>
        <rFont val="Times New Roman"/>
        <family val="1"/>
      </rPr>
      <t>a</t>
    </r>
    <r>
      <rPr>
        <sz val="12"/>
        <rFont val="Times New Roman"/>
        <family val="1"/>
      </rPr>
      <t>(T)</t>
    </r>
  </si>
  <si>
    <r>
      <t>V</t>
    </r>
    <r>
      <rPr>
        <vertAlign val="subscript"/>
        <sz val="10"/>
        <rFont val="Times New Roman"/>
        <family val="1"/>
      </rPr>
      <t>L</t>
    </r>
    <r>
      <rPr>
        <sz val="10"/>
        <rFont val="Times New Roman"/>
        <family val="1"/>
      </rPr>
      <t xml:space="preserve"> = V</t>
    </r>
    <r>
      <rPr>
        <vertAlign val="subscript"/>
        <sz val="10"/>
        <rFont val="Times New Roman"/>
        <family val="1"/>
      </rPr>
      <t>L,EOS</t>
    </r>
    <r>
      <rPr>
        <sz val="10"/>
        <rFont val="Times New Roman"/>
        <family val="1"/>
      </rPr>
      <t xml:space="preserve"> + C(T)</t>
    </r>
  </si>
  <si>
    <t>Data points</t>
  </si>
  <si>
    <t>T/K</t>
  </si>
  <si>
    <t xml:space="preserve">Temperature factor = </t>
  </si>
  <si>
    <t>Tmin</t>
  </si>
  <si>
    <r>
      <t>m</t>
    </r>
    <r>
      <rPr>
        <b/>
        <sz val="10"/>
        <color indexed="16"/>
        <rFont val="Times New Roman"/>
        <family val="1"/>
      </rPr>
      <t xml:space="preserve"> = </t>
    </r>
  </si>
  <si>
    <r>
      <t>a</t>
    </r>
    <r>
      <rPr>
        <b/>
        <vertAlign val="subscript"/>
        <sz val="10"/>
        <rFont val="Arial"/>
        <family val="2"/>
      </rPr>
      <t>estimate</t>
    </r>
  </si>
  <si>
    <r>
      <t>10</t>
    </r>
    <r>
      <rPr>
        <vertAlign val="superscript"/>
        <sz val="10"/>
        <rFont val="Arial"/>
        <family val="2"/>
      </rPr>
      <t>6</t>
    </r>
    <r>
      <rPr>
        <sz val="10"/>
        <rFont val="Arial"/>
        <family val="2"/>
      </rPr>
      <t>*F(V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)</t>
    </r>
    <r>
      <rPr>
        <sz val="10"/>
        <rFont val="Arial"/>
        <family val="2"/>
      </rPr>
      <t xml:space="preserve"> = </t>
    </r>
  </si>
  <si>
    <r>
      <t>F(V</t>
    </r>
    <r>
      <rPr>
        <vertAlign val="subscript"/>
        <sz val="10"/>
        <rFont val="Arial"/>
        <family val="2"/>
      </rPr>
      <t>V</t>
    </r>
    <r>
      <rPr>
        <sz val="10"/>
        <rFont val="Arial"/>
        <family val="2"/>
      </rPr>
      <t>)</t>
    </r>
    <r>
      <rPr>
        <sz val="10"/>
        <rFont val="Arial"/>
        <family val="2"/>
      </rPr>
      <t xml:space="preserve"> = </t>
    </r>
  </si>
  <si>
    <r>
      <t>10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*F(V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</t>
    </r>
    <r>
      <rPr>
        <sz val="10"/>
        <rFont val="Arial"/>
        <family val="2"/>
      </rPr>
      <t xml:space="preserve"> = </t>
    </r>
  </si>
  <si>
    <t>Toluene</t>
  </si>
  <si>
    <t>c =</t>
  </si>
  <si>
    <t>solve e13</t>
  </si>
  <si>
    <t>solve e15</t>
  </si>
  <si>
    <t>solve e16</t>
  </si>
  <si>
    <t>Ref 4</t>
  </si>
  <si>
    <t>$B$13&gt;$B$12</t>
  </si>
  <si>
    <t>$B$16&lt;$B$17</t>
  </si>
  <si>
    <t>$B$18&lt;$B$16</t>
  </si>
  <si>
    <t>$B$18&gt;$B$15</t>
  </si>
  <si>
    <t>$E$17&gt;0</t>
  </si>
  <si>
    <t>$E$17&lt;4</t>
  </si>
  <si>
    <t>Constraints and Criteria:</t>
  </si>
  <si>
    <t>Clausius</t>
  </si>
  <si>
    <t>Clausius:</t>
  </si>
  <si>
    <t xml:space="preserve">c = </t>
  </si>
  <si>
    <t>$B$15&gt;0.158</t>
  </si>
  <si>
    <r>
      <t>V</t>
    </r>
    <r>
      <rPr>
        <b/>
        <vertAlign val="subscript"/>
        <sz val="10"/>
        <rFont val="Arial"/>
        <family val="2"/>
      </rPr>
      <t>L</t>
    </r>
    <r>
      <rPr>
        <b/>
        <sz val="10"/>
        <rFont val="Arial"/>
        <family val="2"/>
      </rPr>
      <t>/V</t>
    </r>
    <r>
      <rPr>
        <b/>
        <vertAlign val="subscript"/>
        <sz val="10"/>
        <rFont val="Arial"/>
        <family val="2"/>
      </rPr>
      <t>V</t>
    </r>
  </si>
  <si>
    <t>1.5Tc</t>
  </si>
  <si>
    <t>u</t>
  </si>
  <si>
    <t>v</t>
  </si>
  <si>
    <t>Errors</t>
  </si>
  <si>
    <t>Adachi-Lu</t>
  </si>
  <si>
    <t>Soave</t>
  </si>
  <si>
    <t>Ideal gas</t>
  </si>
  <si>
    <r>
      <t>a(T)/a</t>
    </r>
    <r>
      <rPr>
        <i/>
        <vertAlign val="subscript"/>
        <sz val="14"/>
        <rFont val="Bookman Old Style"/>
        <family val="1"/>
      </rPr>
      <t>c</t>
    </r>
    <r>
      <rPr>
        <i/>
        <sz val="14"/>
        <rFont val="Bookman Old Style"/>
        <family val="1"/>
      </rPr>
      <t xml:space="preserve"> = [1 + m(1-T</t>
    </r>
    <r>
      <rPr>
        <i/>
        <vertAlign val="subscript"/>
        <sz val="14"/>
        <rFont val="Bookman Old Style"/>
        <family val="1"/>
      </rPr>
      <t>R</t>
    </r>
    <r>
      <rPr>
        <i/>
        <vertAlign val="superscript"/>
        <sz val="14"/>
        <rFont val="Bookman Old Style"/>
        <family val="1"/>
      </rPr>
      <t>1/2</t>
    </r>
    <r>
      <rPr>
        <i/>
        <sz val="14"/>
        <rFont val="Bookman Old Style"/>
        <family val="1"/>
      </rPr>
      <t>)]</t>
    </r>
    <r>
      <rPr>
        <i/>
        <vertAlign val="superscript"/>
        <sz val="14"/>
        <rFont val="Bookman Old Style"/>
        <family val="1"/>
      </rPr>
      <t>2</t>
    </r>
  </si>
  <si>
    <t>Newton-Raphson</t>
  </si>
  <si>
    <t>1/K</t>
  </si>
  <si>
    <r>
      <t>M</t>
    </r>
    <r>
      <rPr>
        <sz val="12"/>
        <rFont val="Times New Roman"/>
        <family val="1"/>
      </rPr>
      <t xml:space="preserve"> = </t>
    </r>
  </si>
  <si>
    <r>
      <t>T</t>
    </r>
    <r>
      <rPr>
        <vertAlign val="subscript"/>
        <sz val="10"/>
        <rFont val="Arial"/>
        <family val="2"/>
      </rPr>
      <t>c</t>
    </r>
    <r>
      <rPr>
        <sz val="12"/>
        <rFont val="Times New Roman"/>
        <family val="1"/>
      </rPr>
      <t xml:space="preserve"> = </t>
    </r>
  </si>
  <si>
    <r>
      <t>P</t>
    </r>
    <r>
      <rPr>
        <vertAlign val="subscript"/>
        <sz val="10"/>
        <rFont val="Arial"/>
        <family val="2"/>
      </rPr>
      <t>c</t>
    </r>
    <r>
      <rPr>
        <sz val="12"/>
        <rFont val="Times New Roman"/>
        <family val="1"/>
      </rPr>
      <t xml:space="preserve"> = </t>
    </r>
  </si>
  <si>
    <r>
      <t>V</t>
    </r>
    <r>
      <rPr>
        <vertAlign val="subscript"/>
        <sz val="10"/>
        <rFont val="Arial"/>
        <family val="2"/>
      </rPr>
      <t>c</t>
    </r>
    <r>
      <rPr>
        <sz val="12"/>
        <rFont val="Times New Roman"/>
        <family val="1"/>
      </rPr>
      <t xml:space="preserve"> = </t>
    </r>
  </si>
  <si>
    <r>
      <t>cm</t>
    </r>
    <r>
      <rPr>
        <vertAlign val="superscript"/>
        <sz val="10"/>
        <rFont val="Arial"/>
        <family val="2"/>
      </rPr>
      <t>3</t>
    </r>
    <r>
      <rPr>
        <sz val="12"/>
        <rFont val="Times New Roman"/>
        <family val="1"/>
      </rPr>
      <t>/mol</t>
    </r>
  </si>
  <si>
    <r>
      <t>T</t>
    </r>
    <r>
      <rPr>
        <vertAlign val="subscript"/>
        <sz val="10"/>
        <rFont val="Arial"/>
        <family val="2"/>
      </rPr>
      <t>min</t>
    </r>
    <r>
      <rPr>
        <sz val="12"/>
        <rFont val="Times New Roman"/>
        <family val="1"/>
      </rPr>
      <t xml:space="preserve"> = </t>
    </r>
  </si>
  <si>
    <r>
      <t>T</t>
    </r>
    <r>
      <rPr>
        <vertAlign val="subscript"/>
        <sz val="10"/>
        <rFont val="Arial"/>
        <family val="2"/>
      </rPr>
      <t>max</t>
    </r>
    <r>
      <rPr>
        <sz val="12"/>
        <rFont val="Times New Roman"/>
        <family val="1"/>
      </rPr>
      <t xml:space="preserve"> = </t>
    </r>
  </si>
  <si>
    <r>
      <t>z</t>
    </r>
    <r>
      <rPr>
        <vertAlign val="subscript"/>
        <sz val="10"/>
        <rFont val="Arial"/>
        <family val="2"/>
      </rPr>
      <t>c</t>
    </r>
    <r>
      <rPr>
        <sz val="12"/>
        <rFont val="Times New Roman"/>
        <family val="1"/>
      </rPr>
      <t xml:space="preserve"> = </t>
    </r>
  </si>
  <si>
    <r>
      <t>T</t>
    </r>
    <r>
      <rPr>
        <vertAlign val="subscript"/>
        <sz val="10"/>
        <rFont val="Arial"/>
        <family val="2"/>
      </rPr>
      <t>b</t>
    </r>
    <r>
      <rPr>
        <sz val="12"/>
        <rFont val="Times New Roman"/>
        <family val="1"/>
      </rPr>
      <t xml:space="preserve"> = </t>
    </r>
  </si>
  <si>
    <r>
      <t>w</t>
    </r>
    <r>
      <rPr>
        <sz val="12"/>
        <rFont val="Times New Roman"/>
        <family val="1"/>
      </rPr>
      <t xml:space="preserve"> = </t>
    </r>
  </si>
  <si>
    <t>V - 2b</t>
  </si>
  <si>
    <t>van der Waals</t>
  </si>
  <si>
    <t>This programme fits the Clausius type EOS to vapour pressure data</t>
  </si>
  <si>
    <t>The procedure is as follows:</t>
  </si>
  <si>
    <t>Enter the component data in Columns B and F on the Sheet T = Tb (Fields in brown)</t>
  </si>
  <si>
    <t xml:space="preserve">The vapour pressure data and critical properties are obtained from: </t>
  </si>
  <si>
    <r>
      <t>Reid, R. C., Prausnitz, J. M., &amp; Poling, B. E. (2001) The Properties of Gases and Liquids. McGraw-Hill, 5</t>
    </r>
    <r>
      <rPr>
        <vertAlign val="superscript"/>
        <sz val="12"/>
        <rFont val="Times New Roman"/>
        <family val="1"/>
      </rPr>
      <t>th</t>
    </r>
    <r>
      <rPr>
        <sz val="12"/>
        <rFont val="Times New Roman"/>
        <family val="1"/>
      </rPr>
      <t xml:space="preserve"> Ed., New York</t>
    </r>
  </si>
  <si>
    <t xml:space="preserve">Note that the data is automatically copied to other sheets </t>
  </si>
  <si>
    <t>Note that the Sheet T = Tb is the control sheet.</t>
  </si>
  <si>
    <t>Run "Solve all sheets on Sheet T = Tb</t>
  </si>
  <si>
    <t>Check that convergence was achieved on all Tx sheets</t>
  </si>
  <si>
    <t>If not, then optimize manually by the following process:</t>
  </si>
  <si>
    <t>Use starting values for ac for the Sheet Tx under consideration (Column P on Sheet T = Tb)</t>
  </si>
  <si>
    <t xml:space="preserve">Minimize, using Solver, the errors in the liquid and vapour molar volumes: </t>
  </si>
  <si>
    <t>Set D 15 to zero by changing B15</t>
  </si>
  <si>
    <t>Set D 16 to zero by changing B16</t>
  </si>
  <si>
    <t>Minimize the integration error (Cell E13) by changing ac (Cell B12)</t>
  </si>
  <si>
    <t>Repeat this process until convergence is achieved</t>
  </si>
  <si>
    <t>Check Sheet a = a(T) and compare the performance of the Adachi-Lu and Soave Temperature correlations</t>
  </si>
  <si>
    <t>The sheet Pvap shows how well the EOS (with only one adjustable parameter!) fits the vapour pressure data</t>
  </si>
  <si>
    <t>Note that this sheet uses the EOS to calculate the prssure for a given temperature using the Adachi-Lu function for a = a(T)</t>
  </si>
  <si>
    <t>Other Sheets show:</t>
  </si>
  <si>
    <t>The predicted vapour-liquid phase diagram</t>
  </si>
  <si>
    <t>Comparison of predicted liquid volumes using EOS and Rackett equation</t>
  </si>
  <si>
    <t>Comparison of predicted second virial coefficient with experimental data</t>
  </si>
  <si>
    <t>Benzene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</si>
</sst>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0.000"/>
    <numFmt numFmtId="166" formatCode="0.00000"/>
    <numFmt numFmtId="167" formatCode="0.0"/>
    <numFmt numFmtId="168" formatCode="0.00000E+00"/>
  </numFmts>
  <fonts count="45" x14ac:knownFonts="1">
    <font>
      <sz val="12"/>
      <name val="Times New Roman"/>
    </font>
    <font>
      <sz val="10"/>
      <name val="Times New Roman"/>
      <family val="1"/>
    </font>
    <font>
      <vertAlign val="subscript"/>
      <sz val="10"/>
      <name val="Times New Roman"/>
      <family val="1"/>
    </font>
    <font>
      <sz val="10"/>
      <name val="Arial"/>
      <family val="2"/>
    </font>
    <font>
      <sz val="14"/>
      <name val="Arial"/>
      <family val="2"/>
    </font>
    <font>
      <vertAlign val="subscript"/>
      <sz val="10"/>
      <name val="Arial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0"/>
      <name val="Script MT Bold"/>
      <family val="4"/>
    </font>
    <font>
      <sz val="10"/>
      <name val="Symbol"/>
      <family val="1"/>
      <charset val="2"/>
    </font>
    <font>
      <vertAlign val="superscript"/>
      <sz val="14"/>
      <name val="Arial"/>
      <family val="2"/>
    </font>
    <font>
      <vertAlign val="subscript"/>
      <sz val="14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b/>
      <i/>
      <sz val="12"/>
      <name val="Times New Roman"/>
      <family val="1"/>
    </font>
    <font>
      <b/>
      <sz val="14"/>
      <name val="Arial"/>
      <family val="2"/>
    </font>
    <font>
      <b/>
      <sz val="12"/>
      <color indexed="14"/>
      <name val="Arial"/>
      <family val="2"/>
    </font>
    <font>
      <b/>
      <sz val="14"/>
      <color indexed="14"/>
      <name val="Arial"/>
      <family val="2"/>
    </font>
    <font>
      <b/>
      <i/>
      <sz val="10"/>
      <name val="Times New Roman"/>
      <family val="1"/>
    </font>
    <font>
      <b/>
      <vertAlign val="subscript"/>
      <sz val="10"/>
      <name val="Times New Roman"/>
      <family val="1"/>
    </font>
    <font>
      <b/>
      <sz val="10"/>
      <name val="Times New Roman"/>
      <family val="1"/>
    </font>
    <font>
      <b/>
      <sz val="12"/>
      <color indexed="10"/>
      <name val="Arial"/>
      <family val="2"/>
    </font>
    <font>
      <sz val="10"/>
      <color indexed="8"/>
      <name val="Arial"/>
      <family val="2"/>
    </font>
    <font>
      <b/>
      <sz val="10"/>
      <color indexed="14"/>
      <name val="Arial"/>
      <family val="2"/>
    </font>
    <font>
      <i/>
      <sz val="10"/>
      <name val="Script MT Bold"/>
      <family val="4"/>
    </font>
    <font>
      <i/>
      <vertAlign val="subscript"/>
      <sz val="14"/>
      <name val="Bookman Old Style"/>
      <family val="1"/>
    </font>
    <font>
      <i/>
      <sz val="14"/>
      <name val="Bookman Old Style"/>
      <family val="1"/>
    </font>
    <font>
      <i/>
      <vertAlign val="superscript"/>
      <sz val="14"/>
      <name val="Bookman Old Style"/>
      <family val="1"/>
    </font>
    <font>
      <i/>
      <sz val="10"/>
      <name val="Times New Roman"/>
      <family val="1"/>
    </font>
    <font>
      <sz val="10"/>
      <name val="MT Extra"/>
      <family val="1"/>
      <charset val="2"/>
    </font>
    <font>
      <vertAlign val="subscript"/>
      <sz val="12"/>
      <name val="Times New Roman"/>
      <family val="1"/>
    </font>
    <font>
      <sz val="12"/>
      <name val="Times New Roman"/>
      <family val="1"/>
    </font>
    <font>
      <vertAlign val="superscript"/>
      <sz val="10"/>
      <name val="Times New Roman"/>
      <family val="1"/>
    </font>
    <font>
      <i/>
      <sz val="12"/>
      <name val="Times New Roman"/>
      <family val="1"/>
    </font>
    <font>
      <sz val="12"/>
      <name val="MT Extra"/>
      <family val="1"/>
      <charset val="2"/>
    </font>
    <font>
      <sz val="12"/>
      <name val="Arial"/>
      <family val="2"/>
    </font>
    <font>
      <b/>
      <sz val="10"/>
      <color indexed="10"/>
      <name val="Arial"/>
      <family val="2"/>
    </font>
    <font>
      <b/>
      <sz val="10"/>
      <color indexed="16"/>
      <name val="Times New Roman"/>
      <family val="1"/>
    </font>
    <font>
      <b/>
      <i/>
      <sz val="10"/>
      <color indexed="16"/>
      <name val="Times New Roman"/>
      <family val="1"/>
    </font>
    <font>
      <b/>
      <sz val="10"/>
      <color indexed="16"/>
      <name val="Arial"/>
      <family val="2"/>
    </font>
    <font>
      <b/>
      <i/>
      <sz val="10"/>
      <name val="Arial"/>
      <family val="2"/>
    </font>
    <font>
      <b/>
      <sz val="8"/>
      <color indexed="81"/>
      <name val="Tahoma"/>
      <family val="2"/>
    </font>
    <font>
      <vertAlign val="superscript"/>
      <sz val="12"/>
      <name val="Times New Roman"/>
      <family val="1"/>
    </font>
    <font>
      <sz val="8"/>
      <name val="Times New Roman"/>
      <family val="1"/>
    </font>
    <font>
      <b/>
      <sz val="12"/>
      <color rgb="FFFF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3" fillId="0" borderId="0"/>
    <xf numFmtId="0" fontId="3" fillId="0" borderId="0"/>
  </cellStyleXfs>
  <cellXfs count="294">
    <xf numFmtId="0" fontId="0" fillId="0" borderId="0" xfId="0"/>
    <xf numFmtId="0" fontId="4" fillId="0" borderId="0" xfId="3" applyFont="1"/>
    <xf numFmtId="0" fontId="3" fillId="0" borderId="0" xfId="3"/>
    <xf numFmtId="49" fontId="3" fillId="0" borderId="0" xfId="3" applyNumberFormat="1" applyAlignment="1">
      <alignment horizontal="right"/>
    </xf>
    <xf numFmtId="0" fontId="3" fillId="0" borderId="0" xfId="3" applyAlignment="1">
      <alignment horizontal="right"/>
    </xf>
    <xf numFmtId="0" fontId="3" fillId="0" borderId="0" xfId="3" applyAlignment="1">
      <alignment horizontal="center"/>
    </xf>
    <xf numFmtId="11" fontId="3" fillId="0" borderId="0" xfId="3" applyNumberFormat="1"/>
    <xf numFmtId="165" fontId="3" fillId="0" borderId="0" xfId="3" applyNumberFormat="1" applyAlignment="1">
      <alignment horizontal="center"/>
    </xf>
    <xf numFmtId="0" fontId="8" fillId="0" borderId="0" xfId="3" applyFont="1"/>
    <xf numFmtId="0" fontId="9" fillId="0" borderId="0" xfId="3" applyFont="1" applyAlignment="1">
      <alignment horizontal="right"/>
    </xf>
    <xf numFmtId="0" fontId="12" fillId="0" borderId="0" xfId="3" applyFont="1" applyAlignment="1">
      <alignment horizontal="left"/>
    </xf>
    <xf numFmtId="11" fontId="12" fillId="0" borderId="0" xfId="3" applyNumberFormat="1" applyFont="1"/>
    <xf numFmtId="1" fontId="3" fillId="0" borderId="0" xfId="3" applyNumberFormat="1" applyAlignment="1">
      <alignment horizontal="center"/>
    </xf>
    <xf numFmtId="0" fontId="14" fillId="0" borderId="0" xfId="3" applyFont="1" applyAlignment="1">
      <alignment horizontal="right"/>
    </xf>
    <xf numFmtId="1" fontId="6" fillId="0" borderId="0" xfId="3" applyNumberFormat="1" applyFont="1" applyAlignment="1">
      <alignment horizontal="center"/>
    </xf>
    <xf numFmtId="0" fontId="12" fillId="0" borderId="0" xfId="3" applyFont="1"/>
    <xf numFmtId="0" fontId="15" fillId="0" borderId="0" xfId="3" applyFont="1" applyAlignment="1">
      <alignment horizontal="right"/>
    </xf>
    <xf numFmtId="2" fontId="3" fillId="0" borderId="0" xfId="3" applyNumberFormat="1" applyAlignment="1">
      <alignment horizontal="center"/>
    </xf>
    <xf numFmtId="2" fontId="3" fillId="0" borderId="0" xfId="3" applyNumberFormat="1"/>
    <xf numFmtId="1" fontId="16" fillId="0" borderId="0" xfId="3" applyNumberFormat="1" applyFont="1" applyAlignment="1">
      <alignment horizontal="center"/>
    </xf>
    <xf numFmtId="1" fontId="17" fillId="0" borderId="0" xfId="3" applyNumberFormat="1" applyFont="1" applyAlignment="1">
      <alignment horizontal="center"/>
    </xf>
    <xf numFmtId="1" fontId="3" fillId="0" borderId="0" xfId="3" applyNumberFormat="1"/>
    <xf numFmtId="0" fontId="18" fillId="0" borderId="0" xfId="3" applyFont="1" applyAlignment="1">
      <alignment horizontal="right"/>
    </xf>
    <xf numFmtId="165" fontId="21" fillId="0" borderId="0" xfId="3" applyNumberFormat="1" applyFont="1" applyAlignment="1">
      <alignment horizontal="center"/>
    </xf>
    <xf numFmtId="0" fontId="6" fillId="0" borderId="0" xfId="3" applyFont="1" applyAlignment="1">
      <alignment horizontal="right"/>
    </xf>
    <xf numFmtId="1" fontId="21" fillId="0" borderId="0" xfId="3" applyNumberFormat="1" applyFont="1" applyAlignment="1">
      <alignment horizontal="center"/>
    </xf>
    <xf numFmtId="165" fontId="22" fillId="0" borderId="0" xfId="3" applyNumberFormat="1" applyFont="1" applyAlignment="1">
      <alignment horizontal="center"/>
    </xf>
    <xf numFmtId="0" fontId="12" fillId="0" borderId="0" xfId="3" applyFont="1" applyAlignment="1">
      <alignment horizontal="right"/>
    </xf>
    <xf numFmtId="167" fontId="12" fillId="0" borderId="0" xfId="3" applyNumberFormat="1" applyFont="1" applyAlignment="1">
      <alignment horizontal="center"/>
    </xf>
    <xf numFmtId="1" fontId="22" fillId="0" borderId="0" xfId="3" applyNumberFormat="1" applyFont="1" applyAlignment="1">
      <alignment horizontal="center"/>
    </xf>
    <xf numFmtId="0" fontId="18" fillId="0" borderId="0" xfId="3" applyFont="1" applyAlignment="1">
      <alignment horizontal="center"/>
    </xf>
    <xf numFmtId="0" fontId="3" fillId="0" borderId="0" xfId="3" applyBorder="1" applyAlignment="1">
      <alignment horizontal="right"/>
    </xf>
    <xf numFmtId="2" fontId="3" fillId="0" borderId="0" xfId="3" applyNumberFormat="1" applyBorder="1" applyAlignment="1">
      <alignment horizontal="center"/>
    </xf>
    <xf numFmtId="1" fontId="3" fillId="0" borderId="0" xfId="3" applyNumberFormat="1" applyBorder="1"/>
    <xf numFmtId="0" fontId="3" fillId="0" borderId="0" xfId="3" applyBorder="1"/>
    <xf numFmtId="2" fontId="3" fillId="0" borderId="0" xfId="3" applyNumberFormat="1" applyBorder="1"/>
    <xf numFmtId="166" fontId="3" fillId="0" borderId="0" xfId="3" applyNumberFormat="1" applyBorder="1"/>
    <xf numFmtId="166" fontId="3" fillId="0" borderId="0" xfId="3" applyNumberFormat="1"/>
    <xf numFmtId="164" fontId="23" fillId="0" borderId="0" xfId="3" applyNumberFormat="1" applyFont="1" applyAlignment="1">
      <alignment horizontal="center"/>
    </xf>
    <xf numFmtId="2" fontId="21" fillId="0" borderId="0" xfId="3" applyNumberFormat="1" applyFont="1" applyAlignment="1">
      <alignment horizontal="center"/>
    </xf>
    <xf numFmtId="165" fontId="12" fillId="0" borderId="0" xfId="3" applyNumberFormat="1" applyFont="1" applyAlignment="1">
      <alignment horizontal="center"/>
    </xf>
    <xf numFmtId="164" fontId="3" fillId="0" borderId="0" xfId="3" applyNumberFormat="1" applyAlignment="1">
      <alignment horizontal="center"/>
    </xf>
    <xf numFmtId="1" fontId="3" fillId="0" borderId="0" xfId="3" applyNumberFormat="1" applyBorder="1" applyAlignment="1">
      <alignment horizontal="center"/>
    </xf>
    <xf numFmtId="0" fontId="3" fillId="0" borderId="0" xfId="3" applyBorder="1" applyAlignment="1">
      <alignment horizontal="center"/>
    </xf>
    <xf numFmtId="2" fontId="22" fillId="0" borderId="0" xfId="3" applyNumberFormat="1" applyFont="1" applyAlignment="1">
      <alignment horizontal="center"/>
    </xf>
    <xf numFmtId="49" fontId="3" fillId="0" borderId="0" xfId="3" applyNumberFormat="1" applyBorder="1" applyAlignment="1">
      <alignment horizontal="right"/>
    </xf>
    <xf numFmtId="0" fontId="24" fillId="0" borderId="0" xfId="3" applyFont="1"/>
    <xf numFmtId="0" fontId="26" fillId="0" borderId="0" xfId="3" applyFont="1"/>
    <xf numFmtId="0" fontId="3" fillId="0" borderId="1" xfId="3" applyBorder="1"/>
    <xf numFmtId="0" fontId="26" fillId="0" borderId="2" xfId="3" applyFont="1" applyBorder="1"/>
    <xf numFmtId="0" fontId="3" fillId="0" borderId="2" xfId="3" applyBorder="1"/>
    <xf numFmtId="0" fontId="3" fillId="0" borderId="3" xfId="3" applyBorder="1"/>
    <xf numFmtId="0" fontId="3" fillId="0" borderId="4" xfId="3" applyBorder="1" applyAlignment="1">
      <alignment horizontal="right"/>
    </xf>
    <xf numFmtId="164" fontId="3" fillId="0" borderId="5" xfId="3" applyNumberFormat="1" applyBorder="1"/>
    <xf numFmtId="0" fontId="3" fillId="0" borderId="5" xfId="3" applyBorder="1" applyAlignment="1">
      <alignment horizontal="right"/>
    </xf>
    <xf numFmtId="2" fontId="3" fillId="0" borderId="5" xfId="3" applyNumberFormat="1" applyBorder="1" applyAlignment="1">
      <alignment horizontal="center"/>
    </xf>
    <xf numFmtId="0" fontId="3" fillId="0" borderId="6" xfId="3" applyBorder="1" applyAlignment="1">
      <alignment horizontal="right"/>
    </xf>
    <xf numFmtId="2" fontId="3" fillId="0" borderId="7" xfId="3" applyNumberFormat="1" applyBorder="1" applyAlignment="1">
      <alignment horizontal="center"/>
    </xf>
    <xf numFmtId="0" fontId="3" fillId="0" borderId="8" xfId="3" applyBorder="1" applyAlignment="1">
      <alignment horizontal="right"/>
    </xf>
    <xf numFmtId="0" fontId="3" fillId="0" borderId="9" xfId="3" applyBorder="1" applyAlignment="1">
      <alignment horizontal="right"/>
    </xf>
    <xf numFmtId="2" fontId="3" fillId="0" borderId="10" xfId="3" applyNumberFormat="1" applyBorder="1" applyAlignment="1">
      <alignment horizontal="center"/>
    </xf>
    <xf numFmtId="0" fontId="3" fillId="0" borderId="8" xfId="3" applyBorder="1"/>
    <xf numFmtId="0" fontId="3" fillId="0" borderId="9" xfId="3" applyBorder="1"/>
    <xf numFmtId="0" fontId="1" fillId="0" borderId="0" xfId="3" applyFont="1"/>
    <xf numFmtId="0" fontId="1" fillId="0" borderId="0" xfId="3" applyFont="1" applyAlignment="1">
      <alignment horizontal="center"/>
    </xf>
    <xf numFmtId="0" fontId="28" fillId="0" borderId="0" xfId="3" applyFont="1" applyBorder="1" applyAlignment="1">
      <alignment horizontal="center"/>
    </xf>
    <xf numFmtId="0" fontId="29" fillId="0" borderId="0" xfId="3" applyFont="1" applyBorder="1" applyAlignment="1">
      <alignment horizontal="center"/>
    </xf>
    <xf numFmtId="0" fontId="31" fillId="0" borderId="8" xfId="3" applyFont="1" applyBorder="1" applyAlignment="1">
      <alignment horizontal="center"/>
    </xf>
    <xf numFmtId="0" fontId="1" fillId="0" borderId="0" xfId="3" applyFont="1" applyBorder="1" applyAlignment="1">
      <alignment horizontal="center"/>
    </xf>
    <xf numFmtId="0" fontId="26" fillId="0" borderId="9" xfId="3" applyFont="1" applyBorder="1"/>
    <xf numFmtId="0" fontId="1" fillId="0" borderId="10" xfId="3" applyFont="1" applyBorder="1" applyAlignment="1">
      <alignment horizontal="center"/>
    </xf>
    <xf numFmtId="0" fontId="3" fillId="0" borderId="10" xfId="3" applyBorder="1"/>
    <xf numFmtId="167" fontId="3" fillId="0" borderId="0" xfId="3" applyNumberFormat="1" applyAlignment="1">
      <alignment horizontal="center"/>
    </xf>
    <xf numFmtId="0" fontId="12" fillId="0" borderId="0" xfId="3" applyFont="1" applyAlignment="1">
      <alignment horizontal="center"/>
    </xf>
    <xf numFmtId="2" fontId="6" fillId="0" borderId="0" xfId="3" applyNumberFormat="1" applyFont="1" applyBorder="1" applyAlignment="1">
      <alignment horizontal="center"/>
    </xf>
    <xf numFmtId="164" fontId="3" fillId="0" borderId="0" xfId="3" applyNumberFormat="1" applyBorder="1" applyAlignment="1">
      <alignment horizontal="center"/>
    </xf>
    <xf numFmtId="165" fontId="3" fillId="0" borderId="0" xfId="3" applyNumberFormat="1" applyBorder="1" applyAlignment="1">
      <alignment horizontal="center"/>
    </xf>
    <xf numFmtId="164" fontId="3" fillId="0" borderId="10" xfId="3" applyNumberFormat="1" applyBorder="1" applyAlignment="1">
      <alignment horizontal="center"/>
    </xf>
    <xf numFmtId="0" fontId="3" fillId="0" borderId="11" xfId="3" applyBorder="1"/>
    <xf numFmtId="0" fontId="3" fillId="0" borderId="12" xfId="3" applyBorder="1"/>
    <xf numFmtId="1" fontId="3" fillId="0" borderId="12" xfId="3" applyNumberFormat="1" applyBorder="1" applyAlignment="1">
      <alignment horizontal="center"/>
    </xf>
    <xf numFmtId="164" fontId="12" fillId="0" borderId="12" xfId="3" applyNumberFormat="1" applyFont="1" applyBorder="1" applyAlignment="1">
      <alignment horizontal="center"/>
    </xf>
    <xf numFmtId="0" fontId="3" fillId="0" borderId="13" xfId="3" applyBorder="1"/>
    <xf numFmtId="165" fontId="3" fillId="0" borderId="14" xfId="3" applyNumberFormat="1" applyBorder="1" applyAlignment="1">
      <alignment horizontal="center"/>
    </xf>
    <xf numFmtId="1" fontId="3" fillId="0" borderId="14" xfId="3" applyNumberFormat="1" applyBorder="1" applyAlignment="1">
      <alignment horizontal="center"/>
    </xf>
    <xf numFmtId="0" fontId="3" fillId="0" borderId="14" xfId="3" applyBorder="1"/>
    <xf numFmtId="164" fontId="12" fillId="0" borderId="14" xfId="3" applyNumberFormat="1" applyFont="1" applyBorder="1" applyAlignment="1">
      <alignment horizontal="center"/>
    </xf>
    <xf numFmtId="164" fontId="12" fillId="0" borderId="15" xfId="3" applyNumberFormat="1" applyFont="1" applyBorder="1" applyAlignment="1">
      <alignment horizontal="center"/>
    </xf>
    <xf numFmtId="2" fontId="12" fillId="0" borderId="0" xfId="3" applyNumberFormat="1" applyFont="1" applyAlignment="1">
      <alignment horizontal="center"/>
    </xf>
    <xf numFmtId="164" fontId="12" fillId="0" borderId="0" xfId="3" applyNumberFormat="1" applyFont="1" applyAlignment="1">
      <alignment horizontal="center"/>
    </xf>
    <xf numFmtId="0" fontId="6" fillId="0" borderId="0" xfId="3" applyFont="1" applyAlignment="1">
      <alignment horizontal="center"/>
    </xf>
    <xf numFmtId="0" fontId="24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8" fillId="0" borderId="0" xfId="3" applyFont="1" applyAlignment="1">
      <alignment horizontal="center"/>
    </xf>
    <xf numFmtId="0" fontId="7" fillId="0" borderId="0" xfId="3" applyFont="1" applyAlignment="1">
      <alignment horizontal="center"/>
    </xf>
    <xf numFmtId="167" fontId="3" fillId="0" borderId="0" xfId="3" applyNumberFormat="1"/>
    <xf numFmtId="2" fontId="6" fillId="0" borderId="0" xfId="3" applyNumberFormat="1" applyFont="1" applyAlignment="1">
      <alignment horizontal="center"/>
    </xf>
    <xf numFmtId="164" fontId="3" fillId="0" borderId="0" xfId="3" applyNumberFormat="1" applyBorder="1"/>
    <xf numFmtId="0" fontId="26" fillId="0" borderId="0" xfId="3" applyFont="1" applyBorder="1"/>
    <xf numFmtId="0" fontId="3" fillId="0" borderId="4" xfId="3" applyBorder="1"/>
    <xf numFmtId="0" fontId="3" fillId="0" borderId="5" xfId="3" applyBorder="1"/>
    <xf numFmtId="0" fontId="1" fillId="0" borderId="5" xfId="3" applyFont="1" applyBorder="1"/>
    <xf numFmtId="0" fontId="31" fillId="0" borderId="9" xfId="3" applyFont="1" applyBorder="1" applyAlignment="1">
      <alignment horizontal="center"/>
    </xf>
    <xf numFmtId="0" fontId="34" fillId="0" borderId="0" xfId="3" applyFont="1" applyBorder="1" applyAlignment="1">
      <alignment horizontal="center"/>
    </xf>
    <xf numFmtId="0" fontId="33" fillId="0" borderId="0" xfId="3" applyFont="1" applyBorder="1" applyAlignment="1">
      <alignment horizontal="center"/>
    </xf>
    <xf numFmtId="0" fontId="33" fillId="0" borderId="9" xfId="3" applyFont="1" applyBorder="1" applyAlignment="1">
      <alignment horizontal="center"/>
    </xf>
    <xf numFmtId="0" fontId="31" fillId="0" borderId="0" xfId="3" applyFont="1" applyBorder="1" applyAlignment="1">
      <alignment horizontal="center"/>
    </xf>
    <xf numFmtId="1" fontId="12" fillId="0" borderId="0" xfId="3" applyNumberFormat="1" applyFont="1" applyBorder="1" applyAlignment="1">
      <alignment horizontal="center"/>
    </xf>
    <xf numFmtId="167" fontId="3" fillId="0" borderId="0" xfId="3" applyNumberFormat="1" applyBorder="1" applyAlignment="1">
      <alignment horizontal="center"/>
    </xf>
    <xf numFmtId="164" fontId="12" fillId="0" borderId="0" xfId="3" applyNumberFormat="1" applyFont="1" applyBorder="1" applyAlignment="1">
      <alignment horizontal="center"/>
    </xf>
    <xf numFmtId="165" fontId="3" fillId="0" borderId="0" xfId="3" applyNumberFormat="1"/>
    <xf numFmtId="0" fontId="4" fillId="0" borderId="0" xfId="2" applyFont="1"/>
    <xf numFmtId="0" fontId="3" fillId="0" borderId="0" xfId="2"/>
    <xf numFmtId="49" fontId="3" fillId="0" borderId="0" xfId="2" applyNumberFormat="1" applyAlignment="1">
      <alignment horizontal="right"/>
    </xf>
    <xf numFmtId="2" fontId="3" fillId="0" borderId="0" xfId="2" applyNumberFormat="1"/>
    <xf numFmtId="0" fontId="3" fillId="0" borderId="0" xfId="2" applyAlignment="1">
      <alignment horizontal="right"/>
    </xf>
    <xf numFmtId="0" fontId="26" fillId="0" borderId="0" xfId="2" applyFont="1"/>
    <xf numFmtId="0" fontId="38" fillId="0" borderId="0" xfId="2" applyFont="1" applyAlignment="1">
      <alignment horizontal="right"/>
    </xf>
    <xf numFmtId="165" fontId="39" fillId="0" borderId="0" xfId="2" applyNumberFormat="1" applyFont="1" applyAlignment="1">
      <alignment horizontal="left"/>
    </xf>
    <xf numFmtId="11" fontId="3" fillId="0" borderId="0" xfId="2" applyNumberFormat="1"/>
    <xf numFmtId="11" fontId="3" fillId="0" borderId="0" xfId="2" applyNumberFormat="1" applyAlignment="1">
      <alignment horizontal="center"/>
    </xf>
    <xf numFmtId="0" fontId="14" fillId="0" borderId="0" xfId="2" applyFont="1" applyAlignment="1">
      <alignment horizontal="left"/>
    </xf>
    <xf numFmtId="165" fontId="3" fillId="0" borderId="0" xfId="2" applyNumberFormat="1" applyAlignment="1">
      <alignment horizontal="center"/>
    </xf>
    <xf numFmtId="167" fontId="3" fillId="0" borderId="0" xfId="2" applyNumberFormat="1" applyAlignment="1">
      <alignment horizontal="center"/>
    </xf>
    <xf numFmtId="1" fontId="3" fillId="0" borderId="0" xfId="2" applyNumberFormat="1" applyAlignment="1">
      <alignment horizontal="center"/>
    </xf>
    <xf numFmtId="0" fontId="12" fillId="0" borderId="0" xfId="2" applyFont="1" applyAlignment="1">
      <alignment horizontal="left"/>
    </xf>
    <xf numFmtId="0" fontId="3" fillId="0" borderId="0" xfId="2" applyAlignment="1">
      <alignment horizontal="left"/>
    </xf>
    <xf numFmtId="11" fontId="12" fillId="0" borderId="0" xfId="2" applyNumberFormat="1" applyFont="1"/>
    <xf numFmtId="0" fontId="14" fillId="0" borderId="0" xfId="2" applyFont="1" applyAlignment="1">
      <alignment horizontal="right"/>
    </xf>
    <xf numFmtId="1" fontId="6" fillId="0" borderId="0" xfId="2" applyNumberFormat="1" applyFont="1" applyAlignment="1">
      <alignment horizontal="center"/>
    </xf>
    <xf numFmtId="0" fontId="12" fillId="0" borderId="0" xfId="2" applyFont="1"/>
    <xf numFmtId="0" fontId="15" fillId="0" borderId="0" xfId="2" applyFont="1" applyAlignment="1">
      <alignment horizontal="right"/>
    </xf>
    <xf numFmtId="2" fontId="3" fillId="0" borderId="0" xfId="2" applyNumberFormat="1" applyAlignment="1">
      <alignment horizontal="center"/>
    </xf>
    <xf numFmtId="1" fontId="16" fillId="0" borderId="0" xfId="2" applyNumberFormat="1" applyFont="1" applyAlignment="1">
      <alignment horizontal="center"/>
    </xf>
    <xf numFmtId="1" fontId="3" fillId="0" borderId="0" xfId="2" applyNumberFormat="1"/>
    <xf numFmtId="0" fontId="18" fillId="0" borderId="0" xfId="2" applyFont="1" applyAlignment="1">
      <alignment horizontal="right"/>
    </xf>
    <xf numFmtId="165" fontId="21" fillId="0" borderId="0" xfId="2" applyNumberFormat="1" applyFont="1" applyAlignment="1">
      <alignment horizontal="center"/>
    </xf>
    <xf numFmtId="1" fontId="21" fillId="0" borderId="0" xfId="2" applyNumberFormat="1" applyFont="1" applyAlignment="1">
      <alignment horizontal="center"/>
    </xf>
    <xf numFmtId="165" fontId="22" fillId="0" borderId="0" xfId="2" applyNumberFormat="1" applyFont="1" applyAlignment="1">
      <alignment horizontal="center"/>
    </xf>
    <xf numFmtId="0" fontId="12" fillId="0" borderId="0" xfId="2" applyFont="1" applyAlignment="1">
      <alignment horizontal="right"/>
    </xf>
    <xf numFmtId="1" fontId="22" fillId="0" borderId="0" xfId="2" applyNumberFormat="1" applyFont="1" applyAlignment="1">
      <alignment horizontal="center"/>
    </xf>
    <xf numFmtId="0" fontId="3" fillId="0" borderId="0" xfId="2" applyAlignment="1">
      <alignment horizontal="center"/>
    </xf>
    <xf numFmtId="166" fontId="3" fillId="0" borderId="0" xfId="2" applyNumberFormat="1"/>
    <xf numFmtId="0" fontId="15" fillId="0" borderId="0" xfId="2" applyFont="1"/>
    <xf numFmtId="0" fontId="3" fillId="0" borderId="0" xfId="2" applyFill="1"/>
    <xf numFmtId="2" fontId="3" fillId="2" borderId="0" xfId="2" applyNumberFormat="1" applyFill="1" applyAlignment="1">
      <alignment horizontal="center"/>
    </xf>
    <xf numFmtId="1" fontId="17" fillId="2" borderId="0" xfId="2" applyNumberFormat="1" applyFont="1" applyFill="1" applyAlignment="1">
      <alignment horizontal="center"/>
    </xf>
    <xf numFmtId="0" fontId="18" fillId="2" borderId="0" xfId="2" applyFont="1" applyFill="1" applyAlignment="1">
      <alignment horizontal="right"/>
    </xf>
    <xf numFmtId="167" fontId="12" fillId="0" borderId="0" xfId="2" applyNumberFormat="1" applyFont="1" applyFill="1" applyAlignment="1">
      <alignment horizontal="center"/>
    </xf>
    <xf numFmtId="0" fontId="40" fillId="2" borderId="0" xfId="1" applyFont="1" applyFill="1" applyAlignment="1">
      <alignment horizontal="right"/>
    </xf>
    <xf numFmtId="0" fontId="3" fillId="2" borderId="0" xfId="1" applyFill="1"/>
    <xf numFmtId="0" fontId="3" fillId="2" borderId="0" xfId="2" applyFill="1"/>
    <xf numFmtId="0" fontId="3" fillId="0" borderId="0" xfId="2" applyFont="1"/>
    <xf numFmtId="1" fontId="3" fillId="0" borderId="0" xfId="3" quotePrefix="1" applyNumberFormat="1" applyFont="1" applyAlignment="1">
      <alignment horizontal="center"/>
    </xf>
    <xf numFmtId="0" fontId="18" fillId="2" borderId="0" xfId="3" applyFont="1" applyFill="1" applyAlignment="1">
      <alignment horizontal="right"/>
    </xf>
    <xf numFmtId="0" fontId="3" fillId="2" borderId="0" xfId="3" applyFill="1"/>
    <xf numFmtId="1" fontId="23" fillId="0" borderId="0" xfId="3" applyNumberFormat="1" applyFont="1" applyAlignment="1">
      <alignment horizontal="center"/>
    </xf>
    <xf numFmtId="164" fontId="6" fillId="0" borderId="0" xfId="3" applyNumberFormat="1" applyFont="1" applyAlignment="1">
      <alignment horizontal="center"/>
    </xf>
    <xf numFmtId="0" fontId="3" fillId="0" borderId="0" xfId="3" applyFont="1"/>
    <xf numFmtId="0" fontId="3" fillId="0" borderId="16" xfId="3" applyBorder="1"/>
    <xf numFmtId="0" fontId="3" fillId="0" borderId="17" xfId="3" applyBorder="1"/>
    <xf numFmtId="0" fontId="1" fillId="0" borderId="8" xfId="3" applyFont="1" applyBorder="1" applyAlignment="1">
      <alignment horizontal="right"/>
    </xf>
    <xf numFmtId="0" fontId="18" fillId="0" borderId="17" xfId="3" applyFont="1" applyBorder="1" applyAlignment="1">
      <alignment horizontal="center"/>
    </xf>
    <xf numFmtId="0" fontId="12" fillId="0" borderId="0" xfId="3" applyFont="1" applyBorder="1" applyAlignment="1">
      <alignment horizontal="center"/>
    </xf>
    <xf numFmtId="0" fontId="3" fillId="0" borderId="18" xfId="3" applyBorder="1"/>
    <xf numFmtId="0" fontId="15" fillId="0" borderId="0" xfId="3" applyFont="1"/>
    <xf numFmtId="0" fontId="3" fillId="0" borderId="0" xfId="1" applyBorder="1"/>
    <xf numFmtId="0" fontId="3" fillId="0" borderId="0" xfId="1" applyBorder="1" applyAlignment="1">
      <alignment horizontal="right"/>
    </xf>
    <xf numFmtId="1" fontId="3" fillId="0" borderId="0" xfId="1" applyNumberFormat="1" applyBorder="1" applyAlignment="1">
      <alignment horizontal="center"/>
    </xf>
    <xf numFmtId="1" fontId="3" fillId="0" borderId="0" xfId="1" applyNumberFormat="1" applyBorder="1"/>
    <xf numFmtId="0" fontId="3" fillId="0" borderId="0" xfId="1" applyFill="1" applyBorder="1"/>
    <xf numFmtId="0" fontId="3" fillId="0" borderId="8" xfId="1" applyBorder="1"/>
    <xf numFmtId="0" fontId="12" fillId="0" borderId="0" xfId="1" applyFont="1" applyBorder="1"/>
    <xf numFmtId="0" fontId="12" fillId="0" borderId="0" xfId="1" applyFont="1"/>
    <xf numFmtId="1" fontId="12" fillId="0" borderId="0" xfId="1" applyNumberFormat="1" applyFont="1"/>
    <xf numFmtId="1" fontId="12" fillId="0" borderId="0" xfId="1" applyNumberFormat="1" applyFont="1" applyAlignment="1">
      <alignment horizontal="center"/>
    </xf>
    <xf numFmtId="0" fontId="1" fillId="0" borderId="0" xfId="3" applyFont="1" applyBorder="1"/>
    <xf numFmtId="0" fontId="20" fillId="0" borderId="0" xfId="3" applyFont="1" applyBorder="1" applyAlignment="1">
      <alignment horizontal="center"/>
    </xf>
    <xf numFmtId="0" fontId="8" fillId="0" borderId="0" xfId="3" applyFont="1" applyBorder="1" applyAlignment="1">
      <alignment horizontal="center"/>
    </xf>
    <xf numFmtId="165" fontId="21" fillId="0" borderId="0" xfId="3" applyNumberFormat="1" applyFont="1" applyBorder="1" applyAlignment="1">
      <alignment horizontal="center"/>
    </xf>
    <xf numFmtId="165" fontId="3" fillId="0" borderId="1" xfId="3" applyNumberFormat="1" applyBorder="1"/>
    <xf numFmtId="165" fontId="3" fillId="0" borderId="2" xfId="3" applyNumberFormat="1" applyBorder="1"/>
    <xf numFmtId="0" fontId="12" fillId="0" borderId="5" xfId="3" applyFont="1" applyBorder="1"/>
    <xf numFmtId="0" fontId="12" fillId="0" borderId="7" xfId="3" applyFont="1" applyBorder="1"/>
    <xf numFmtId="0" fontId="12" fillId="0" borderId="13" xfId="3" applyFont="1" applyBorder="1" applyAlignment="1">
      <alignment horizontal="center"/>
    </xf>
    <xf numFmtId="0" fontId="12" fillId="0" borderId="14" xfId="3" applyFont="1" applyBorder="1" applyAlignment="1">
      <alignment horizontal="center"/>
    </xf>
    <xf numFmtId="0" fontId="12" fillId="0" borderId="15" xfId="3" applyFont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1" fontId="3" fillId="0" borderId="0" xfId="1" applyNumberFormat="1" applyBorder="1" applyAlignment="1">
      <alignment horizontal="right"/>
    </xf>
    <xf numFmtId="167" fontId="12" fillId="0" borderId="0" xfId="1" applyNumberFormat="1" applyFont="1" applyBorder="1" applyAlignment="1">
      <alignment horizontal="right"/>
    </xf>
    <xf numFmtId="2" fontId="3" fillId="2" borderId="0" xfId="3" applyNumberFormat="1" applyFill="1" applyAlignment="1">
      <alignment horizontal="center"/>
    </xf>
    <xf numFmtId="164" fontId="3" fillId="2" borderId="0" xfId="3" applyNumberFormat="1" applyFill="1" applyAlignment="1">
      <alignment horizontal="center"/>
    </xf>
    <xf numFmtId="1" fontId="17" fillId="2" borderId="0" xfId="3" applyNumberFormat="1" applyFont="1" applyFill="1" applyAlignment="1">
      <alignment horizontal="center"/>
    </xf>
    <xf numFmtId="0" fontId="3" fillId="0" borderId="0" xfId="3" applyFill="1" applyBorder="1"/>
    <xf numFmtId="0" fontId="3" fillId="0" borderId="0" xfId="3" applyFill="1"/>
    <xf numFmtId="0" fontId="3" fillId="0" borderId="0" xfId="2" applyFont="1" applyBorder="1"/>
    <xf numFmtId="1" fontId="3" fillId="0" borderId="0" xfId="2" applyNumberFormat="1" applyBorder="1"/>
    <xf numFmtId="0" fontId="3" fillId="0" borderId="0" xfId="2" applyBorder="1"/>
    <xf numFmtId="0" fontId="3" fillId="0" borderId="4" xfId="2" applyFont="1" applyBorder="1"/>
    <xf numFmtId="0" fontId="3" fillId="0" borderId="5" xfId="2" applyFont="1" applyBorder="1"/>
    <xf numFmtId="0" fontId="3" fillId="0" borderId="16" xfId="2" applyFont="1" applyBorder="1"/>
    <xf numFmtId="1" fontId="3" fillId="0" borderId="8" xfId="2" applyNumberFormat="1" applyBorder="1"/>
    <xf numFmtId="1" fontId="3" fillId="0" borderId="17" xfId="2" applyNumberFormat="1" applyBorder="1"/>
    <xf numFmtId="0" fontId="3" fillId="0" borderId="17" xfId="2" applyBorder="1"/>
    <xf numFmtId="0" fontId="3" fillId="0" borderId="8" xfId="2" applyFont="1" applyBorder="1"/>
    <xf numFmtId="0" fontId="3" fillId="0" borderId="17" xfId="2" applyFont="1" applyBorder="1"/>
    <xf numFmtId="0" fontId="3" fillId="0" borderId="19" xfId="2" applyFont="1" applyBorder="1"/>
    <xf numFmtId="0" fontId="3" fillId="0" borderId="20" xfId="2" applyFont="1" applyBorder="1"/>
    <xf numFmtId="0" fontId="3" fillId="0" borderId="21" xfId="2" applyFont="1" applyBorder="1"/>
    <xf numFmtId="0" fontId="12" fillId="0" borderId="4" xfId="2" applyFont="1" applyBorder="1"/>
    <xf numFmtId="0" fontId="3" fillId="0" borderId="5" xfId="2" applyBorder="1"/>
    <xf numFmtId="0" fontId="3" fillId="0" borderId="16" xfId="2" applyBorder="1"/>
    <xf numFmtId="0" fontId="3" fillId="0" borderId="11" xfId="2" applyFont="1" applyBorder="1"/>
    <xf numFmtId="0" fontId="3" fillId="0" borderId="12" xfId="2" applyFont="1" applyBorder="1"/>
    <xf numFmtId="0" fontId="3" fillId="0" borderId="18" xfId="2" applyFont="1" applyBorder="1"/>
    <xf numFmtId="0" fontId="3" fillId="0" borderId="2" xfId="3" applyFont="1" applyBorder="1" applyAlignment="1">
      <alignment horizontal="right"/>
    </xf>
    <xf numFmtId="0" fontId="0" fillId="0" borderId="0" xfId="0" applyAlignment="1">
      <alignment horizontal="right"/>
    </xf>
    <xf numFmtId="0" fontId="3" fillId="0" borderId="0" xfId="3" applyFont="1" applyAlignment="1">
      <alignment horizontal="right"/>
    </xf>
    <xf numFmtId="0" fontId="3" fillId="2" borderId="0" xfId="3" applyFill="1" applyBorder="1"/>
    <xf numFmtId="0" fontId="12" fillId="0" borderId="5" xfId="3" applyFont="1" applyFill="1" applyBorder="1"/>
    <xf numFmtId="165" fontId="3" fillId="0" borderId="0" xfId="3" applyNumberFormat="1" applyFill="1" applyAlignment="1">
      <alignment horizontal="center"/>
    </xf>
    <xf numFmtId="167" fontId="12" fillId="0" borderId="0" xfId="3" applyNumberFormat="1" applyFont="1" applyBorder="1" applyAlignment="1">
      <alignment horizontal="center"/>
    </xf>
    <xf numFmtId="0" fontId="1" fillId="0" borderId="8" xfId="3" applyFont="1" applyBorder="1"/>
    <xf numFmtId="0" fontId="3" fillId="0" borderId="8" xfId="3" applyBorder="1" applyAlignment="1">
      <alignment horizontal="center"/>
    </xf>
    <xf numFmtId="165" fontId="3" fillId="0" borderId="17" xfId="3" applyNumberFormat="1" applyFont="1" applyBorder="1"/>
    <xf numFmtId="165" fontId="3" fillId="0" borderId="17" xfId="3" applyNumberFormat="1" applyBorder="1"/>
    <xf numFmtId="0" fontId="3" fillId="0" borderId="11" xfId="3" applyBorder="1" applyAlignment="1">
      <alignment horizontal="center"/>
    </xf>
    <xf numFmtId="0" fontId="3" fillId="0" borderId="12" xfId="3" applyBorder="1" applyAlignment="1">
      <alignment horizontal="center"/>
    </xf>
    <xf numFmtId="167" fontId="3" fillId="0" borderId="12" xfId="3" applyNumberFormat="1" applyBorder="1" applyAlignment="1">
      <alignment horizontal="center"/>
    </xf>
    <xf numFmtId="165" fontId="3" fillId="0" borderId="12" xfId="3" applyNumberFormat="1" applyBorder="1" applyAlignment="1">
      <alignment horizontal="center"/>
    </xf>
    <xf numFmtId="0" fontId="12" fillId="0" borderId="22" xfId="3" applyFont="1" applyBorder="1" applyAlignment="1">
      <alignment horizontal="right"/>
    </xf>
    <xf numFmtId="0" fontId="1" fillId="0" borderId="23" xfId="3" applyFont="1" applyBorder="1"/>
    <xf numFmtId="0" fontId="18" fillId="0" borderId="23" xfId="3" applyFont="1" applyBorder="1" applyAlignment="1">
      <alignment horizontal="center"/>
    </xf>
    <xf numFmtId="0" fontId="8" fillId="0" borderId="23" xfId="3" applyFont="1" applyBorder="1" applyAlignment="1">
      <alignment horizontal="center"/>
    </xf>
    <xf numFmtId="165" fontId="21" fillId="0" borderId="23" xfId="3" applyNumberFormat="1" applyFont="1" applyBorder="1" applyAlignment="1">
      <alignment horizontal="center"/>
    </xf>
    <xf numFmtId="165" fontId="3" fillId="0" borderId="23" xfId="3" applyNumberFormat="1" applyBorder="1" applyAlignment="1">
      <alignment horizontal="center"/>
    </xf>
    <xf numFmtId="165" fontId="3" fillId="0" borderId="24" xfId="3" applyNumberFormat="1" applyBorder="1" applyAlignment="1">
      <alignment horizontal="center"/>
    </xf>
    <xf numFmtId="0" fontId="12" fillId="0" borderId="22" xfId="3" applyFont="1" applyBorder="1"/>
    <xf numFmtId="0" fontId="3" fillId="0" borderId="5" xfId="3" applyFont="1" applyBorder="1"/>
    <xf numFmtId="0" fontId="12" fillId="0" borderId="17" xfId="3" applyFont="1" applyBorder="1"/>
    <xf numFmtId="0" fontId="3" fillId="0" borderId="0" xfId="3" applyFont="1" applyBorder="1"/>
    <xf numFmtId="0" fontId="35" fillId="0" borderId="0" xfId="3" applyFont="1" applyFill="1" applyBorder="1"/>
    <xf numFmtId="0" fontId="12" fillId="0" borderId="6" xfId="3" applyFont="1" applyFill="1" applyBorder="1"/>
    <xf numFmtId="165" fontId="21" fillId="0" borderId="0" xfId="0" applyNumberFormat="1" applyFont="1" applyAlignment="1">
      <alignment horizontal="center"/>
    </xf>
    <xf numFmtId="2" fontId="3" fillId="0" borderId="0" xfId="3" applyNumberFormat="1" applyFont="1" applyBorder="1" applyAlignment="1">
      <alignment horizontal="center"/>
    </xf>
    <xf numFmtId="0" fontId="3" fillId="0" borderId="0" xfId="3" applyFont="1" applyAlignment="1">
      <alignment horizontal="center"/>
    </xf>
    <xf numFmtId="0" fontId="3" fillId="0" borderId="0" xfId="3" applyFont="1" applyBorder="1" applyAlignment="1">
      <alignment horizontal="right"/>
    </xf>
    <xf numFmtId="164" fontId="3" fillId="3" borderId="0" xfId="3" applyNumberFormat="1" applyFill="1" applyAlignment="1">
      <alignment horizontal="center"/>
    </xf>
    <xf numFmtId="165" fontId="22" fillId="3" borderId="0" xfId="3" applyNumberFormat="1" applyFont="1" applyFill="1" applyAlignment="1">
      <alignment horizontal="center"/>
    </xf>
    <xf numFmtId="11" fontId="3" fillId="0" borderId="0" xfId="3" applyNumberFormat="1" applyAlignment="1">
      <alignment horizontal="center"/>
    </xf>
    <xf numFmtId="11" fontId="22" fillId="0" borderId="0" xfId="3" applyNumberFormat="1" applyFont="1" applyAlignment="1">
      <alignment horizontal="center"/>
    </xf>
    <xf numFmtId="0" fontId="4" fillId="0" borderId="0" xfId="0" applyFont="1"/>
    <xf numFmtId="0" fontId="36" fillId="0" borderId="0" xfId="0" applyFont="1"/>
    <xf numFmtId="0" fontId="8" fillId="0" borderId="0" xfId="0" applyFont="1"/>
    <xf numFmtId="0" fontId="9" fillId="0" borderId="0" xfId="0" applyFont="1" applyAlignment="1">
      <alignment horizontal="right"/>
    </xf>
    <xf numFmtId="0" fontId="0" fillId="0" borderId="0" xfId="0" applyAlignment="1">
      <alignment horizontal="center"/>
    </xf>
    <xf numFmtId="165" fontId="0" fillId="0" borderId="0" xfId="0" applyNumberFormat="1"/>
    <xf numFmtId="0" fontId="23" fillId="0" borderId="0" xfId="2" applyFont="1" applyAlignment="1">
      <alignment horizontal="center"/>
    </xf>
    <xf numFmtId="165" fontId="3" fillId="2" borderId="0" xfId="1" applyNumberFormat="1" applyFill="1" applyAlignment="1">
      <alignment horizontal="center"/>
    </xf>
    <xf numFmtId="1" fontId="15" fillId="0" borderId="0" xfId="3" applyNumberFormat="1" applyFont="1" applyFill="1" applyAlignment="1">
      <alignment horizontal="center"/>
    </xf>
    <xf numFmtId="1" fontId="3" fillId="2" borderId="0" xfId="3" applyNumberFormat="1" applyFill="1" applyAlignment="1">
      <alignment horizontal="center"/>
    </xf>
    <xf numFmtId="165" fontId="6" fillId="0" borderId="0" xfId="0" applyNumberFormat="1" applyFont="1" applyAlignment="1">
      <alignment horizontal="center"/>
    </xf>
    <xf numFmtId="0" fontId="29" fillId="0" borderId="0" xfId="0" applyFont="1"/>
    <xf numFmtId="165" fontId="21" fillId="0" borderId="0" xfId="2" applyNumberFormat="1" applyFont="1" applyBorder="1" applyAlignment="1">
      <alignment horizontal="center"/>
    </xf>
    <xf numFmtId="1" fontId="21" fillId="0" borderId="0" xfId="2" applyNumberFormat="1" applyFont="1" applyBorder="1" applyAlignment="1">
      <alignment horizontal="center"/>
    </xf>
    <xf numFmtId="165" fontId="12" fillId="0" borderId="0" xfId="2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5" fontId="36" fillId="0" borderId="0" xfId="0" applyNumberFormat="1" applyFont="1" applyAlignment="1">
      <alignment horizontal="center"/>
    </xf>
    <xf numFmtId="1" fontId="16" fillId="0" borderId="0" xfId="0" applyNumberFormat="1" applyFont="1" applyAlignment="1">
      <alignment horizontal="center"/>
    </xf>
    <xf numFmtId="0" fontId="31" fillId="0" borderId="0" xfId="0" applyFont="1"/>
    <xf numFmtId="166" fontId="36" fillId="0" borderId="0" xfId="0" applyNumberFormat="1" applyFont="1"/>
    <xf numFmtId="168" fontId="36" fillId="0" borderId="0" xfId="0" applyNumberFormat="1" applyFont="1"/>
    <xf numFmtId="2" fontId="36" fillId="0" borderId="0" xfId="0" applyNumberFormat="1" applyFont="1"/>
    <xf numFmtId="0" fontId="31" fillId="0" borderId="1" xfId="0" applyFont="1" applyBorder="1" applyAlignment="1">
      <alignment horizontal="center"/>
    </xf>
    <xf numFmtId="0" fontId="31" fillId="0" borderId="2" xfId="0" applyFont="1" applyBorder="1" applyAlignment="1">
      <alignment horizontal="center"/>
    </xf>
    <xf numFmtId="0" fontId="31" fillId="0" borderId="2" xfId="3" applyFont="1" applyBorder="1" applyAlignment="1">
      <alignment horizontal="center"/>
    </xf>
    <xf numFmtId="1" fontId="31" fillId="0" borderId="2" xfId="0" applyNumberFormat="1" applyFont="1" applyBorder="1" applyAlignment="1">
      <alignment horizontal="center"/>
    </xf>
    <xf numFmtId="0" fontId="31" fillId="0" borderId="9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1" fontId="31" fillId="0" borderId="0" xfId="0" applyNumberFormat="1" applyFont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" fontId="31" fillId="0" borderId="0" xfId="3" applyNumberFormat="1" applyFont="1" applyBorder="1" applyAlignment="1">
      <alignment horizontal="center"/>
    </xf>
    <xf numFmtId="2" fontId="31" fillId="0" borderId="0" xfId="3" applyNumberFormat="1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31" fillId="0" borderId="14" xfId="0" applyFont="1" applyBorder="1" applyAlignment="1">
      <alignment horizontal="center"/>
    </xf>
    <xf numFmtId="0" fontId="31" fillId="0" borderId="14" xfId="0" applyFont="1" applyFill="1" applyBorder="1" applyAlignment="1">
      <alignment horizontal="center"/>
    </xf>
    <xf numFmtId="0" fontId="31" fillId="0" borderId="14" xfId="3" applyFont="1" applyBorder="1" applyAlignment="1">
      <alignment horizontal="center"/>
    </xf>
    <xf numFmtId="167" fontId="3" fillId="0" borderId="2" xfId="3" applyNumberFormat="1" applyBorder="1" applyAlignment="1">
      <alignment horizontal="center"/>
    </xf>
    <xf numFmtId="1" fontId="3" fillId="0" borderId="2" xfId="3" applyNumberFormat="1" applyBorder="1" applyAlignment="1">
      <alignment horizontal="center"/>
    </xf>
    <xf numFmtId="2" fontId="3" fillId="0" borderId="3" xfId="3" applyNumberFormat="1" applyFill="1" applyBorder="1" applyAlignment="1">
      <alignment horizontal="center"/>
    </xf>
    <xf numFmtId="2" fontId="3" fillId="0" borderId="10" xfId="3" applyNumberFormat="1" applyFill="1" applyBorder="1" applyAlignment="1">
      <alignment horizontal="center"/>
    </xf>
    <xf numFmtId="167" fontId="3" fillId="0" borderId="14" xfId="3" applyNumberFormat="1" applyBorder="1" applyAlignment="1">
      <alignment horizontal="center"/>
    </xf>
    <xf numFmtId="2" fontId="3" fillId="0" borderId="15" xfId="3" applyNumberFormat="1" applyFill="1" applyBorder="1" applyAlignment="1">
      <alignment horizontal="center"/>
    </xf>
  </cellXfs>
  <cellStyles count="4">
    <cellStyle name="Normal" xfId="0" builtinId="0"/>
    <cellStyle name="Normal_2" xfId="1"/>
    <cellStyle name="Normal_ace-toluene" xfId="2"/>
    <cellStyle name="Normal_Toluene-vdWaals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859442607488094"/>
          <c:y val="4.5918395945270113E-2"/>
          <c:w val="0.7858101631167127"/>
          <c:h val="0.8035719290422269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 T = Tb'!$A$21:$A$81</c:f>
              <c:numCache>
                <c:formatCode>0.000</c:formatCode>
                <c:ptCount val="61"/>
                <c:pt idx="0">
                  <c:v>0.11929554873417722</c:v>
                </c:pt>
                <c:pt idx="1">
                  <c:v>0.1371898810443038</c:v>
                </c:pt>
                <c:pt idx="2">
                  <c:v>0.15776836320094936</c:v>
                </c:pt>
                <c:pt idx="3">
                  <c:v>0.18143361768109176</c:v>
                </c:pt>
                <c:pt idx="4">
                  <c:v>0.20864866033325549</c:v>
                </c:pt>
                <c:pt idx="5">
                  <c:v>0.23994595938324378</c:v>
                </c:pt>
                <c:pt idx="6">
                  <c:v>0.27593785329073034</c:v>
                </c:pt>
                <c:pt idx="7">
                  <c:v>0.31732853128433985</c:v>
                </c:pt>
                <c:pt idx="8">
                  <c:v>0.36492781097699079</c:v>
                </c:pt>
                <c:pt idx="9">
                  <c:v>0.41966698262353935</c:v>
                </c:pt>
                <c:pt idx="10">
                  <c:v>0.48261703001707024</c:v>
                </c:pt>
                <c:pt idx="11">
                  <c:v>0.55500958451963078</c:v>
                </c:pt>
                <c:pt idx="12">
                  <c:v>0.6382610221975753</c:v>
                </c:pt>
                <c:pt idx="13">
                  <c:v>0.73400017552721153</c:v>
                </c:pt>
                <c:pt idx="14">
                  <c:v>0.8441002018562932</c:v>
                </c:pt>
                <c:pt idx="15">
                  <c:v>0.97071523213473709</c:v>
                </c:pt>
                <c:pt idx="16">
                  <c:v>1.1163225169549476</c:v>
                </c:pt>
                <c:pt idx="17">
                  <c:v>1.2837708944981896</c:v>
                </c:pt>
                <c:pt idx="18">
                  <c:v>1.476336528672918</c:v>
                </c:pt>
                <c:pt idx="19">
                  <c:v>1.6977870079738555</c:v>
                </c:pt>
                <c:pt idx="20">
                  <c:v>1.9524550591699337</c:v>
                </c:pt>
                <c:pt idx="21">
                  <c:v>2.2453233180454237</c:v>
                </c:pt>
                <c:pt idx="22">
                  <c:v>2.5821218157522372</c:v>
                </c:pt>
                <c:pt idx="23">
                  <c:v>2.9694400881150727</c:v>
                </c:pt>
                <c:pt idx="24">
                  <c:v>3.4148561013323331</c:v>
                </c:pt>
                <c:pt idx="25">
                  <c:v>3.9270845165321826</c:v>
                </c:pt>
                <c:pt idx="26">
                  <c:v>4.5161471940120093</c:v>
                </c:pt>
                <c:pt idx="27">
                  <c:v>5.1935692731138099</c:v>
                </c:pt>
                <c:pt idx="28">
                  <c:v>5.9726046640808805</c:v>
                </c:pt>
                <c:pt idx="29">
                  <c:v>6.8684953636930119</c:v>
                </c:pt>
                <c:pt idx="30">
                  <c:v>7.8987696682469632</c:v>
                </c:pt>
                <c:pt idx="31">
                  <c:v>9.0835851184840077</c:v>
                </c:pt>
                <c:pt idx="32">
                  <c:v>10.446122886256608</c:v>
                </c:pt>
                <c:pt idx="33">
                  <c:v>12.013041319195098</c:v>
                </c:pt>
                <c:pt idx="34">
                  <c:v>13.814997517074362</c:v>
                </c:pt>
                <c:pt idx="35">
                  <c:v>15.887247144635515</c:v>
                </c:pt>
                <c:pt idx="36">
                  <c:v>18.270334216330841</c:v>
                </c:pt>
                <c:pt idx="37">
                  <c:v>21.010884348780465</c:v>
                </c:pt>
                <c:pt idx="38">
                  <c:v>24.162517001097534</c:v>
                </c:pt>
                <c:pt idx="39">
                  <c:v>27.786894551262161</c:v>
                </c:pt>
                <c:pt idx="40">
                  <c:v>31.954928733951483</c:v>
                </c:pt>
                <c:pt idx="41">
                  <c:v>36.748168044044206</c:v>
                </c:pt>
                <c:pt idx="42">
                  <c:v>42.260393250650836</c:v>
                </c:pt>
                <c:pt idx="43">
                  <c:v>48.59945223824846</c:v>
                </c:pt>
                <c:pt idx="44">
                  <c:v>55.889370073985724</c:v>
                </c:pt>
                <c:pt idx="45">
                  <c:v>64.272775585083579</c:v>
                </c:pt>
                <c:pt idx="46">
                  <c:v>73.913691922846112</c:v>
                </c:pt>
                <c:pt idx="47">
                  <c:v>85.000745711273026</c:v>
                </c:pt>
                <c:pt idx="48">
                  <c:v>97.750857567963976</c:v>
                </c:pt>
                <c:pt idx="49">
                  <c:v>112.41348620315857</c:v>
                </c:pt>
                <c:pt idx="50">
                  <c:v>129.27550913363234</c:v>
                </c:pt>
                <c:pt idx="51">
                  <c:v>148.66683550367719</c:v>
                </c:pt>
                <c:pt idx="52">
                  <c:v>170.96686082922875</c:v>
                </c:pt>
                <c:pt idx="53">
                  <c:v>196.61188995361306</c:v>
                </c:pt>
                <c:pt idx="54">
                  <c:v>226.10367344665499</c:v>
                </c:pt>
                <c:pt idx="55">
                  <c:v>260.01922446365325</c:v>
                </c:pt>
                <c:pt idx="56">
                  <c:v>299.02210813320119</c:v>
                </c:pt>
                <c:pt idx="57">
                  <c:v>343.87542435318136</c:v>
                </c:pt>
                <c:pt idx="58">
                  <c:v>395.45673800615856</c:v>
                </c:pt>
                <c:pt idx="59">
                  <c:v>454.77524870708231</c:v>
                </c:pt>
                <c:pt idx="60">
                  <c:v>522.99153601314458</c:v>
                </c:pt>
              </c:numCache>
            </c:numRef>
          </c:xVal>
          <c:yVal>
            <c:numRef>
              <c:f>' T = Tb'!$B$21:$B$81</c:f>
              <c:numCache>
                <c:formatCode>General</c:formatCode>
                <c:ptCount val="61"/>
                <c:pt idx="0">
                  <c:v>2935205.5844792384</c:v>
                </c:pt>
                <c:pt idx="1">
                  <c:v>270.31706031397187</c:v>
                </c:pt>
                <c:pt idx="2">
                  <c:v>-272.77330224046864</c:v>
                </c:pt>
                <c:pt idx="3">
                  <c:v>-310.76256941481472</c:v>
                </c:pt>
                <c:pt idx="4">
                  <c:v>-263.66139017359092</c:v>
                </c:pt>
                <c:pt idx="5">
                  <c:v>-204.46900973258448</c:v>
                </c:pt>
                <c:pt idx="6">
                  <c:v>-151.17589385904338</c:v>
                </c:pt>
                <c:pt idx="7">
                  <c:v>-107.77531770715548</c:v>
                </c:pt>
                <c:pt idx="8">
                  <c:v>-74.06643098809846</c:v>
                </c:pt>
                <c:pt idx="9">
                  <c:v>-48.636784690779024</c:v>
                </c:pt>
                <c:pt idx="10">
                  <c:v>-29.873545019252269</c:v>
                </c:pt>
                <c:pt idx="11">
                  <c:v>-16.306686246122936</c:v>
                </c:pt>
                <c:pt idx="12">
                  <c:v>-6.7057952052906691</c:v>
                </c:pt>
                <c:pt idx="13">
                  <c:v>-8.4133550323467712E-2</c:v>
                </c:pt>
                <c:pt idx="14">
                  <c:v>4.3298785680356602</c:v>
                </c:pt>
                <c:pt idx="15">
                  <c:v>7.1294809311506606</c:v>
                </c:pt>
                <c:pt idx="16">
                  <c:v>8.7650984768356519</c:v>
                </c:pt>
                <c:pt idx="17">
                  <c:v>9.5751957237881609</c:v>
                </c:pt>
                <c:pt idx="18">
                  <c:v>9.8117228479335878</c:v>
                </c:pt>
                <c:pt idx="19">
                  <c:v>9.66048725295982</c:v>
                </c:pt>
                <c:pt idx="20">
                  <c:v>9.2571579731051017</c:v>
                </c:pt>
                <c:pt idx="21">
                  <c:v>8.6996774648888859</c:v>
                </c:pt>
                <c:pt idx="22">
                  <c:v>8.0577961580141118</c:v>
                </c:pt>
                <c:pt idx="23">
                  <c:v>7.3803423617323389</c:v>
                </c:pt>
                <c:pt idx="24">
                  <c:v>6.7007309905210102</c:v>
                </c:pt>
                <c:pt idx="25">
                  <c:v>6.0411146535788909</c:v>
                </c:pt>
                <c:pt idx="26">
                  <c:v>5.4154952844229456</c:v>
                </c:pt>
                <c:pt idx="27">
                  <c:v>4.8320443174845771</c:v>
                </c:pt>
                <c:pt idx="28">
                  <c:v>4.2948231084107142</c:v>
                </c:pt>
                <c:pt idx="29">
                  <c:v>3.8050508210450547</c:v>
                </c:pt>
                <c:pt idx="30">
                  <c:v>3.3620322690130382</c:v>
                </c:pt>
                <c:pt idx="31">
                  <c:v>2.963831291894425</c:v>
                </c:pt>
                <c:pt idx="32">
                  <c:v>2.6077545307102445</c:v>
                </c:pt>
                <c:pt idx="33">
                  <c:v>2.2906945978213002</c:v>
                </c:pt>
                <c:pt idx="34">
                  <c:v>2.0093695276753776</c:v>
                </c:pt>
                <c:pt idx="35">
                  <c:v>1.7604861873913651</c:v>
                </c:pt>
                <c:pt idx="36">
                  <c:v>1.5408483459680564</c:v>
                </c:pt>
                <c:pt idx="37">
                  <c:v>1.3474248239238364</c:v>
                </c:pt>
                <c:pt idx="38">
                  <c:v>1.177389166464951</c:v>
                </c:pt>
                <c:pt idx="39">
                  <c:v>1.0281392914206016</c:v>
                </c:pt>
                <c:pt idx="40">
                  <c:v>0.89730331958939336</c:v>
                </c:pt>
                <c:pt idx="41">
                  <c:v>0.78273611760976092</c:v>
                </c:pt>
                <c:pt idx="42">
                  <c:v>0.68250983321878389</c:v>
                </c:pt>
                <c:pt idx="43">
                  <c:v>0.59490077434139765</c:v>
                </c:pt>
                <c:pt idx="44">
                  <c:v>0.51837429688322312</c:v>
                </c:pt>
                <c:pt idx="45">
                  <c:v>0.45156886085560549</c:v>
                </c:pt>
                <c:pt idx="46">
                  <c:v>0.39328004481116002</c:v>
                </c:pt>
                <c:pt idx="47">
                  <c:v>0.34244504002570525</c:v>
                </c:pt>
                <c:pt idx="48">
                  <c:v>0.29812795246841384</c:v>
                </c:pt>
                <c:pt idx="49">
                  <c:v>0.25950610285302522</c:v>
                </c:pt>
                <c:pt idx="50">
                  <c:v>0.22585741833668027</c:v>
                </c:pt>
                <c:pt idx="51">
                  <c:v>0.1965489427914327</c:v>
                </c:pt>
                <c:pt idx="52">
                  <c:v>0.1710264478558062</c:v>
                </c:pt>
                <c:pt idx="53">
                  <c:v>0.14880509810867945</c:v>
                </c:pt>
                <c:pt idx="54">
                  <c:v>0.12946110619395748</c:v>
                </c:pt>
                <c:pt idx="55">
                  <c:v>0.11262430423777847</c:v>
                </c:pt>
                <c:pt idx="56">
                  <c:v>9.7971553997215424E-2</c:v>
                </c:pt>
                <c:pt idx="57">
                  <c:v>8.5220918075037511E-2</c:v>
                </c:pt>
                <c:pt idx="58">
                  <c:v>7.4126516933344308E-2</c:v>
                </c:pt>
                <c:pt idx="59">
                  <c:v>6.447400040755992E-2</c:v>
                </c:pt>
                <c:pt idx="60">
                  <c:v>5.6076567298072283E-2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 T = Tb'!$B$15</c:f>
              <c:numCache>
                <c:formatCode>0.000</c:formatCode>
                <c:ptCount val="1"/>
                <c:pt idx="0">
                  <c:v>0.1423455474876073</c:v>
                </c:pt>
              </c:numCache>
            </c:numRef>
          </c:xVal>
          <c:yVal>
            <c:numRef>
              <c:f>' T = Tb'!$I$3</c:f>
              <c:numCache>
                <c:formatCode>General</c:formatCode>
                <c:ptCount val="1"/>
                <c:pt idx="0">
                  <c:v>1.0132294808711386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 T = Tb'!$B$18</c:f>
              <c:numCache>
                <c:formatCode>0.000</c:formatCode>
                <c:ptCount val="1"/>
                <c:pt idx="0">
                  <c:v>0.75606624715320692</c:v>
                </c:pt>
              </c:numCache>
            </c:numRef>
          </c:xVal>
          <c:yVal>
            <c:numRef>
              <c:f>' T = Tb'!$I$3</c:f>
              <c:numCache>
                <c:formatCode>General</c:formatCode>
                <c:ptCount val="1"/>
                <c:pt idx="0">
                  <c:v>1.0132294808711386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 T = Tb'!$B$16</c:f>
              <c:numCache>
                <c:formatCode>0</c:formatCode>
                <c:ptCount val="1"/>
                <c:pt idx="0">
                  <c:v>28.207569935444671</c:v>
                </c:pt>
              </c:numCache>
            </c:numRef>
          </c:xVal>
          <c:yVal>
            <c:numRef>
              <c:f>' T = Tb'!$I$3</c:f>
              <c:numCache>
                <c:formatCode>General</c:formatCode>
                <c:ptCount val="1"/>
                <c:pt idx="0">
                  <c:v>1.0132294808711386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339200"/>
        <c:axId val="156345856"/>
      </c:scatterChart>
      <c:valAx>
        <c:axId val="156339200"/>
        <c:scaling>
          <c:logBase val="10"/>
          <c:orientation val="minMax"/>
          <c:max val="1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2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Volume, V [</a:t>
                </a:r>
                <a:r>
                  <a:rPr lang="en-ZA" sz="1200" b="1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ZA" sz="12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/mol]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0.41231606514471464"/>
              <c:y val="0.92474547389780093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56345856"/>
        <c:crossesAt val="-1000000"/>
        <c:crossBetween val="midCat"/>
        <c:minorUnit val="10"/>
      </c:valAx>
      <c:valAx>
        <c:axId val="156345856"/>
        <c:scaling>
          <c:orientation val="minMax"/>
          <c:max val="100"/>
          <c:min val="-400"/>
        </c:scaling>
        <c:delete val="0"/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Pressure, P [bar]</a:t>
                </a:r>
              </a:p>
            </c:rich>
          </c:tx>
          <c:layout>
            <c:manualLayout>
              <c:xMode val="edge"/>
              <c:yMode val="edge"/>
              <c:x val="1.0709508185577005E-2"/>
              <c:y val="0.3329083706032083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56339200"/>
        <c:crossesAt val="1E-3"/>
        <c:crossBetween val="midCat"/>
        <c:majorUnit val="100"/>
        <c:minorUnit val="5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ZA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T = T</a:t>
            </a:r>
            <a:r>
              <a:rPr lang="en-ZA" sz="1100" b="0" i="0" u="none" strike="noStrike" baseline="-25000">
                <a:solidFill>
                  <a:srgbClr val="000000"/>
                </a:solidFill>
                <a:latin typeface="Times New Roman"/>
                <a:cs typeface="Times New Roman"/>
              </a:rPr>
              <a:t>min</a:t>
            </a:r>
            <a:r>
              <a:rPr lang="en-ZA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 isotherm</a:t>
            </a:r>
            <a:endParaRPr lang="en-ZA"/>
          </a:p>
        </c:rich>
      </c:tx>
      <c:layout>
        <c:manualLayout>
          <c:xMode val="edge"/>
          <c:yMode val="edge"/>
          <c:x val="0.55622599034024833"/>
          <c:y val="0.269547460509229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49000394155517"/>
          <c:y val="4.3209898249571124E-2"/>
          <c:w val="0.7008045871073888"/>
          <c:h val="0.7325106560403484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Tmin!$A$21:$A$80</c:f>
              <c:numCache>
                <c:formatCode>0.000</c:formatCode>
                <c:ptCount val="60"/>
                <c:pt idx="0">
                  <c:v>0.11929554873417722</c:v>
                </c:pt>
                <c:pt idx="1">
                  <c:v>0.12526032617088609</c:v>
                </c:pt>
                <c:pt idx="2">
                  <c:v>0.1315233424794304</c:v>
                </c:pt>
                <c:pt idx="3">
                  <c:v>0.13809950960340192</c:v>
                </c:pt>
                <c:pt idx="4">
                  <c:v>0.14500448508357203</c:v>
                </c:pt>
                <c:pt idx="5">
                  <c:v>0.15225470933775062</c:v>
                </c:pt>
                <c:pt idx="6">
                  <c:v>0.15986744480463816</c:v>
                </c:pt>
                <c:pt idx="7">
                  <c:v>0.16786081704487008</c:v>
                </c:pt>
                <c:pt idx="8">
                  <c:v>0.17625385789711359</c:v>
                </c:pt>
                <c:pt idx="9">
                  <c:v>0.18506655079196929</c:v>
                </c:pt>
                <c:pt idx="10">
                  <c:v>0.19431987833156777</c:v>
                </c:pt>
                <c:pt idx="11">
                  <c:v>0.20403587224814618</c:v>
                </c:pt>
                <c:pt idx="12">
                  <c:v>0.21423766586055348</c:v>
                </c:pt>
                <c:pt idx="13">
                  <c:v>0.22494954915358117</c:v>
                </c:pt>
                <c:pt idx="14">
                  <c:v>0.23619702661126024</c:v>
                </c:pt>
                <c:pt idx="15">
                  <c:v>0.24800687794182327</c:v>
                </c:pt>
                <c:pt idx="16">
                  <c:v>0.26040722183891446</c:v>
                </c:pt>
                <c:pt idx="17">
                  <c:v>0.27342758293086017</c:v>
                </c:pt>
                <c:pt idx="18">
                  <c:v>0.28709896207740321</c:v>
                </c:pt>
                <c:pt idx="19">
                  <c:v>0.30145391018127338</c:v>
                </c:pt>
                <c:pt idx="20">
                  <c:v>0.31652660569033708</c:v>
                </c:pt>
                <c:pt idx="21">
                  <c:v>0.33235293597485394</c:v>
                </c:pt>
                <c:pt idx="22">
                  <c:v>0.34897058277359666</c:v>
                </c:pt>
                <c:pt idx="23">
                  <c:v>0.3664191119122765</c:v>
                </c:pt>
                <c:pt idx="24">
                  <c:v>0.38474006750789036</c:v>
                </c:pt>
                <c:pt idx="25">
                  <c:v>0.40397707088328488</c:v>
                </c:pt>
                <c:pt idx="26">
                  <c:v>0.42417592442744917</c:v>
                </c:pt>
                <c:pt idx="27">
                  <c:v>0.44538472064882162</c:v>
                </c:pt>
                <c:pt idx="28">
                  <c:v>0.46765395668126269</c:v>
                </c:pt>
                <c:pt idx="29">
                  <c:v>0.49103665451532585</c:v>
                </c:pt>
                <c:pt idx="30">
                  <c:v>0.51558848724109219</c:v>
                </c:pt>
                <c:pt idx="31">
                  <c:v>0.54136791160314679</c:v>
                </c:pt>
                <c:pt idx="32">
                  <c:v>0.56843630718330418</c:v>
                </c:pt>
                <c:pt idx="33">
                  <c:v>0.59685812254246939</c:v>
                </c:pt>
                <c:pt idx="34">
                  <c:v>0.62670102866959287</c:v>
                </c:pt>
                <c:pt idx="35">
                  <c:v>0.65803608010307257</c:v>
                </c:pt>
                <c:pt idx="36">
                  <c:v>0.69093788410822621</c:v>
                </c:pt>
                <c:pt idx="37">
                  <c:v>0.72548477831363756</c:v>
                </c:pt>
                <c:pt idx="38">
                  <c:v>0.76175901722931949</c:v>
                </c:pt>
                <c:pt idx="39">
                  <c:v>0.79984696809078548</c:v>
                </c:pt>
                <c:pt idx="40">
                  <c:v>0.83983931649532484</c:v>
                </c:pt>
                <c:pt idx="41">
                  <c:v>0.88183128232009111</c:v>
                </c:pt>
                <c:pt idx="42">
                  <c:v>0.92592284643609568</c:v>
                </c:pt>
                <c:pt idx="43">
                  <c:v>0.97221898875790047</c:v>
                </c:pt>
                <c:pt idx="44">
                  <c:v>1.0208299381957955</c:v>
                </c:pt>
                <c:pt idx="45">
                  <c:v>1.0718714351055854</c:v>
                </c:pt>
                <c:pt idx="46">
                  <c:v>1.1254650068608647</c:v>
                </c:pt>
                <c:pt idx="47">
                  <c:v>1.1817382572039079</c:v>
                </c:pt>
                <c:pt idx="48">
                  <c:v>1.2408251700641033</c:v>
                </c:pt>
                <c:pt idx="49">
                  <c:v>1.3028664285673086</c:v>
                </c:pt>
                <c:pt idx="50">
                  <c:v>1.368009749995674</c:v>
                </c:pt>
                <c:pt idx="51">
                  <c:v>1.4364102374954577</c:v>
                </c:pt>
                <c:pt idx="52">
                  <c:v>1.5082307493702307</c:v>
                </c:pt>
                <c:pt idx="53">
                  <c:v>1.5836422868387423</c:v>
                </c:pt>
                <c:pt idx="54">
                  <c:v>1.6628244011806794</c:v>
                </c:pt>
                <c:pt idx="55">
                  <c:v>1.7459656212397134</c:v>
                </c:pt>
                <c:pt idx="56">
                  <c:v>1.8332639023016992</c:v>
                </c:pt>
                <c:pt idx="57">
                  <c:v>1.9249270974167842</c:v>
                </c:pt>
                <c:pt idx="58">
                  <c:v>2.0211734522876235</c:v>
                </c:pt>
                <c:pt idx="59">
                  <c:v>2.1222321249020046</c:v>
                </c:pt>
              </c:numCache>
            </c:numRef>
          </c:xVal>
          <c:yVal>
            <c:numRef>
              <c:f>Tmin!$B$21:$B$80</c:f>
              <c:numCache>
                <c:formatCode>General</c:formatCode>
                <c:ptCount val="60"/>
                <c:pt idx="0">
                  <c:v>2076465.4552163035</c:v>
                </c:pt>
                <c:pt idx="1">
                  <c:v>1517.9657134203069</c:v>
                </c:pt>
                <c:pt idx="2">
                  <c:v>-80.188353594394869</c:v>
                </c:pt>
                <c:pt idx="3">
                  <c:v>-508.51862884628804</c:v>
                </c:pt>
                <c:pt idx="4">
                  <c:v>-655.14804481453552</c:v>
                </c:pt>
                <c:pt idx="5">
                  <c:v>-696.83162949643213</c:v>
                </c:pt>
                <c:pt idx="6">
                  <c:v>-691.70182164006428</c:v>
                </c:pt>
                <c:pt idx="7">
                  <c:v>-664.06064147209338</c:v>
                </c:pt>
                <c:pt idx="8">
                  <c:v>-625.58327291741477</c:v>
                </c:pt>
                <c:pt idx="9">
                  <c:v>-582.38219481439432</c:v>
                </c:pt>
                <c:pt idx="10">
                  <c:v>-537.82840886361726</c:v>
                </c:pt>
                <c:pt idx="11">
                  <c:v>-493.82988539783969</c:v>
                </c:pt>
                <c:pt idx="12">
                  <c:v>-451.46747463973242</c:v>
                </c:pt>
                <c:pt idx="13">
                  <c:v>-411.33456413680381</c:v>
                </c:pt>
                <c:pt idx="14">
                  <c:v>-373.7288780874394</c:v>
                </c:pt>
                <c:pt idx="15">
                  <c:v>-338.76565009016298</c:v>
                </c:pt>
                <c:pt idx="16">
                  <c:v>-306.44676459879514</c:v>
                </c:pt>
                <c:pt idx="17">
                  <c:v>-276.70416351410762</c:v>
                </c:pt>
                <c:pt idx="18">
                  <c:v>-249.42766617949397</c:v>
                </c:pt>
                <c:pt idx="19">
                  <c:v>-224.4830639236487</c:v>
                </c:pt>
                <c:pt idx="20">
                  <c:v>-201.72399368175147</c:v>
                </c:pt>
                <c:pt idx="21">
                  <c:v>-180.99974976449835</c:v>
                </c:pt>
                <c:pt idx="22">
                  <c:v>-162.16039882830205</c:v>
                </c:pt>
                <c:pt idx="23">
                  <c:v>-145.06008068096438</c:v>
                </c:pt>
                <c:pt idx="24">
                  <c:v>-129.55907681969109</c:v>
                </c:pt>
                <c:pt idx="25">
                  <c:v>-115.52503679513204</c:v>
                </c:pt>
                <c:pt idx="26">
                  <c:v>-102.83362766250477</c:v>
                </c:pt>
                <c:pt idx="27">
                  <c:v>-91.368789057229662</c:v>
                </c:pt>
                <c:pt idx="28">
                  <c:v>-81.022720728691041</c:v>
                </c:pt>
                <c:pt idx="29">
                  <c:v>-71.695691320872768</c:v>
                </c:pt>
                <c:pt idx="30">
                  <c:v>-63.295730878410616</c:v>
                </c:pt>
                <c:pt idx="31">
                  <c:v>-55.738251162712729</c:v>
                </c:pt>
                <c:pt idx="32">
                  <c:v>-48.945624882721091</c:v>
                </c:pt>
                <c:pt idx="33">
                  <c:v>-42.84674571318282</c:v>
                </c:pt>
                <c:pt idx="34">
                  <c:v>-37.376584365865767</c:v>
                </c:pt>
                <c:pt idx="35">
                  <c:v>-32.475751227379227</c:v>
                </c:pt>
                <c:pt idx="36">
                  <c:v>-28.090072649310937</c:v>
                </c:pt>
                <c:pt idx="37">
                  <c:v>-24.170185500223642</c:v>
                </c:pt>
                <c:pt idx="38">
                  <c:v>-20.671152801786612</c:v>
                </c:pt>
                <c:pt idx="39">
                  <c:v>-17.552101985493778</c:v>
                </c:pt>
                <c:pt idx="40">
                  <c:v>-14.775886387255078</c:v>
                </c:pt>
                <c:pt idx="41">
                  <c:v>-12.30876994699363</c:v>
                </c:pt>
                <c:pt idx="42">
                  <c:v>-10.120134628020196</c:v>
                </c:pt>
                <c:pt idx="43">
                  <c:v>-8.1822097641360365</c:v>
                </c:pt>
                <c:pt idx="44">
                  <c:v>-6.4698223426007466</c:v>
                </c:pt>
                <c:pt idx="45">
                  <c:v>-4.9601671097483813</c:v>
                </c:pt>
                <c:pt idx="46">
                  <c:v>-3.6325953219270559</c:v>
                </c:pt>
                <c:pt idx="47">
                  <c:v>-2.4684209417608192</c:v>
                </c:pt>
                <c:pt idx="48">
                  <c:v>-1.4507430866825779</c:v>
                </c:pt>
                <c:pt idx="49">
                  <c:v>-0.56428356444504291</c:v>
                </c:pt>
                <c:pt idx="50">
                  <c:v>0.20476162770182327</c:v>
                </c:pt>
                <c:pt idx="51">
                  <c:v>0.86885791217815944</c:v>
                </c:pt>
                <c:pt idx="52">
                  <c:v>1.4392558636212289</c:v>
                </c:pt>
                <c:pt idx="53">
                  <c:v>1.9261040198814976</c:v>
                </c:pt>
                <c:pt idx="54">
                  <c:v>2.3385516655489935</c:v>
                </c:pt>
                <c:pt idx="55">
                  <c:v>2.6848424215004356</c:v>
                </c:pt>
                <c:pt idx="56">
                  <c:v>2.9723994147729469</c:v>
                </c:pt>
                <c:pt idx="57">
                  <c:v>3.2079027459868099</c:v>
                </c:pt>
                <c:pt idx="58">
                  <c:v>3.3973599170198518</c:v>
                </c:pt>
                <c:pt idx="59">
                  <c:v>3.5461698299644047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Tmin!$B$15</c:f>
              <c:numCache>
                <c:formatCode>0.000</c:formatCode>
                <c:ptCount val="1"/>
                <c:pt idx="0">
                  <c:v>0.13085271658314221</c:v>
                </c:pt>
              </c:numCache>
            </c:numRef>
          </c:xVal>
          <c:yVal>
            <c:numRef>
              <c:f>Tmin!$I$3</c:f>
              <c:numCache>
                <c:formatCode>General</c:formatCode>
                <c:ptCount val="1"/>
                <c:pt idx="0">
                  <c:v>8.0836149165030638E-3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Tmin!$B$18</c:f>
              <c:numCache>
                <c:formatCode>0.000</c:formatCode>
                <c:ptCount val="1"/>
                <c:pt idx="0">
                  <c:v>1.3501176877166472</c:v>
                </c:pt>
              </c:numCache>
            </c:numRef>
          </c:xVal>
          <c:yVal>
            <c:numRef>
              <c:f>Tmin!$I$3</c:f>
              <c:numCache>
                <c:formatCode>General</c:formatCode>
                <c:ptCount val="1"/>
                <c:pt idx="0">
                  <c:v>8.0836149165030638E-3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Tmin!$B$16</c:f>
              <c:numCache>
                <c:formatCode>0</c:formatCode>
                <c:ptCount val="1"/>
                <c:pt idx="0">
                  <c:v>2570.0466781979353</c:v>
                </c:pt>
              </c:numCache>
            </c:numRef>
          </c:xVal>
          <c:yVal>
            <c:numRef>
              <c:f>Tmin!$I$3</c:f>
              <c:numCache>
                <c:formatCode>General</c:formatCode>
                <c:ptCount val="1"/>
                <c:pt idx="0">
                  <c:v>8.0836149165030638E-3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905664"/>
        <c:axId val="157907968"/>
      </c:scatterChart>
      <c:valAx>
        <c:axId val="157905664"/>
        <c:scaling>
          <c:logBase val="10"/>
          <c:orientation val="minMax"/>
          <c:max val="10000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Volume, </a:t>
                </a:r>
                <a:r>
                  <a:rPr lang="en-ZA" sz="120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</a:t>
                </a:r>
                <a:r>
                  <a:rPr lang="en-ZA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</a:t>
                </a:r>
                <a:r>
                  <a:rPr lang="en-ZA" sz="1200" b="0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ZA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/mol]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0.38755096077858459"/>
              <c:y val="0.88683172121738829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7907968"/>
        <c:crossesAt val="-1000000"/>
        <c:crossBetween val="midCat"/>
        <c:minorUnit val="10"/>
      </c:valAx>
      <c:valAx>
        <c:axId val="157907968"/>
        <c:scaling>
          <c:orientation val="minMax"/>
          <c:max val="100"/>
          <c:min val="-1000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Pressure, </a:t>
                </a:r>
                <a:r>
                  <a:rPr lang="en-ZA" sz="120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</a:t>
                </a:r>
                <a:r>
                  <a:rPr lang="en-ZA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[bar]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2.4096432794523396E-2"/>
              <c:y val="0.232510404866739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7905664"/>
        <c:crossesAt val="1E-3"/>
        <c:crossBetween val="midCat"/>
        <c:majorUnit val="100"/>
        <c:minorUnit val="5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ZA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2</a:t>
            </a: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ZA"/>
          </a:p>
        </c:rich>
      </c:tx>
      <c:layout>
        <c:manualLayout>
          <c:xMode val="edge"/>
          <c:yMode val="edge"/>
          <c:x val="0.65991902834008098"/>
          <c:y val="0.21739130434782608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50202429149797"/>
          <c:y val="3.6521739130434785E-2"/>
          <c:w val="0.72672064777327938"/>
          <c:h val="0.8086956521739130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'T2'!$A$21:$A$80</c:f>
              <c:numCache>
                <c:formatCode>0.000</c:formatCode>
                <c:ptCount val="60"/>
                <c:pt idx="0">
                  <c:v>0.125</c:v>
                </c:pt>
                <c:pt idx="1">
                  <c:v>0.13</c:v>
                </c:pt>
                <c:pt idx="2">
                  <c:v>0.13500000000000001</c:v>
                </c:pt>
                <c:pt idx="3">
                  <c:v>0.14000000000000001</c:v>
                </c:pt>
                <c:pt idx="4">
                  <c:v>0.14499999999999999</c:v>
                </c:pt>
                <c:pt idx="5">
                  <c:v>0.15</c:v>
                </c:pt>
                <c:pt idx="6">
                  <c:v>0.151</c:v>
                </c:pt>
                <c:pt idx="7">
                  <c:v>0.152</c:v>
                </c:pt>
                <c:pt idx="8">
                  <c:v>0.153</c:v>
                </c:pt>
                <c:pt idx="9">
                  <c:v>0.154</c:v>
                </c:pt>
                <c:pt idx="10">
                  <c:v>0.155</c:v>
                </c:pt>
                <c:pt idx="11">
                  <c:v>0.156</c:v>
                </c:pt>
                <c:pt idx="12">
                  <c:v>0.157</c:v>
                </c:pt>
                <c:pt idx="13">
                  <c:v>0.158</c:v>
                </c:pt>
                <c:pt idx="14">
                  <c:v>0.159</c:v>
                </c:pt>
                <c:pt idx="15">
                  <c:v>0.16</c:v>
                </c:pt>
                <c:pt idx="16">
                  <c:v>0.16500000000000001</c:v>
                </c:pt>
                <c:pt idx="17">
                  <c:v>0.17</c:v>
                </c:pt>
                <c:pt idx="18">
                  <c:v>0.17499999999999999</c:v>
                </c:pt>
                <c:pt idx="19">
                  <c:v>0.18</c:v>
                </c:pt>
                <c:pt idx="20">
                  <c:v>0.19</c:v>
                </c:pt>
                <c:pt idx="21">
                  <c:v>0.2</c:v>
                </c:pt>
                <c:pt idx="22">
                  <c:v>0.25</c:v>
                </c:pt>
                <c:pt idx="23">
                  <c:v>0.3</c:v>
                </c:pt>
                <c:pt idx="24">
                  <c:v>0.375</c:v>
                </c:pt>
                <c:pt idx="25">
                  <c:v>0.46875</c:v>
                </c:pt>
                <c:pt idx="26">
                  <c:v>0.5859375</c:v>
                </c:pt>
                <c:pt idx="27">
                  <c:v>0.732421875</c:v>
                </c:pt>
                <c:pt idx="28">
                  <c:v>0.91552734375</c:v>
                </c:pt>
                <c:pt idx="29">
                  <c:v>1.1444091796875</c:v>
                </c:pt>
                <c:pt idx="30">
                  <c:v>1.430511474609375</c:v>
                </c:pt>
                <c:pt idx="31">
                  <c:v>1.7881393432617188</c:v>
                </c:pt>
                <c:pt idx="32">
                  <c:v>2.2351741790771484</c:v>
                </c:pt>
                <c:pt idx="33">
                  <c:v>2.7939677238464355</c:v>
                </c:pt>
                <c:pt idx="34">
                  <c:v>3.4924596548080444</c:v>
                </c:pt>
                <c:pt idx="35">
                  <c:v>4.3655745685100555</c:v>
                </c:pt>
                <c:pt idx="36">
                  <c:v>5.4569682106375694</c:v>
                </c:pt>
                <c:pt idx="37">
                  <c:v>6.8212102632969618</c:v>
                </c:pt>
                <c:pt idx="38">
                  <c:v>8.5265128291212022</c:v>
                </c:pt>
                <c:pt idx="39">
                  <c:v>10.658141036401503</c:v>
                </c:pt>
                <c:pt idx="40">
                  <c:v>13.322676295501878</c:v>
                </c:pt>
                <c:pt idx="41">
                  <c:v>16.653345369377348</c:v>
                </c:pt>
                <c:pt idx="42">
                  <c:v>20.816681711721685</c:v>
                </c:pt>
                <c:pt idx="43">
                  <c:v>26.020852139652106</c:v>
                </c:pt>
                <c:pt idx="44">
                  <c:v>32.526065174565133</c:v>
                </c:pt>
                <c:pt idx="45">
                  <c:v>40.657581468206416</c:v>
                </c:pt>
                <c:pt idx="46">
                  <c:v>50.82197683525802</c:v>
                </c:pt>
                <c:pt idx="47">
                  <c:v>63.527471044072527</c:v>
                </c:pt>
                <c:pt idx="48">
                  <c:v>79.409338805090655</c:v>
                </c:pt>
                <c:pt idx="49">
                  <c:v>99.261673506363323</c:v>
                </c:pt>
                <c:pt idx="50">
                  <c:v>124.07709188295415</c:v>
                </c:pt>
                <c:pt idx="51">
                  <c:v>155.09636485369268</c:v>
                </c:pt>
                <c:pt idx="52">
                  <c:v>193.87045606711584</c:v>
                </c:pt>
                <c:pt idx="53">
                  <c:v>242.33807008389479</c:v>
                </c:pt>
                <c:pt idx="54">
                  <c:v>302.92258760486851</c:v>
                </c:pt>
                <c:pt idx="55">
                  <c:v>378.65323450608565</c:v>
                </c:pt>
                <c:pt idx="56">
                  <c:v>473.31654313260708</c:v>
                </c:pt>
                <c:pt idx="57">
                  <c:v>591.64567891575882</c:v>
                </c:pt>
                <c:pt idx="58">
                  <c:v>739.5570986446985</c:v>
                </c:pt>
                <c:pt idx="59">
                  <c:v>924.44637330587307</c:v>
                </c:pt>
              </c:numCache>
            </c:numRef>
          </c:xVal>
          <c:yVal>
            <c:numRef>
              <c:f>'T2'!$B$21:$B$80</c:f>
              <c:numCache>
                <c:formatCode>General</c:formatCode>
                <c:ptCount val="60"/>
                <c:pt idx="0">
                  <c:v>1856.3137066654756</c:v>
                </c:pt>
                <c:pt idx="1">
                  <c:v>234.38181131516379</c:v>
                </c:pt>
                <c:pt idx="2">
                  <c:v>-278.57873070801111</c:v>
                </c:pt>
                <c:pt idx="3">
                  <c:v>-494.88721694051509</c:v>
                </c:pt>
                <c:pt idx="4">
                  <c:v>-593.70705503833267</c:v>
                </c:pt>
                <c:pt idx="5">
                  <c:v>-636.63551563744977</c:v>
                </c:pt>
                <c:pt idx="6">
                  <c:v>-641.14922694986478</c:v>
                </c:pt>
                <c:pt idx="7">
                  <c:v>-644.65277180339285</c:v>
                </c:pt>
                <c:pt idx="8">
                  <c:v>-647.25795681847251</c:v>
                </c:pt>
                <c:pt idx="9">
                  <c:v>-649.06295343540774</c:v>
                </c:pt>
                <c:pt idx="10">
                  <c:v>-650.15423662189073</c:v>
                </c:pt>
                <c:pt idx="11">
                  <c:v>-650.60820540503448</c:v>
                </c:pt>
                <c:pt idx="12">
                  <c:v>-650.49254435130001</c:v>
                </c:pt>
                <c:pt idx="13">
                  <c:v>-649.86737289651546</c:v>
                </c:pt>
                <c:pt idx="14">
                  <c:v>-648.7862199767809</c:v>
                </c:pt>
                <c:pt idx="15">
                  <c:v>-647.29685404910879</c:v>
                </c:pt>
                <c:pt idx="16">
                  <c:v>-635.07702778666999</c:v>
                </c:pt>
                <c:pt idx="17">
                  <c:v>-617.50850052224473</c:v>
                </c:pt>
                <c:pt idx="18">
                  <c:v>-596.98921874045413</c:v>
                </c:pt>
                <c:pt idx="19">
                  <c:v>-574.99459641341889</c:v>
                </c:pt>
                <c:pt idx="20">
                  <c:v>-529.93754722195195</c:v>
                </c:pt>
                <c:pt idx="21">
                  <c:v>-486.34772396732171</c:v>
                </c:pt>
                <c:pt idx="22">
                  <c:v>-317.3000572935008</c:v>
                </c:pt>
                <c:pt idx="23">
                  <c:v>-215.56552595632078</c:v>
                </c:pt>
                <c:pt idx="24">
                  <c:v>-129.97220273571122</c:v>
                </c:pt>
                <c:pt idx="25">
                  <c:v>-75.417235700474976</c:v>
                </c:pt>
                <c:pt idx="26">
                  <c:v>-41.523274712269824</c:v>
                </c:pt>
                <c:pt idx="27">
                  <c:v>-20.958108195314864</c:v>
                </c:pt>
                <c:pt idx="28">
                  <c:v>-8.8224204078353345</c:v>
                </c:pt>
                <c:pt idx="29">
                  <c:v>-1.9294239081593743</c:v>
                </c:pt>
                <c:pt idx="30">
                  <c:v>1.7594284552960948</c:v>
                </c:pt>
                <c:pt idx="31">
                  <c:v>3.5313277470427784</c:v>
                </c:pt>
                <c:pt idx="32">
                  <c:v>4.1890741089785397</c:v>
                </c:pt>
                <c:pt idx="33">
                  <c:v>4.2265749075003418</c:v>
                </c:pt>
                <c:pt idx="34">
                  <c:v>3.9426235777758496</c:v>
                </c:pt>
                <c:pt idx="35">
                  <c:v>3.5139504417565646</c:v>
                </c:pt>
                <c:pt idx="36">
                  <c:v>3.0417554189154781</c:v>
                </c:pt>
                <c:pt idx="37">
                  <c:v>2.5811311656714881</c:v>
                </c:pt>
                <c:pt idx="38">
                  <c:v>2.1595238394317993</c:v>
                </c:pt>
                <c:pt idx="39">
                  <c:v>1.7882125171799144</c:v>
                </c:pt>
                <c:pt idx="40">
                  <c:v>1.4693687750553317</c:v>
                </c:pt>
                <c:pt idx="41">
                  <c:v>1.2003358660708676</c:v>
                </c:pt>
                <c:pt idx="42">
                  <c:v>0.97617174226376735</c:v>
                </c:pt>
                <c:pt idx="43">
                  <c:v>0.7911178472718069</c:v>
                </c:pt>
                <c:pt idx="44">
                  <c:v>0.63941104448058694</c:v>
                </c:pt>
                <c:pt idx="45">
                  <c:v>0.51570021795744803</c:v>
                </c:pt>
                <c:pt idx="46">
                  <c:v>0.41523019201123013</c:v>
                </c:pt>
                <c:pt idx="47">
                  <c:v>0.33389313505471896</c:v>
                </c:pt>
                <c:pt idx="48">
                  <c:v>0.26820834316234043</c:v>
                </c:pt>
                <c:pt idx="49">
                  <c:v>0.21526677349524304</c:v>
                </c:pt>
                <c:pt idx="50">
                  <c:v>0.17266150489175744</c:v>
                </c:pt>
                <c:pt idx="51">
                  <c:v>0.13841599065797383</c:v>
                </c:pt>
                <c:pt idx="52">
                  <c:v>0.11091634200082895</c:v>
                </c:pt>
                <c:pt idx="53">
                  <c:v>8.8850548313337607E-2</c:v>
                </c:pt>
                <c:pt idx="54">
                  <c:v>7.1155624027297137E-2</c:v>
                </c:pt>
                <c:pt idx="55">
                  <c:v>5.697261866162294E-2</c:v>
                </c:pt>
                <c:pt idx="56">
                  <c:v>4.5608891779619534E-2</c:v>
                </c:pt>
                <c:pt idx="57">
                  <c:v>3.6506823617196565E-2</c:v>
                </c:pt>
                <c:pt idx="58">
                  <c:v>2.9218073524740609E-2</c:v>
                </c:pt>
                <c:pt idx="59">
                  <c:v>2.3382532238472184E-2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'T2'!$B$15</c:f>
              <c:numCache>
                <c:formatCode>0.000</c:formatCode>
                <c:ptCount val="1"/>
                <c:pt idx="0">
                  <c:v>0.13173101900813594</c:v>
                </c:pt>
              </c:numCache>
            </c:numRef>
          </c:xVal>
          <c:yVal>
            <c:numRef>
              <c:f>'T2'!$I$3</c:f>
              <c:numCache>
                <c:formatCode>General</c:formatCode>
                <c:ptCount val="1"/>
                <c:pt idx="0">
                  <c:v>1.6207266195744433E-2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'T2'!$B$18</c:f>
              <c:numCache>
                <c:formatCode>0.000</c:formatCode>
                <c:ptCount val="1"/>
                <c:pt idx="0">
                  <c:v>1.263792368503573</c:v>
                </c:pt>
              </c:numCache>
            </c:numRef>
          </c:xVal>
          <c:yVal>
            <c:numRef>
              <c:f>'T2'!$I$3</c:f>
              <c:numCache>
                <c:formatCode>General</c:formatCode>
                <c:ptCount val="1"/>
                <c:pt idx="0">
                  <c:v>1.6207266195744433E-2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'T2'!$B$16</c:f>
              <c:numCache>
                <c:formatCode>0</c:formatCode>
                <c:ptCount val="1"/>
                <c:pt idx="0">
                  <c:v>1334.2822139223372</c:v>
                </c:pt>
              </c:numCache>
            </c:numRef>
          </c:xVal>
          <c:yVal>
            <c:numRef>
              <c:f>'T2'!$I$3</c:f>
              <c:numCache>
                <c:formatCode>General</c:formatCode>
                <c:ptCount val="1"/>
                <c:pt idx="0">
                  <c:v>1.6207266195744433E-2</c:v>
                </c:pt>
              </c:numCache>
            </c:numRef>
          </c:yVal>
          <c:smooth val="0"/>
        </c:ser>
        <c:ser>
          <c:idx val="4"/>
          <c:order val="4"/>
          <c:spPr>
            <a:ln w="28575">
              <a:noFill/>
            </a:ln>
          </c:spPr>
          <c:marker>
            <c:symbol val="circ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'T2'!$A$21:$A$86</c:f>
              <c:numCache>
                <c:formatCode>0.000</c:formatCode>
                <c:ptCount val="66"/>
                <c:pt idx="0">
                  <c:v>0.125</c:v>
                </c:pt>
                <c:pt idx="1">
                  <c:v>0.13</c:v>
                </c:pt>
                <c:pt idx="2">
                  <c:v>0.13500000000000001</c:v>
                </c:pt>
                <c:pt idx="3">
                  <c:v>0.14000000000000001</c:v>
                </c:pt>
                <c:pt idx="4">
                  <c:v>0.14499999999999999</c:v>
                </c:pt>
                <c:pt idx="5">
                  <c:v>0.15</c:v>
                </c:pt>
                <c:pt idx="6">
                  <c:v>0.151</c:v>
                </c:pt>
                <c:pt idx="7">
                  <c:v>0.152</c:v>
                </c:pt>
                <c:pt idx="8">
                  <c:v>0.153</c:v>
                </c:pt>
                <c:pt idx="9">
                  <c:v>0.154</c:v>
                </c:pt>
                <c:pt idx="10">
                  <c:v>0.155</c:v>
                </c:pt>
                <c:pt idx="11">
                  <c:v>0.156</c:v>
                </c:pt>
                <c:pt idx="12">
                  <c:v>0.157</c:v>
                </c:pt>
                <c:pt idx="13">
                  <c:v>0.158</c:v>
                </c:pt>
                <c:pt idx="14">
                  <c:v>0.159</c:v>
                </c:pt>
                <c:pt idx="15">
                  <c:v>0.16</c:v>
                </c:pt>
                <c:pt idx="16">
                  <c:v>0.16500000000000001</c:v>
                </c:pt>
                <c:pt idx="17">
                  <c:v>0.17</c:v>
                </c:pt>
                <c:pt idx="18">
                  <c:v>0.17499999999999999</c:v>
                </c:pt>
                <c:pt idx="19">
                  <c:v>0.18</c:v>
                </c:pt>
                <c:pt idx="20">
                  <c:v>0.19</c:v>
                </c:pt>
                <c:pt idx="21">
                  <c:v>0.2</c:v>
                </c:pt>
                <c:pt idx="22">
                  <c:v>0.25</c:v>
                </c:pt>
                <c:pt idx="23">
                  <c:v>0.3</c:v>
                </c:pt>
                <c:pt idx="24">
                  <c:v>0.375</c:v>
                </c:pt>
                <c:pt idx="25">
                  <c:v>0.46875</c:v>
                </c:pt>
                <c:pt idx="26">
                  <c:v>0.5859375</c:v>
                </c:pt>
                <c:pt idx="27">
                  <c:v>0.732421875</c:v>
                </c:pt>
                <c:pt idx="28">
                  <c:v>0.91552734375</c:v>
                </c:pt>
                <c:pt idx="29">
                  <c:v>1.1444091796875</c:v>
                </c:pt>
                <c:pt idx="30">
                  <c:v>1.430511474609375</c:v>
                </c:pt>
                <c:pt idx="31">
                  <c:v>1.7881393432617188</c:v>
                </c:pt>
                <c:pt idx="32">
                  <c:v>2.2351741790771484</c:v>
                </c:pt>
                <c:pt idx="33">
                  <c:v>2.7939677238464355</c:v>
                </c:pt>
                <c:pt idx="34">
                  <c:v>3.4924596548080444</c:v>
                </c:pt>
                <c:pt idx="35">
                  <c:v>4.3655745685100555</c:v>
                </c:pt>
                <c:pt idx="36">
                  <c:v>5.4569682106375694</c:v>
                </c:pt>
                <c:pt idx="37">
                  <c:v>6.8212102632969618</c:v>
                </c:pt>
                <c:pt idx="38">
                  <c:v>8.5265128291212022</c:v>
                </c:pt>
                <c:pt idx="39">
                  <c:v>10.658141036401503</c:v>
                </c:pt>
                <c:pt idx="40">
                  <c:v>13.322676295501878</c:v>
                </c:pt>
                <c:pt idx="41">
                  <c:v>16.653345369377348</c:v>
                </c:pt>
                <c:pt idx="42">
                  <c:v>20.816681711721685</c:v>
                </c:pt>
                <c:pt idx="43">
                  <c:v>26.020852139652106</c:v>
                </c:pt>
                <c:pt idx="44">
                  <c:v>32.526065174565133</c:v>
                </c:pt>
                <c:pt idx="45">
                  <c:v>40.657581468206416</c:v>
                </c:pt>
                <c:pt idx="46">
                  <c:v>50.82197683525802</c:v>
                </c:pt>
                <c:pt idx="47">
                  <c:v>63.527471044072527</c:v>
                </c:pt>
                <c:pt idx="48">
                  <c:v>79.409338805090655</c:v>
                </c:pt>
                <c:pt idx="49">
                  <c:v>99.261673506363323</c:v>
                </c:pt>
                <c:pt idx="50">
                  <c:v>124.07709188295415</c:v>
                </c:pt>
                <c:pt idx="51">
                  <c:v>155.09636485369268</c:v>
                </c:pt>
                <c:pt idx="52">
                  <c:v>193.87045606711584</c:v>
                </c:pt>
                <c:pt idx="53">
                  <c:v>242.33807008389479</c:v>
                </c:pt>
                <c:pt idx="54">
                  <c:v>302.92258760486851</c:v>
                </c:pt>
                <c:pt idx="55">
                  <c:v>378.65323450608565</c:v>
                </c:pt>
                <c:pt idx="56">
                  <c:v>473.31654313260708</c:v>
                </c:pt>
                <c:pt idx="57">
                  <c:v>591.64567891575882</c:v>
                </c:pt>
                <c:pt idx="58">
                  <c:v>739.5570986446985</c:v>
                </c:pt>
                <c:pt idx="59">
                  <c:v>924.44637330587307</c:v>
                </c:pt>
                <c:pt idx="60">
                  <c:v>1155.5579666323413</c:v>
                </c:pt>
                <c:pt idx="61">
                  <c:v>1444.4474582904265</c:v>
                </c:pt>
                <c:pt idx="62">
                  <c:v>1805.5593228630332</c:v>
                </c:pt>
                <c:pt idx="63">
                  <c:v>2256.9491535787915</c:v>
                </c:pt>
                <c:pt idx="64">
                  <c:v>2821.1864419734893</c:v>
                </c:pt>
                <c:pt idx="65">
                  <c:v>3526.4830524668614</c:v>
                </c:pt>
              </c:numCache>
            </c:numRef>
          </c:xVal>
          <c:yVal>
            <c:numRef>
              <c:f>'T2'!$B$21:$B$86</c:f>
              <c:numCache>
                <c:formatCode>General</c:formatCode>
                <c:ptCount val="66"/>
                <c:pt idx="0">
                  <c:v>1856.3137066654756</c:v>
                </c:pt>
                <c:pt idx="1">
                  <c:v>234.38181131516379</c:v>
                </c:pt>
                <c:pt idx="2">
                  <c:v>-278.57873070801111</c:v>
                </c:pt>
                <c:pt idx="3">
                  <c:v>-494.88721694051509</c:v>
                </c:pt>
                <c:pt idx="4">
                  <c:v>-593.70705503833267</c:v>
                </c:pt>
                <c:pt idx="5">
                  <c:v>-636.63551563744977</c:v>
                </c:pt>
                <c:pt idx="6">
                  <c:v>-641.14922694986478</c:v>
                </c:pt>
                <c:pt idx="7">
                  <c:v>-644.65277180339285</c:v>
                </c:pt>
                <c:pt idx="8">
                  <c:v>-647.25795681847251</c:v>
                </c:pt>
                <c:pt idx="9">
                  <c:v>-649.06295343540774</c:v>
                </c:pt>
                <c:pt idx="10">
                  <c:v>-650.15423662189073</c:v>
                </c:pt>
                <c:pt idx="11">
                  <c:v>-650.60820540503448</c:v>
                </c:pt>
                <c:pt idx="12">
                  <c:v>-650.49254435130001</c:v>
                </c:pt>
                <c:pt idx="13">
                  <c:v>-649.86737289651546</c:v>
                </c:pt>
                <c:pt idx="14">
                  <c:v>-648.7862199767809</c:v>
                </c:pt>
                <c:pt idx="15">
                  <c:v>-647.29685404910879</c:v>
                </c:pt>
                <c:pt idx="16">
                  <c:v>-635.07702778666999</c:v>
                </c:pt>
                <c:pt idx="17">
                  <c:v>-617.50850052224473</c:v>
                </c:pt>
                <c:pt idx="18">
                  <c:v>-596.98921874045413</c:v>
                </c:pt>
                <c:pt idx="19">
                  <c:v>-574.99459641341889</c:v>
                </c:pt>
                <c:pt idx="20">
                  <c:v>-529.93754722195195</c:v>
                </c:pt>
                <c:pt idx="21">
                  <c:v>-486.34772396732171</c:v>
                </c:pt>
                <c:pt idx="22">
                  <c:v>-317.3000572935008</c:v>
                </c:pt>
                <c:pt idx="23">
                  <c:v>-215.56552595632078</c:v>
                </c:pt>
                <c:pt idx="24">
                  <c:v>-129.97220273571122</c:v>
                </c:pt>
                <c:pt idx="25">
                  <c:v>-75.417235700474976</c:v>
                </c:pt>
                <c:pt idx="26">
                  <c:v>-41.523274712269824</c:v>
                </c:pt>
                <c:pt idx="27">
                  <c:v>-20.958108195314864</c:v>
                </c:pt>
                <c:pt idx="28">
                  <c:v>-8.8224204078353345</c:v>
                </c:pt>
                <c:pt idx="29">
                  <c:v>-1.9294239081593743</c:v>
                </c:pt>
                <c:pt idx="30">
                  <c:v>1.7594284552960948</c:v>
                </c:pt>
                <c:pt idx="31">
                  <c:v>3.5313277470427784</c:v>
                </c:pt>
                <c:pt idx="32">
                  <c:v>4.1890741089785397</c:v>
                </c:pt>
                <c:pt idx="33">
                  <c:v>4.2265749075003418</c:v>
                </c:pt>
                <c:pt idx="34">
                  <c:v>3.9426235777758496</c:v>
                </c:pt>
                <c:pt idx="35">
                  <c:v>3.5139504417565646</c:v>
                </c:pt>
                <c:pt idx="36">
                  <c:v>3.0417554189154781</c:v>
                </c:pt>
                <c:pt idx="37">
                  <c:v>2.5811311656714881</c:v>
                </c:pt>
                <c:pt idx="38">
                  <c:v>2.1595238394317993</c:v>
                </c:pt>
                <c:pt idx="39">
                  <c:v>1.7882125171799144</c:v>
                </c:pt>
                <c:pt idx="40">
                  <c:v>1.4693687750553317</c:v>
                </c:pt>
                <c:pt idx="41">
                  <c:v>1.2003358660708676</c:v>
                </c:pt>
                <c:pt idx="42">
                  <c:v>0.97617174226376735</c:v>
                </c:pt>
                <c:pt idx="43">
                  <c:v>0.7911178472718069</c:v>
                </c:pt>
                <c:pt idx="44">
                  <c:v>0.63941104448058694</c:v>
                </c:pt>
                <c:pt idx="45">
                  <c:v>0.51570021795744803</c:v>
                </c:pt>
                <c:pt idx="46">
                  <c:v>0.41523019201123013</c:v>
                </c:pt>
                <c:pt idx="47">
                  <c:v>0.33389313505471896</c:v>
                </c:pt>
                <c:pt idx="48">
                  <c:v>0.26820834316234043</c:v>
                </c:pt>
                <c:pt idx="49">
                  <c:v>0.21526677349524304</c:v>
                </c:pt>
                <c:pt idx="50">
                  <c:v>0.17266150489175744</c:v>
                </c:pt>
                <c:pt idx="51">
                  <c:v>0.13841599065797383</c:v>
                </c:pt>
                <c:pt idx="52">
                  <c:v>0.11091634200082895</c:v>
                </c:pt>
                <c:pt idx="53">
                  <c:v>8.8850548313337607E-2</c:v>
                </c:pt>
                <c:pt idx="54">
                  <c:v>7.1155624027297137E-2</c:v>
                </c:pt>
                <c:pt idx="55">
                  <c:v>5.697261866162294E-2</c:v>
                </c:pt>
                <c:pt idx="56">
                  <c:v>4.5608891779619534E-2</c:v>
                </c:pt>
                <c:pt idx="57">
                  <c:v>3.6506823617196565E-2</c:v>
                </c:pt>
                <c:pt idx="58">
                  <c:v>2.9218073524740609E-2</c:v>
                </c:pt>
                <c:pt idx="59">
                  <c:v>2.3382532238472184E-2</c:v>
                </c:pt>
                <c:pt idx="60">
                  <c:v>1.8711192806813364E-2</c:v>
                </c:pt>
                <c:pt idx="61">
                  <c:v>1.4972261150089629E-2</c:v>
                </c:pt>
                <c:pt idx="62">
                  <c:v>1.1979925346400746E-2</c:v>
                </c:pt>
                <c:pt idx="63">
                  <c:v>9.5852947937393757E-3</c:v>
                </c:pt>
                <c:pt idx="64">
                  <c:v>7.6691027275567559E-3</c:v>
                </c:pt>
                <c:pt idx="65">
                  <c:v>6.135836994274905E-3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00064"/>
        <c:axId val="161002624"/>
      </c:scatterChart>
      <c:valAx>
        <c:axId val="161000064"/>
        <c:scaling>
          <c:logBase val="10"/>
          <c:orientation val="minMax"/>
          <c:max val="1000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Volume, </a:t>
                </a:r>
                <a:r>
                  <a:rPr lang="en-ZA" sz="1175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</a:t>
                </a: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</a:t>
                </a: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/mol]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0.38259109311740891"/>
              <c:y val="0.90434782608695652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002624"/>
        <c:crossesAt val="-1000000"/>
        <c:crossBetween val="midCat"/>
        <c:minorUnit val="10"/>
      </c:valAx>
      <c:valAx>
        <c:axId val="161002624"/>
        <c:scaling>
          <c:orientation val="minMax"/>
          <c:max val="100"/>
          <c:min val="-700"/>
        </c:scaling>
        <c:delete val="0"/>
        <c:axPos val="l"/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Pressure, </a:t>
                </a:r>
                <a:r>
                  <a:rPr lang="en-ZA" sz="1175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</a:t>
                </a: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[bar]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2.4291497975708502E-2"/>
              <c:y val="0.29043478260869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000064"/>
        <c:crossesAt val="1E-3"/>
        <c:crossBetween val="midCat"/>
        <c:majorUnit val="100"/>
        <c:minorUnit val="5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ZA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3</a:t>
            </a: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ZA"/>
          </a:p>
        </c:rich>
      </c:tx>
      <c:layout>
        <c:manualLayout>
          <c:xMode val="edge"/>
          <c:yMode val="edge"/>
          <c:x val="0.66471766527209797"/>
          <c:y val="0.220141144559679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908391064924782"/>
          <c:y val="4.9180468465460293E-2"/>
          <c:w val="0.74853836793104289"/>
          <c:h val="0.7541005164703911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'T3'!$A$21:$A$80</c:f>
              <c:numCache>
                <c:formatCode>0.000</c:formatCode>
                <c:ptCount val="60"/>
                <c:pt idx="0">
                  <c:v>0.11929554873417722</c:v>
                </c:pt>
                <c:pt idx="1">
                  <c:v>0.14315465848101266</c:v>
                </c:pt>
                <c:pt idx="2">
                  <c:v>0.1717855901772152</c:v>
                </c:pt>
                <c:pt idx="3">
                  <c:v>0.20614270821265823</c:v>
                </c:pt>
                <c:pt idx="4">
                  <c:v>0.24737124985518988</c:v>
                </c:pt>
                <c:pt idx="5">
                  <c:v>0.29684549982622782</c:v>
                </c:pt>
                <c:pt idx="6">
                  <c:v>0.35621459979147335</c:v>
                </c:pt>
                <c:pt idx="7">
                  <c:v>0.42745751974976803</c:v>
                </c:pt>
                <c:pt idx="8">
                  <c:v>0.51294902369972162</c:v>
                </c:pt>
                <c:pt idx="9">
                  <c:v>0.6155388284396659</c:v>
                </c:pt>
                <c:pt idx="10">
                  <c:v>0.73864659412759903</c:v>
                </c:pt>
                <c:pt idx="11">
                  <c:v>0.88637591295311879</c:v>
                </c:pt>
                <c:pt idx="12">
                  <c:v>1.0636510955437426</c:v>
                </c:pt>
                <c:pt idx="13">
                  <c:v>1.2763813146524912</c:v>
                </c:pt>
                <c:pt idx="14">
                  <c:v>1.5316575775829893</c:v>
                </c:pt>
                <c:pt idx="15">
                  <c:v>1.837989093099587</c:v>
                </c:pt>
                <c:pt idx="16">
                  <c:v>2.2055869117195042</c:v>
                </c:pt>
                <c:pt idx="17">
                  <c:v>2.6467042940634049</c:v>
                </c:pt>
                <c:pt idx="18">
                  <c:v>3.1760451528760858</c:v>
                </c:pt>
                <c:pt idx="19">
                  <c:v>3.811254183451303</c:v>
                </c:pt>
                <c:pt idx="20">
                  <c:v>4.573505020141563</c:v>
                </c:pt>
                <c:pt idx="21">
                  <c:v>5.4882060241698758</c:v>
                </c:pt>
                <c:pt idx="22">
                  <c:v>6.5858472290038508</c:v>
                </c:pt>
                <c:pt idx="23">
                  <c:v>7.9030166748046202</c:v>
                </c:pt>
                <c:pt idx="24">
                  <c:v>9.4836200097655432</c:v>
                </c:pt>
                <c:pt idx="25">
                  <c:v>11.380344011718652</c:v>
                </c:pt>
                <c:pt idx="26">
                  <c:v>13.656412814062381</c:v>
                </c:pt>
                <c:pt idx="27">
                  <c:v>16.387695376874856</c:v>
                </c:pt>
                <c:pt idx="28">
                  <c:v>19.665234452249827</c:v>
                </c:pt>
                <c:pt idx="29">
                  <c:v>23.598281342699792</c:v>
                </c:pt>
                <c:pt idx="30">
                  <c:v>28.317937611239749</c:v>
                </c:pt>
                <c:pt idx="31">
                  <c:v>33.9815251334877</c:v>
                </c:pt>
                <c:pt idx="32">
                  <c:v>40.777830160185239</c:v>
                </c:pt>
                <c:pt idx="33">
                  <c:v>48.933396192222283</c:v>
                </c:pt>
                <c:pt idx="34">
                  <c:v>58.720075430666739</c:v>
                </c:pt>
                <c:pt idx="35">
                  <c:v>70.464090516800084</c:v>
                </c:pt>
                <c:pt idx="36">
                  <c:v>84.556908620160101</c:v>
                </c:pt>
                <c:pt idx="37">
                  <c:v>101.46829034419211</c:v>
                </c:pt>
                <c:pt idx="38">
                  <c:v>121.76194841303052</c:v>
                </c:pt>
                <c:pt idx="39">
                  <c:v>146.11433809563661</c:v>
                </c:pt>
                <c:pt idx="40">
                  <c:v>175.33720571476394</c:v>
                </c:pt>
                <c:pt idx="41">
                  <c:v>210.40464685771673</c:v>
                </c:pt>
                <c:pt idx="42">
                  <c:v>252.48557622926006</c:v>
                </c:pt>
                <c:pt idx="43">
                  <c:v>302.98269147511206</c:v>
                </c:pt>
                <c:pt idx="44">
                  <c:v>363.57922977013448</c:v>
                </c:pt>
                <c:pt idx="45">
                  <c:v>436.29507572416134</c:v>
                </c:pt>
                <c:pt idx="46">
                  <c:v>523.55409086899363</c:v>
                </c:pt>
                <c:pt idx="47">
                  <c:v>628.26490904279228</c:v>
                </c:pt>
                <c:pt idx="48">
                  <c:v>753.91789085135076</c:v>
                </c:pt>
                <c:pt idx="49">
                  <c:v>904.70146902162094</c:v>
                </c:pt>
                <c:pt idx="50">
                  <c:v>1085.6417628259451</c:v>
                </c:pt>
                <c:pt idx="51">
                  <c:v>1302.7701153911341</c:v>
                </c:pt>
                <c:pt idx="52">
                  <c:v>1563.3241384693608</c:v>
                </c:pt>
                <c:pt idx="53">
                  <c:v>1875.9889661632328</c:v>
                </c:pt>
                <c:pt idx="54">
                  <c:v>2251.1867593958791</c:v>
                </c:pt>
                <c:pt idx="55">
                  <c:v>2701.4241112750547</c:v>
                </c:pt>
                <c:pt idx="56">
                  <c:v>3241.7089335300657</c:v>
                </c:pt>
                <c:pt idx="57">
                  <c:v>3890.0507202360786</c:v>
                </c:pt>
                <c:pt idx="58">
                  <c:v>4668.060864283294</c:v>
                </c:pt>
                <c:pt idx="59">
                  <c:v>5601.6730371399526</c:v>
                </c:pt>
              </c:numCache>
            </c:numRef>
          </c:xVal>
          <c:yVal>
            <c:numRef>
              <c:f>'T3'!$B$21:$B$80</c:f>
              <c:numCache>
                <c:formatCode>General</c:formatCode>
                <c:ptCount val="60"/>
                <c:pt idx="0">
                  <c:v>2251997.0267145592</c:v>
                </c:pt>
                <c:pt idx="1">
                  <c:v>-499.7679560197235</c:v>
                </c:pt>
                <c:pt idx="2">
                  <c:v>-573.5112937583267</c:v>
                </c:pt>
                <c:pt idx="3">
                  <c:v>-436.91442769841933</c:v>
                </c:pt>
                <c:pt idx="4">
                  <c:v>-307.64988140037684</c:v>
                </c:pt>
                <c:pt idx="5">
                  <c:v>-208.90805483385031</c:v>
                </c:pt>
                <c:pt idx="6">
                  <c:v>-138.09572524703492</c:v>
                </c:pt>
                <c:pt idx="7">
                  <c:v>-88.823842100879631</c:v>
                </c:pt>
                <c:pt idx="8">
                  <c:v>-55.21832495391849</c:v>
                </c:pt>
                <c:pt idx="9">
                  <c:v>-32.687336005965825</c:v>
                </c:pt>
                <c:pt idx="10">
                  <c:v>-17.848943521635238</c:v>
                </c:pt>
                <c:pt idx="11">
                  <c:v>-8.2836597969953338</c:v>
                </c:pt>
                <c:pt idx="12">
                  <c:v>-2.2899373310144484</c:v>
                </c:pt>
                <c:pt idx="13">
                  <c:v>1.3147554441710736</c:v>
                </c:pt>
                <c:pt idx="14">
                  <c:v>3.3444327534341052</c:v>
                </c:pt>
                <c:pt idx="15">
                  <c:v>4.3545113845238532</c:v>
                </c:pt>
                <c:pt idx="16">
                  <c:v>4.7205153013515959</c:v>
                </c:pt>
                <c:pt idx="17">
                  <c:v>4.6937288150132863</c:v>
                </c:pt>
                <c:pt idx="18">
                  <c:v>4.4402082594839074</c:v>
                </c:pt>
                <c:pt idx="19">
                  <c:v>4.0679459048271029</c:v>
                </c:pt>
                <c:pt idx="20">
                  <c:v>3.6456773215260556</c:v>
                </c:pt>
                <c:pt idx="21">
                  <c:v>3.2158344330336126</c:v>
                </c:pt>
                <c:pt idx="22">
                  <c:v>2.8034190365636285</c:v>
                </c:pt>
                <c:pt idx="23">
                  <c:v>2.4220464504396735</c:v>
                </c:pt>
                <c:pt idx="24">
                  <c:v>2.0780344175740275</c:v>
                </c:pt>
                <c:pt idx="25">
                  <c:v>1.7731474525841548</c:v>
                </c:pt>
                <c:pt idx="26">
                  <c:v>1.5064205028726105</c:v>
                </c:pt>
                <c:pt idx="27">
                  <c:v>1.2753553564167099</c:v>
                </c:pt>
                <c:pt idx="28">
                  <c:v>1.0766922424586034</c:v>
                </c:pt>
                <c:pt idx="29">
                  <c:v>0.90689580100836364</c:v>
                </c:pt>
                <c:pt idx="30">
                  <c:v>0.76245072525298763</c:v>
                </c:pt>
                <c:pt idx="31">
                  <c:v>0.64003204432578098</c:v>
                </c:pt>
                <c:pt idx="32">
                  <c:v>0.53659409650555823</c:v>
                </c:pt>
                <c:pt idx="33">
                  <c:v>0.44940786482342182</c:v>
                </c:pt>
                <c:pt idx="34">
                  <c:v>0.37606649843980983</c:v>
                </c:pt>
                <c:pt idx="35">
                  <c:v>0.31447212460743251</c:v>
                </c:pt>
                <c:pt idx="36">
                  <c:v>0.26281249514560689</c:v>
                </c:pt>
                <c:pt idx="37">
                  <c:v>0.21953293371676508</c:v>
                </c:pt>
                <c:pt idx="38">
                  <c:v>0.1833069889931444</c:v>
                </c:pt>
                <c:pt idx="39">
                  <c:v>0.15300783154310557</c:v>
                </c:pt>
                <c:pt idx="40">
                  <c:v>0.12768153666146534</c:v>
                </c:pt>
                <c:pt idx="41">
                  <c:v>0.10652281857062786</c:v>
                </c:pt>
                <c:pt idx="42">
                  <c:v>8.885341863445452E-2</c:v>
                </c:pt>
                <c:pt idx="43">
                  <c:v>7.4103129849765026E-2</c:v>
                </c:pt>
                <c:pt idx="44">
                  <c:v>6.1793313185718658E-2</c:v>
                </c:pt>
                <c:pt idx="45">
                  <c:v>5.1522695340495514E-2</c:v>
                </c:pt>
                <c:pt idx="46">
                  <c:v>4.295520998456049E-2</c:v>
                </c:pt>
                <c:pt idx="47">
                  <c:v>3.5809640749740794E-2</c:v>
                </c:pt>
                <c:pt idx="48">
                  <c:v>2.9850834322127043E-2</c:v>
                </c:pt>
                <c:pt idx="49">
                  <c:v>2.4882269633432434E-2</c:v>
                </c:pt>
                <c:pt idx="50">
                  <c:v>2.0739790247839215E-2</c:v>
                </c:pt>
                <c:pt idx="51">
                  <c:v>1.7286329075768814E-2</c:v>
                </c:pt>
                <c:pt idx="52">
                  <c:v>1.440747599824021E-2</c:v>
                </c:pt>
                <c:pt idx="53">
                  <c:v>1.2007759008665657E-2</c:v>
                </c:pt>
                <c:pt idx="54">
                  <c:v>1.0007527655620921E-2</c:v>
                </c:pt>
                <c:pt idx="55">
                  <c:v>8.3403437526897734E-3</c:v>
                </c:pt>
                <c:pt idx="56">
                  <c:v>6.9507985259907182E-3</c:v>
                </c:pt>
                <c:pt idx="57">
                  <c:v>5.7926877064550563E-3</c:v>
                </c:pt>
                <c:pt idx="58">
                  <c:v>4.8274867011169828E-3</c:v>
                </c:pt>
                <c:pt idx="59">
                  <c:v>4.0230770745204114E-3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'T3'!$B$15</c:f>
              <c:numCache>
                <c:formatCode>0.000</c:formatCode>
                <c:ptCount val="1"/>
                <c:pt idx="0">
                  <c:v>0.13269675752520102</c:v>
                </c:pt>
              </c:numCache>
            </c:numRef>
          </c:xVal>
          <c:yVal>
            <c:numRef>
              <c:f>'T3'!$I$3</c:f>
              <c:numCache>
                <c:formatCode>General</c:formatCode>
                <c:ptCount val="1"/>
                <c:pt idx="0">
                  <c:v>3.1258875210762156E-2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'T3'!$B$18</c:f>
              <c:numCache>
                <c:formatCode>0.000</c:formatCode>
                <c:ptCount val="1"/>
                <c:pt idx="0">
                  <c:v>1.1822050795258292</c:v>
                </c:pt>
              </c:numCache>
            </c:numRef>
          </c:xVal>
          <c:yVal>
            <c:numRef>
              <c:f>'T3'!$I$3</c:f>
              <c:numCache>
                <c:formatCode>General</c:formatCode>
                <c:ptCount val="1"/>
                <c:pt idx="0">
                  <c:v>3.1258875210762156E-2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'T3'!$B$16</c:f>
              <c:numCache>
                <c:formatCode>0</c:formatCode>
                <c:ptCount val="1"/>
                <c:pt idx="0">
                  <c:v>719.90408409071586</c:v>
                </c:pt>
              </c:numCache>
            </c:numRef>
          </c:xVal>
          <c:yVal>
            <c:numRef>
              <c:f>'T3'!$I$3</c:f>
              <c:numCache>
                <c:formatCode>General</c:formatCode>
                <c:ptCount val="1"/>
                <c:pt idx="0">
                  <c:v>3.1258875210762156E-2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49344"/>
        <c:axId val="161851648"/>
      </c:scatterChart>
      <c:valAx>
        <c:axId val="161849344"/>
        <c:scaling>
          <c:logBase val="10"/>
          <c:orientation val="minMax"/>
          <c:max val="10000"/>
          <c:min val="1E-3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0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Volume, </a:t>
                </a:r>
                <a:r>
                  <a:rPr lang="en-ZA" sz="105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</a:t>
                </a:r>
                <a:r>
                  <a:rPr lang="en-ZA" sz="10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</a:t>
                </a:r>
                <a:r>
                  <a:rPr lang="en-ZA" sz="1050" b="0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ZA" sz="10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/mol]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0.40155964529634069"/>
              <c:y val="0.88759035944806908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851648"/>
        <c:crossesAt val="-1000000"/>
        <c:crossBetween val="midCat"/>
        <c:minorUnit val="10"/>
      </c:valAx>
      <c:valAx>
        <c:axId val="161851648"/>
        <c:scaling>
          <c:orientation val="minMax"/>
          <c:max val="100"/>
          <c:min val="-600"/>
        </c:scaling>
        <c:delete val="0"/>
        <c:axPos val="l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0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Pressure, </a:t>
                </a:r>
                <a:r>
                  <a:rPr lang="en-ZA" sz="105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</a:t>
                </a:r>
                <a:r>
                  <a:rPr lang="en-ZA" sz="10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[bar]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2.339182399784509E-2"/>
              <c:y val="0.25292812353665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849344"/>
        <c:crossesAt val="1E-3"/>
        <c:crossBetween val="midCat"/>
        <c:majorUnit val="100"/>
        <c:minorUnit val="5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ZA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4</a:t>
            </a: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ZA"/>
          </a:p>
        </c:rich>
      </c:tx>
      <c:layout>
        <c:manualLayout>
          <c:xMode val="edge"/>
          <c:yMode val="edge"/>
          <c:x val="0.65923182061287955"/>
          <c:y val="0.2173916889430638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92577699423567"/>
          <c:y val="3.8043545565036169E-2"/>
          <c:w val="0.72616920547511044"/>
          <c:h val="0.8007260542736184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'T4'!$A$21:$A$80</c:f>
              <c:numCache>
                <c:formatCode>0.000</c:formatCode>
                <c:ptCount val="60"/>
                <c:pt idx="0">
                  <c:v>0.11929554873417722</c:v>
                </c:pt>
                <c:pt idx="1">
                  <c:v>0.14315465848101266</c:v>
                </c:pt>
                <c:pt idx="2">
                  <c:v>0.1717855901772152</c:v>
                </c:pt>
                <c:pt idx="3">
                  <c:v>0.20614270821265823</c:v>
                </c:pt>
                <c:pt idx="4">
                  <c:v>0.24737124985518988</c:v>
                </c:pt>
                <c:pt idx="5">
                  <c:v>0.29684549982622782</c:v>
                </c:pt>
                <c:pt idx="6">
                  <c:v>0.35621459979147335</c:v>
                </c:pt>
                <c:pt idx="7">
                  <c:v>0.42745751974976803</c:v>
                </c:pt>
                <c:pt idx="8">
                  <c:v>0.51294902369972162</c:v>
                </c:pt>
                <c:pt idx="9">
                  <c:v>0.6155388284396659</c:v>
                </c:pt>
                <c:pt idx="10">
                  <c:v>0.73864659412759903</c:v>
                </c:pt>
                <c:pt idx="11">
                  <c:v>0.88637591295311879</c:v>
                </c:pt>
                <c:pt idx="12">
                  <c:v>1.0636510955437426</c:v>
                </c:pt>
                <c:pt idx="13">
                  <c:v>1.2763813146524912</c:v>
                </c:pt>
                <c:pt idx="14">
                  <c:v>1.5316575775829893</c:v>
                </c:pt>
                <c:pt idx="15">
                  <c:v>1.837989093099587</c:v>
                </c:pt>
                <c:pt idx="16">
                  <c:v>2.2055869117195042</c:v>
                </c:pt>
                <c:pt idx="17">
                  <c:v>2.6467042940634049</c:v>
                </c:pt>
                <c:pt idx="18">
                  <c:v>3.1760451528760858</c:v>
                </c:pt>
                <c:pt idx="19">
                  <c:v>3.811254183451303</c:v>
                </c:pt>
                <c:pt idx="20">
                  <c:v>4.573505020141563</c:v>
                </c:pt>
                <c:pt idx="21">
                  <c:v>5.4882060241698758</c:v>
                </c:pt>
                <c:pt idx="22">
                  <c:v>6.5858472290038508</c:v>
                </c:pt>
                <c:pt idx="23">
                  <c:v>7.9030166748046202</c:v>
                </c:pt>
                <c:pt idx="24">
                  <c:v>9.4836200097655432</c:v>
                </c:pt>
                <c:pt idx="25">
                  <c:v>11.380344011718652</c:v>
                </c:pt>
                <c:pt idx="26">
                  <c:v>13.656412814062381</c:v>
                </c:pt>
                <c:pt idx="27">
                  <c:v>16.387695376874856</c:v>
                </c:pt>
                <c:pt idx="28">
                  <c:v>19.665234452249827</c:v>
                </c:pt>
                <c:pt idx="29">
                  <c:v>23.598281342699792</c:v>
                </c:pt>
                <c:pt idx="30">
                  <c:v>28.317937611239749</c:v>
                </c:pt>
                <c:pt idx="31">
                  <c:v>33.9815251334877</c:v>
                </c:pt>
                <c:pt idx="32">
                  <c:v>40.777830160185239</c:v>
                </c:pt>
                <c:pt idx="33">
                  <c:v>48.933396192222283</c:v>
                </c:pt>
                <c:pt idx="34">
                  <c:v>58.720075430666739</c:v>
                </c:pt>
                <c:pt idx="35">
                  <c:v>70.464090516800084</c:v>
                </c:pt>
                <c:pt idx="36">
                  <c:v>84.556908620160101</c:v>
                </c:pt>
                <c:pt idx="37">
                  <c:v>101.46829034419211</c:v>
                </c:pt>
                <c:pt idx="38">
                  <c:v>121.76194841303052</c:v>
                </c:pt>
                <c:pt idx="39">
                  <c:v>146.11433809563661</c:v>
                </c:pt>
                <c:pt idx="40">
                  <c:v>175.33720571476394</c:v>
                </c:pt>
                <c:pt idx="41">
                  <c:v>210.40464685771673</c:v>
                </c:pt>
                <c:pt idx="42">
                  <c:v>252.48557622926006</c:v>
                </c:pt>
                <c:pt idx="43">
                  <c:v>302.98269147511206</c:v>
                </c:pt>
                <c:pt idx="44">
                  <c:v>363.57922977013448</c:v>
                </c:pt>
                <c:pt idx="45">
                  <c:v>436.29507572416134</c:v>
                </c:pt>
                <c:pt idx="46">
                  <c:v>523.55409086899363</c:v>
                </c:pt>
                <c:pt idx="47">
                  <c:v>628.26490904279228</c:v>
                </c:pt>
                <c:pt idx="48">
                  <c:v>753.91789085135076</c:v>
                </c:pt>
                <c:pt idx="49">
                  <c:v>904.70146902162094</c:v>
                </c:pt>
                <c:pt idx="50">
                  <c:v>1085.6417628259451</c:v>
                </c:pt>
                <c:pt idx="51">
                  <c:v>1302.7701153911341</c:v>
                </c:pt>
                <c:pt idx="52">
                  <c:v>1563.3241384693608</c:v>
                </c:pt>
                <c:pt idx="53">
                  <c:v>1875.9889661632328</c:v>
                </c:pt>
                <c:pt idx="54">
                  <c:v>2251.1867593958791</c:v>
                </c:pt>
                <c:pt idx="55">
                  <c:v>2701.4241112750547</c:v>
                </c:pt>
                <c:pt idx="56">
                  <c:v>3241.7089335300657</c:v>
                </c:pt>
                <c:pt idx="57">
                  <c:v>3890.0507202360786</c:v>
                </c:pt>
                <c:pt idx="58">
                  <c:v>4668.060864283294</c:v>
                </c:pt>
                <c:pt idx="59">
                  <c:v>5601.6730371399526</c:v>
                </c:pt>
              </c:numCache>
            </c:numRef>
          </c:xVal>
          <c:yVal>
            <c:numRef>
              <c:f>'T4'!$B$21:$B$80</c:f>
              <c:numCache>
                <c:formatCode>General</c:formatCode>
                <c:ptCount val="60"/>
                <c:pt idx="0">
                  <c:v>2345240.2730275071</c:v>
                </c:pt>
                <c:pt idx="1">
                  <c:v>-432.18047307092189</c:v>
                </c:pt>
                <c:pt idx="2">
                  <c:v>-535.93886448774265</c:v>
                </c:pt>
                <c:pt idx="3">
                  <c:v>-412.42027124805304</c:v>
                </c:pt>
                <c:pt idx="4">
                  <c:v>-290.81524660804519</c:v>
                </c:pt>
                <c:pt idx="5">
                  <c:v>-197.02144072617216</c:v>
                </c:pt>
                <c:pt idx="6">
                  <c:v>-129.55254966014877</c:v>
                </c:pt>
                <c:pt idx="7">
                  <c:v>-82.598502334153849</c:v>
                </c:pt>
                <c:pt idx="8">
                  <c:v>-50.627860010836919</c:v>
                </c:pt>
                <c:pt idx="9">
                  <c:v>-29.265534767250646</c:v>
                </c:pt>
                <c:pt idx="10">
                  <c:v>-15.272128972452052</c:v>
                </c:pt>
                <c:pt idx="11">
                  <c:v>-6.3242043553896972</c:v>
                </c:pt>
                <c:pt idx="12">
                  <c:v>-0.78603171951733197</c:v>
                </c:pt>
                <c:pt idx="13">
                  <c:v>2.4792506167565511</c:v>
                </c:pt>
                <c:pt idx="14">
                  <c:v>4.253644457743178</c:v>
                </c:pt>
                <c:pt idx="15">
                  <c:v>5.0699276003248146</c:v>
                </c:pt>
                <c:pt idx="16">
                  <c:v>5.2874814732375315</c:v>
                </c:pt>
                <c:pt idx="17">
                  <c:v>5.1459876415365828</c:v>
                </c:pt>
                <c:pt idx="18">
                  <c:v>4.8030957219633219</c:v>
                </c:pt>
                <c:pt idx="19">
                  <c:v>4.3606571258419295</c:v>
                </c:pt>
                <c:pt idx="20">
                  <c:v>3.8828841371039498</c:v>
                </c:pt>
                <c:pt idx="21">
                  <c:v>3.4088483162335308</c:v>
                </c:pt>
                <c:pt idx="22">
                  <c:v>2.9610332626550058</c:v>
                </c:pt>
                <c:pt idx="23">
                  <c:v>2.5511506125995673</c:v>
                </c:pt>
                <c:pt idx="24">
                  <c:v>2.1840663840004275</c:v>
                </c:pt>
                <c:pt idx="25">
                  <c:v>1.8604285006233214</c:v>
                </c:pt>
                <c:pt idx="26">
                  <c:v>1.5784059299114319</c:v>
                </c:pt>
                <c:pt idx="27">
                  <c:v>1.334823498733426</c:v>
                </c:pt>
                <c:pt idx="28">
                  <c:v>1.1258882724318495</c:v>
                </c:pt>
                <c:pt idx="29">
                  <c:v>0.94764205860584827</c:v>
                </c:pt>
                <c:pt idx="30">
                  <c:v>0.79623207957362796</c:v>
                </c:pt>
                <c:pt idx="31">
                  <c:v>0.6680624667006636</c:v>
                </c:pt>
                <c:pt idx="32">
                  <c:v>0.55986897544595793</c:v>
                </c:pt>
                <c:pt idx="33">
                  <c:v>0.46874540845341955</c:v>
                </c:pt>
                <c:pt idx="34">
                  <c:v>0.39214071503530357</c:v>
                </c:pt>
                <c:pt idx="35">
                  <c:v>0.32783925075429421</c:v>
                </c:pt>
                <c:pt idx="36">
                  <c:v>0.27393228668788738</c:v>
                </c:pt>
                <c:pt idx="37">
                  <c:v>0.22878589984141612</c:v>
                </c:pt>
                <c:pt idx="38">
                  <c:v>0.19100840111576847</c:v>
                </c:pt>
                <c:pt idx="39">
                  <c:v>0.15941915245020799</c:v>
                </c:pt>
                <c:pt idx="40">
                  <c:v>0.1330197747674664</c:v>
                </c:pt>
                <c:pt idx="41">
                  <c:v>0.11096820509243913</c:v>
                </c:pt>
                <c:pt idx="42">
                  <c:v>9.255572328554651E-2</c:v>
                </c:pt>
                <c:pt idx="43">
                  <c:v>7.7186867019719718E-2</c:v>
                </c:pt>
                <c:pt idx="44">
                  <c:v>6.4362040916967539E-2</c:v>
                </c:pt>
                <c:pt idx="45">
                  <c:v>5.3662570378023675E-2</c:v>
                </c:pt>
                <c:pt idx="46">
                  <c:v>4.473793127037607E-2</c:v>
                </c:pt>
                <c:pt idx="47">
                  <c:v>3.7294889109209903E-2</c:v>
                </c:pt>
                <c:pt idx="48">
                  <c:v>3.1088296352156916E-2</c:v>
                </c:pt>
                <c:pt idx="49">
                  <c:v>2.5913317898788035E-2</c:v>
                </c:pt>
                <c:pt idx="50">
                  <c:v>2.1598879016407259E-2</c:v>
                </c:pt>
                <c:pt idx="51">
                  <c:v>1.8002154356194972E-2</c:v>
                </c:pt>
                <c:pt idx="52">
                  <c:v>1.5003940102571795E-2</c:v>
                </c:pt>
                <c:pt idx="53">
                  <c:v>1.2504772871695021E-2</c:v>
                </c:pt>
                <c:pt idx="54">
                  <c:v>1.0421678404603984E-2</c:v>
                </c:pt>
                <c:pt idx="55">
                  <c:v>8.6854503003681513E-3</c:v>
                </c:pt>
                <c:pt idx="56">
                  <c:v>7.2383740682054496E-3</c:v>
                </c:pt>
                <c:pt idx="57">
                  <c:v>6.0323247919890719E-3</c:v>
                </c:pt>
                <c:pt idx="58">
                  <c:v>5.0271778837644911E-3</c:v>
                </c:pt>
                <c:pt idx="59">
                  <c:v>4.1894819568507827E-3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'T4'!$B$15</c:f>
              <c:numCache>
                <c:formatCode>0.000</c:formatCode>
                <c:ptCount val="1"/>
                <c:pt idx="0">
                  <c:v>0.13376234798893852</c:v>
                </c:pt>
              </c:numCache>
            </c:numRef>
          </c:xVal>
          <c:yVal>
            <c:numRef>
              <c:f>'T4'!$I$3</c:f>
              <c:numCache>
                <c:formatCode>General</c:formatCode>
                <c:ptCount val="1"/>
                <c:pt idx="0">
                  <c:v>5.811723116708116E-2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'T4'!$B$18</c:f>
              <c:numCache>
                <c:formatCode>0.000</c:formatCode>
                <c:ptCount val="1"/>
                <c:pt idx="0">
                  <c:v>1.1051958364187158</c:v>
                </c:pt>
              </c:numCache>
            </c:numRef>
          </c:xVal>
          <c:yVal>
            <c:numRef>
              <c:f>'T4'!$I$3</c:f>
              <c:numCache>
                <c:formatCode>General</c:formatCode>
                <c:ptCount val="1"/>
                <c:pt idx="0">
                  <c:v>5.811723116708116E-2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'T4'!$B$16</c:f>
              <c:numCache>
                <c:formatCode>0</c:formatCode>
                <c:ptCount val="1"/>
                <c:pt idx="0">
                  <c:v>402.76720497530511</c:v>
                </c:pt>
              </c:numCache>
            </c:numRef>
          </c:xVal>
          <c:yVal>
            <c:numRef>
              <c:f>'T4'!$I$3</c:f>
              <c:numCache>
                <c:formatCode>General</c:formatCode>
                <c:ptCount val="1"/>
                <c:pt idx="0">
                  <c:v>5.811723116708116E-2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28320"/>
        <c:axId val="161930624"/>
      </c:scatterChart>
      <c:valAx>
        <c:axId val="161928320"/>
        <c:scaling>
          <c:logBase val="10"/>
          <c:orientation val="minMax"/>
          <c:max val="10000"/>
          <c:min val="1E-3"/>
        </c:scaling>
        <c:delete val="0"/>
        <c:axPos val="b"/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Volume, </a:t>
                </a:r>
                <a:r>
                  <a:rPr lang="en-ZA" sz="1175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</a:t>
                </a: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</a:t>
                </a: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/mol]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0.38336865875641307"/>
              <c:y val="0.90036391170585606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930624"/>
        <c:crossesAt val="-1000000"/>
        <c:crossBetween val="midCat"/>
        <c:minorUnit val="10"/>
      </c:valAx>
      <c:valAx>
        <c:axId val="161930624"/>
        <c:scaling>
          <c:orientation val="minMax"/>
          <c:max val="100"/>
          <c:min val="-800"/>
        </c:scaling>
        <c:delete val="0"/>
        <c:axPos val="l"/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Pressure, </a:t>
                </a:r>
                <a:r>
                  <a:rPr lang="en-ZA" sz="1175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</a:t>
                </a: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[bar]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2.43408672226294E-2"/>
              <c:y val="0.282609195625982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928320"/>
        <c:crossesAt val="1E-3"/>
        <c:crossBetween val="midCat"/>
        <c:majorUnit val="100"/>
        <c:minorUnit val="5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ZA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5</a:t>
            </a: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ZA"/>
          </a:p>
        </c:rich>
      </c:tx>
      <c:layout>
        <c:manualLayout>
          <c:xMode val="edge"/>
          <c:yMode val="edge"/>
          <c:x val="0.65991902834008098"/>
          <c:y val="0.21851861731346631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50202429149797"/>
          <c:y val="3.8888906471040617E-2"/>
          <c:w val="0.71255060728744934"/>
          <c:h val="0.7592596025298405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'T5'!$A$21:$A$80</c:f>
              <c:numCache>
                <c:formatCode>0.000</c:formatCode>
                <c:ptCount val="60"/>
                <c:pt idx="0">
                  <c:v>0.11929554873417722</c:v>
                </c:pt>
                <c:pt idx="1">
                  <c:v>0.14076874750632912</c:v>
                </c:pt>
                <c:pt idx="2">
                  <c:v>0.16610712205746836</c:v>
                </c:pt>
                <c:pt idx="3">
                  <c:v>0.19600640402781266</c:v>
                </c:pt>
                <c:pt idx="4">
                  <c:v>0.23128755675281892</c:v>
                </c:pt>
                <c:pt idx="5">
                  <c:v>0.27291931696832633</c:v>
                </c:pt>
                <c:pt idx="6">
                  <c:v>0.32204479402262504</c:v>
                </c:pt>
                <c:pt idx="7">
                  <c:v>0.38001285694669751</c:v>
                </c:pt>
                <c:pt idx="8">
                  <c:v>0.44841517119710306</c:v>
                </c:pt>
                <c:pt idx="9">
                  <c:v>0.52912990201258159</c:v>
                </c:pt>
                <c:pt idx="10">
                  <c:v>0.62437328437484629</c:v>
                </c:pt>
                <c:pt idx="11">
                  <c:v>0.73676047556231861</c:v>
                </c:pt>
                <c:pt idx="12">
                  <c:v>0.86937736116353592</c:v>
                </c:pt>
                <c:pt idx="13">
                  <c:v>1.0258652861729722</c:v>
                </c:pt>
                <c:pt idx="14">
                  <c:v>1.2105210376841071</c:v>
                </c:pt>
                <c:pt idx="15">
                  <c:v>1.4284148244672463</c:v>
                </c:pt>
                <c:pt idx="16">
                  <c:v>1.6855294928713507</c:v>
                </c:pt>
                <c:pt idx="17">
                  <c:v>1.9889248015881937</c:v>
                </c:pt>
                <c:pt idx="18">
                  <c:v>2.3469312658740686</c:v>
                </c:pt>
                <c:pt idx="19">
                  <c:v>2.769378893731401</c:v>
                </c:pt>
                <c:pt idx="20">
                  <c:v>3.2678670946030528</c:v>
                </c:pt>
                <c:pt idx="21">
                  <c:v>3.8560831716316022</c:v>
                </c:pt>
                <c:pt idx="22">
                  <c:v>4.5501781425252901</c:v>
                </c:pt>
                <c:pt idx="23">
                  <c:v>5.3692102081798421</c:v>
                </c:pt>
                <c:pt idx="24">
                  <c:v>6.3356680456522136</c:v>
                </c:pt>
                <c:pt idx="25">
                  <c:v>7.476088293869612</c:v>
                </c:pt>
                <c:pt idx="26">
                  <c:v>8.8217841867661413</c:v>
                </c:pt>
                <c:pt idx="27">
                  <c:v>10.409705340384047</c:v>
                </c:pt>
                <c:pt idx="28">
                  <c:v>12.283452301653174</c:v>
                </c:pt>
                <c:pt idx="29">
                  <c:v>14.494473715950745</c:v>
                </c:pt>
                <c:pt idx="30">
                  <c:v>17.10347898482188</c:v>
                </c:pt>
                <c:pt idx="31">
                  <c:v>20.182105202089819</c:v>
                </c:pt>
                <c:pt idx="32">
                  <c:v>23.814884138465985</c:v>
                </c:pt>
                <c:pt idx="33">
                  <c:v>28.101563283389861</c:v>
                </c:pt>
                <c:pt idx="34">
                  <c:v>33.159844674400034</c:v>
                </c:pt>
                <c:pt idx="35">
                  <c:v>39.128616715792042</c:v>
                </c:pt>
                <c:pt idx="36">
                  <c:v>46.171767724634606</c:v>
                </c:pt>
                <c:pt idx="37">
                  <c:v>54.482685915068835</c:v>
                </c:pt>
                <c:pt idx="38">
                  <c:v>64.289569379781227</c:v>
                </c:pt>
                <c:pt idx="39">
                  <c:v>75.861691868141847</c:v>
                </c:pt>
                <c:pt idx="40">
                  <c:v>89.516796404407373</c:v>
                </c:pt>
                <c:pt idx="41">
                  <c:v>105.62981975720069</c:v>
                </c:pt>
                <c:pt idx="42">
                  <c:v>124.64318731349681</c:v>
                </c:pt>
                <c:pt idx="43">
                  <c:v>147.07896102992623</c:v>
                </c:pt>
                <c:pt idx="44">
                  <c:v>173.55317401531295</c:v>
                </c:pt>
                <c:pt idx="45">
                  <c:v>204.79274533806927</c:v>
                </c:pt>
                <c:pt idx="46">
                  <c:v>241.65543949892171</c:v>
                </c:pt>
                <c:pt idx="47">
                  <c:v>285.15341860872758</c:v>
                </c:pt>
                <c:pt idx="48">
                  <c:v>336.4810339582985</c:v>
                </c:pt>
                <c:pt idx="49">
                  <c:v>397.04762007079222</c:v>
                </c:pt>
                <c:pt idx="50">
                  <c:v>468.51619168353477</c:v>
                </c:pt>
                <c:pt idx="51">
                  <c:v>552.84910618657102</c:v>
                </c:pt>
                <c:pt idx="52">
                  <c:v>652.36194530015382</c:v>
                </c:pt>
                <c:pt idx="53">
                  <c:v>769.78709545418144</c:v>
                </c:pt>
                <c:pt idx="54">
                  <c:v>908.3487726359341</c:v>
                </c:pt>
                <c:pt idx="55">
                  <c:v>1071.8515517104022</c:v>
                </c:pt>
                <c:pt idx="56">
                  <c:v>1264.7848310182744</c:v>
                </c:pt>
                <c:pt idx="57">
                  <c:v>1492.4461006015638</c:v>
                </c:pt>
                <c:pt idx="58">
                  <c:v>1761.0863987098451</c:v>
                </c:pt>
                <c:pt idx="59">
                  <c:v>2078.0819504776173</c:v>
                </c:pt>
              </c:numCache>
            </c:numRef>
          </c:xVal>
          <c:yVal>
            <c:numRef>
              <c:f>'T5'!$B$21:$B$80</c:f>
              <c:numCache>
                <c:formatCode>General</c:formatCode>
                <c:ptCount val="60"/>
                <c:pt idx="0">
                  <c:v>2442337.184530498</c:v>
                </c:pt>
                <c:pt idx="1">
                  <c:v>-296.72251876701034</c:v>
                </c:pt>
                <c:pt idx="2">
                  <c:v>-508.19072721520098</c:v>
                </c:pt>
                <c:pt idx="3">
                  <c:v>-421.30399017409769</c:v>
                </c:pt>
                <c:pt idx="4">
                  <c:v>-313.14804026629793</c:v>
                </c:pt>
                <c:pt idx="5">
                  <c:v>-222.53340525170293</c:v>
                </c:pt>
                <c:pt idx="6">
                  <c:v>-153.53062146829046</c:v>
                </c:pt>
                <c:pt idx="7">
                  <c:v>-103.09236456387424</c:v>
                </c:pt>
                <c:pt idx="8">
                  <c:v>-67.102940187250852</c:v>
                </c:pt>
                <c:pt idx="9">
                  <c:v>-41.888861834574399</c:v>
                </c:pt>
                <c:pt idx="10">
                  <c:v>-24.522591005925751</c:v>
                </c:pt>
                <c:pt idx="11">
                  <c:v>-12.78177200110113</c:v>
                </c:pt>
                <c:pt idx="12">
                  <c:v>-5.0225605442930279</c:v>
                </c:pt>
                <c:pt idx="13">
                  <c:v>-4.8542608219563591E-2</c:v>
                </c:pt>
                <c:pt idx="14">
                  <c:v>3.0010340299166454</c:v>
                </c:pt>
                <c:pt idx="15">
                  <c:v>4.7396343778799563</c:v>
                </c:pt>
                <c:pt idx="16">
                  <c:v>5.6007313389440778</c:v>
                </c:pt>
                <c:pt idx="17">
                  <c:v>5.8879529723522612</c:v>
                </c:pt>
                <c:pt idx="18">
                  <c:v>5.8119408730504354</c:v>
                </c:pt>
                <c:pt idx="19">
                  <c:v>5.5171837558124119</c:v>
                </c:pt>
                <c:pt idx="20">
                  <c:v>5.1014126734826659</c:v>
                </c:pt>
                <c:pt idx="21">
                  <c:v>4.6295373974327143</c:v>
                </c:pt>
                <c:pt idx="22">
                  <c:v>4.1436080105240336</c:v>
                </c:pt>
                <c:pt idx="23">
                  <c:v>3.6698995899178755</c:v>
                </c:pt>
                <c:pt idx="24">
                  <c:v>3.2239247804551474</c:v>
                </c:pt>
                <c:pt idx="25">
                  <c:v>2.8139603091771601</c:v>
                </c:pt>
                <c:pt idx="26">
                  <c:v>2.4435120221113982</c:v>
                </c:pt>
                <c:pt idx="27">
                  <c:v>2.1130247644127356</c:v>
                </c:pt>
                <c:pt idx="28">
                  <c:v>1.8210573096069405</c:v>
                </c:pt>
                <c:pt idx="29">
                  <c:v>1.5650801148210485</c:v>
                </c:pt>
                <c:pt idx="30">
                  <c:v>1.3420085850433718</c:v>
                </c:pt>
                <c:pt idx="31">
                  <c:v>1.1485520577411181</c:v>
                </c:pt>
                <c:pt idx="32">
                  <c:v>0.98143540162850829</c:v>
                </c:pt>
                <c:pt idx="33">
                  <c:v>0.83753342363555849</c:v>
                </c:pt>
                <c:pt idx="34">
                  <c:v>0.7139463496010634</c:v>
                </c:pt>
                <c:pt idx="35">
                  <c:v>0.60803614733134426</c:v>
                </c:pt>
                <c:pt idx="36">
                  <c:v>0.51743742645839896</c:v>
                </c:pt>
                <c:pt idx="37">
                  <c:v>0.44005237879222747</c:v>
                </c:pt>
                <c:pt idx="38">
                  <c:v>0.37403621211251886</c:v>
                </c:pt>
                <c:pt idx="39">
                  <c:v>0.31777741773702273</c:v>
                </c:pt>
                <c:pt idx="40">
                  <c:v>0.26987573815485938</c:v>
                </c:pt>
                <c:pt idx="41">
                  <c:v>0.22911967963996221</c:v>
                </c:pt>
                <c:pt idx="42">
                  <c:v>0.19446471320477496</c:v>
                </c:pt>
                <c:pt idx="43">
                  <c:v>0.16501283074891229</c:v>
                </c:pt>
                <c:pt idx="44">
                  <c:v>0.13999380435313544</c:v>
                </c:pt>
                <c:pt idx="45">
                  <c:v>0.11874828748208248</c:v>
                </c:pt>
                <c:pt idx="46">
                  <c:v>0.1007127634951773</c:v>
                </c:pt>
                <c:pt idx="47">
                  <c:v>8.5406265414375723E-2</c:v>
                </c:pt>
                <c:pt idx="48">
                  <c:v>7.2418744563470736E-2</c:v>
                </c:pt>
                <c:pt idx="49">
                  <c:v>6.1400942736498758E-2</c:v>
                </c:pt>
                <c:pt idx="50">
                  <c:v>5.2055614817440615E-2</c:v>
                </c:pt>
                <c:pt idx="51">
                  <c:v>4.4129950639391707E-2</c:v>
                </c:pt>
                <c:pt idx="52">
                  <c:v>3.7409052503426632E-2</c:v>
                </c:pt>
                <c:pt idx="53">
                  <c:v>3.1710335592342355E-2</c:v>
                </c:pt>
                <c:pt idx="54">
                  <c:v>2.687873080268376E-2</c:v>
                </c:pt>
                <c:pt idx="55">
                  <c:v>2.2782582175680199E-2</c:v>
                </c:pt>
                <c:pt idx="56">
                  <c:v>1.9310143445771172E-2</c:v>
                </c:pt>
                <c:pt idx="57">
                  <c:v>1.6366589839009196E-2</c:v>
                </c:pt>
                <c:pt idx="58">
                  <c:v>1.3871471927197909E-2</c:v>
                </c:pt>
                <c:pt idx="59">
                  <c:v>1.1756547986292044E-2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'T5'!$B$15</c:f>
              <c:numCache>
                <c:formatCode>0.000</c:formatCode>
                <c:ptCount val="1"/>
                <c:pt idx="0">
                  <c:v>0.13494275384656634</c:v>
                </c:pt>
              </c:numCache>
            </c:numRef>
          </c:xVal>
          <c:yVal>
            <c:numRef>
              <c:f>'T5'!$I$3</c:f>
              <c:numCache>
                <c:formatCode>General</c:formatCode>
                <c:ptCount val="1"/>
                <c:pt idx="0">
                  <c:v>0.10437433943134912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'T5'!$B$18</c:f>
              <c:numCache>
                <c:formatCode>0.000</c:formatCode>
                <c:ptCount val="1"/>
                <c:pt idx="0">
                  <c:v>1.032624642053861</c:v>
                </c:pt>
              </c:numCache>
            </c:numRef>
          </c:xVal>
          <c:yVal>
            <c:numRef>
              <c:f>'T5'!$I$3</c:f>
              <c:numCache>
                <c:formatCode>General</c:formatCode>
                <c:ptCount val="1"/>
                <c:pt idx="0">
                  <c:v>0.10437433943134912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'T5'!$B$16</c:f>
              <c:numCache>
                <c:formatCode>0</c:formatCode>
                <c:ptCount val="1"/>
                <c:pt idx="0">
                  <c:v>233.14094623355646</c:v>
                </c:pt>
              </c:numCache>
            </c:numRef>
          </c:xVal>
          <c:yVal>
            <c:numRef>
              <c:f>'T5'!$I$3</c:f>
              <c:numCache>
                <c:formatCode>General</c:formatCode>
                <c:ptCount val="1"/>
                <c:pt idx="0">
                  <c:v>0.10437433943134912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74528"/>
        <c:axId val="161981184"/>
      </c:scatterChart>
      <c:valAx>
        <c:axId val="161974528"/>
        <c:scaling>
          <c:logBase val="10"/>
          <c:orientation val="minMax"/>
          <c:max val="1000"/>
          <c:min val="1E-3"/>
        </c:scaling>
        <c:delete val="0"/>
        <c:axPos val="b"/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Volume, </a:t>
                </a:r>
                <a:r>
                  <a:rPr lang="en-ZA" sz="1175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</a:t>
                </a: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</a:t>
                </a: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/mol]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0.37651821862348178"/>
              <c:y val="0.89814855421212847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981184"/>
        <c:crossesAt val="-1000000"/>
        <c:crossBetween val="midCat"/>
        <c:minorUnit val="10"/>
      </c:valAx>
      <c:valAx>
        <c:axId val="161981184"/>
        <c:scaling>
          <c:orientation val="minMax"/>
          <c:max val="100"/>
          <c:min val="-600"/>
        </c:scaling>
        <c:delete val="0"/>
        <c:axPos val="l"/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Pressure, </a:t>
                </a:r>
                <a:r>
                  <a:rPr lang="en-ZA" sz="1175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</a:t>
                </a: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[bar]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2.4291497975708502E-2"/>
              <c:y val="0.259259376473604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974528"/>
        <c:crossesAt val="1E-3"/>
        <c:crossBetween val="midCat"/>
        <c:majorUnit val="100"/>
        <c:minorUnit val="5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ZA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6</a:t>
            </a: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ZA"/>
          </a:p>
        </c:rich>
      </c:tx>
      <c:layout>
        <c:manualLayout>
          <c:xMode val="edge"/>
          <c:yMode val="edge"/>
          <c:x val="0.65991902834008098"/>
          <c:y val="0.2181820118803372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672064777327935"/>
          <c:y val="3.8181852079059019E-2"/>
          <c:w val="0.708502024291498"/>
          <c:h val="0.761818858148844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'T6'!$A$21:$A$80</c:f>
              <c:numCache>
                <c:formatCode>0.000</c:formatCode>
                <c:ptCount val="60"/>
                <c:pt idx="0">
                  <c:v>0.11929554873417722</c:v>
                </c:pt>
                <c:pt idx="1">
                  <c:v>0.1371898810443038</c:v>
                </c:pt>
                <c:pt idx="2">
                  <c:v>0.15776836320094936</c:v>
                </c:pt>
                <c:pt idx="3">
                  <c:v>0.18143361768109176</c:v>
                </c:pt>
                <c:pt idx="4">
                  <c:v>0.20864866033325549</c:v>
                </c:pt>
                <c:pt idx="5">
                  <c:v>0.23994595938324378</c:v>
                </c:pt>
                <c:pt idx="6">
                  <c:v>0.27593785329073034</c:v>
                </c:pt>
                <c:pt idx="7">
                  <c:v>0.31732853128433985</c:v>
                </c:pt>
                <c:pt idx="8">
                  <c:v>0.36492781097699079</c:v>
                </c:pt>
                <c:pt idx="9">
                  <c:v>0.41966698262353935</c:v>
                </c:pt>
                <c:pt idx="10">
                  <c:v>0.48261703001707024</c:v>
                </c:pt>
                <c:pt idx="11">
                  <c:v>0.55500958451963078</c:v>
                </c:pt>
                <c:pt idx="12">
                  <c:v>0.6382610221975753</c:v>
                </c:pt>
                <c:pt idx="13">
                  <c:v>0.73400017552721153</c:v>
                </c:pt>
                <c:pt idx="14">
                  <c:v>0.8441002018562932</c:v>
                </c:pt>
                <c:pt idx="15">
                  <c:v>0.97071523213473709</c:v>
                </c:pt>
                <c:pt idx="16">
                  <c:v>1.1163225169549476</c:v>
                </c:pt>
                <c:pt idx="17">
                  <c:v>1.2837708944981896</c:v>
                </c:pt>
                <c:pt idx="18">
                  <c:v>1.476336528672918</c:v>
                </c:pt>
                <c:pt idx="19">
                  <c:v>1.6977870079738555</c:v>
                </c:pt>
                <c:pt idx="20">
                  <c:v>1.9524550591699337</c:v>
                </c:pt>
                <c:pt idx="21">
                  <c:v>2.2453233180454237</c:v>
                </c:pt>
                <c:pt idx="22">
                  <c:v>2.5821218157522372</c:v>
                </c:pt>
                <c:pt idx="23">
                  <c:v>2.9694400881150727</c:v>
                </c:pt>
                <c:pt idx="24">
                  <c:v>3.4148561013323331</c:v>
                </c:pt>
                <c:pt idx="25">
                  <c:v>3.9270845165321826</c:v>
                </c:pt>
                <c:pt idx="26">
                  <c:v>4.5161471940120093</c:v>
                </c:pt>
                <c:pt idx="27">
                  <c:v>5.1935692731138099</c:v>
                </c:pt>
                <c:pt idx="28">
                  <c:v>5.9726046640808805</c:v>
                </c:pt>
                <c:pt idx="29">
                  <c:v>6.8684953636930119</c:v>
                </c:pt>
                <c:pt idx="30">
                  <c:v>7.8987696682469632</c:v>
                </c:pt>
                <c:pt idx="31">
                  <c:v>9.0835851184840077</c:v>
                </c:pt>
                <c:pt idx="32">
                  <c:v>10.446122886256608</c:v>
                </c:pt>
                <c:pt idx="33">
                  <c:v>12.013041319195098</c:v>
                </c:pt>
                <c:pt idx="34">
                  <c:v>13.814997517074362</c:v>
                </c:pt>
                <c:pt idx="35">
                  <c:v>15.887247144635515</c:v>
                </c:pt>
                <c:pt idx="36">
                  <c:v>18.270334216330841</c:v>
                </c:pt>
                <c:pt idx="37">
                  <c:v>21.010884348780465</c:v>
                </c:pt>
                <c:pt idx="38">
                  <c:v>24.162517001097534</c:v>
                </c:pt>
                <c:pt idx="39">
                  <c:v>27.786894551262161</c:v>
                </c:pt>
                <c:pt idx="40">
                  <c:v>31.954928733951483</c:v>
                </c:pt>
                <c:pt idx="41">
                  <c:v>36.748168044044206</c:v>
                </c:pt>
                <c:pt idx="42">
                  <c:v>42.260393250650836</c:v>
                </c:pt>
                <c:pt idx="43">
                  <c:v>48.59945223824846</c:v>
                </c:pt>
                <c:pt idx="44">
                  <c:v>55.889370073985724</c:v>
                </c:pt>
                <c:pt idx="45">
                  <c:v>64.272775585083579</c:v>
                </c:pt>
                <c:pt idx="46">
                  <c:v>73.913691922846112</c:v>
                </c:pt>
                <c:pt idx="47">
                  <c:v>85.000745711273026</c:v>
                </c:pt>
                <c:pt idx="48">
                  <c:v>97.750857567963976</c:v>
                </c:pt>
                <c:pt idx="49">
                  <c:v>112.41348620315857</c:v>
                </c:pt>
                <c:pt idx="50">
                  <c:v>129.27550913363234</c:v>
                </c:pt>
                <c:pt idx="51">
                  <c:v>148.66683550367719</c:v>
                </c:pt>
                <c:pt idx="52">
                  <c:v>170.96686082922875</c:v>
                </c:pt>
                <c:pt idx="53">
                  <c:v>196.61188995361306</c:v>
                </c:pt>
                <c:pt idx="54">
                  <c:v>226.10367344665499</c:v>
                </c:pt>
                <c:pt idx="55">
                  <c:v>260.01922446365325</c:v>
                </c:pt>
                <c:pt idx="56">
                  <c:v>299.02210813320119</c:v>
                </c:pt>
                <c:pt idx="57">
                  <c:v>343.87542435318136</c:v>
                </c:pt>
                <c:pt idx="58">
                  <c:v>395.45673800615856</c:v>
                </c:pt>
                <c:pt idx="59">
                  <c:v>454.77524870708231</c:v>
                </c:pt>
              </c:numCache>
            </c:numRef>
          </c:xVal>
          <c:yVal>
            <c:numRef>
              <c:f>'T6'!$B$21:$B$80</c:f>
              <c:numCache>
                <c:formatCode>General</c:formatCode>
                <c:ptCount val="60"/>
                <c:pt idx="0">
                  <c:v>2543447.1294419654</c:v>
                </c:pt>
                <c:pt idx="1">
                  <c:v>-57.693160855421738</c:v>
                </c:pt>
                <c:pt idx="2">
                  <c:v>-457.17135914615704</c:v>
                </c:pt>
                <c:pt idx="3">
                  <c:v>-436.25934471140533</c:v>
                </c:pt>
                <c:pt idx="4">
                  <c:v>-354.730836718918</c:v>
                </c:pt>
                <c:pt idx="5">
                  <c:v>-272.65015898285509</c:v>
                </c:pt>
                <c:pt idx="6">
                  <c:v>-203.18825870660538</c:v>
                </c:pt>
                <c:pt idx="7">
                  <c:v>-147.97554741161571</c:v>
                </c:pt>
                <c:pt idx="8">
                  <c:v>-105.45390181384093</c:v>
                </c:pt>
                <c:pt idx="9">
                  <c:v>-73.352661475403295</c:v>
                </c:pt>
                <c:pt idx="10">
                  <c:v>-49.482706204450707</c:v>
                </c:pt>
                <c:pt idx="11">
                  <c:v>-31.971654842202625</c:v>
                </c:pt>
                <c:pt idx="12">
                  <c:v>-19.300704516432479</c:v>
                </c:pt>
                <c:pt idx="13">
                  <c:v>-10.27256894954072</c:v>
                </c:pt>
                <c:pt idx="14">
                  <c:v>-3.9598590942625922</c:v>
                </c:pt>
                <c:pt idx="15">
                  <c:v>0.34717032180672502</c:v>
                </c:pt>
                <c:pt idx="16">
                  <c:v>3.1867923939078993</c:v>
                </c:pt>
                <c:pt idx="17">
                  <c:v>4.9641803364492532</c:v>
                </c:pt>
                <c:pt idx="18">
                  <c:v>5.9822560490688419</c:v>
                </c:pt>
                <c:pt idx="19">
                  <c:v>6.4659959836210188</c:v>
                </c:pt>
                <c:pt idx="20">
                  <c:v>6.5813303621101094</c:v>
                </c:pt>
                <c:pt idx="21">
                  <c:v>6.4497025081491293</c:v>
                </c:pt>
                <c:pt idx="22">
                  <c:v>6.1592073187463621</c:v>
                </c:pt>
                <c:pt idx="23">
                  <c:v>5.7730659095742594</c:v>
                </c:pt>
                <c:pt idx="24">
                  <c:v>5.3360437453579221</c:v>
                </c:pt>
                <c:pt idx="25">
                  <c:v>4.8792912765124585</c:v>
                </c:pt>
                <c:pt idx="26">
                  <c:v>4.4239805909434828</c:v>
                </c:pt>
                <c:pt idx="27">
                  <c:v>3.9840269379758273</c:v>
                </c:pt>
                <c:pt idx="28">
                  <c:v>3.5681171539044296</c:v>
                </c:pt>
                <c:pt idx="29">
                  <c:v>3.1812148450495332</c:v>
                </c:pt>
                <c:pt idx="30">
                  <c:v>2.825671774470627</c:v>
                </c:pt>
                <c:pt idx="31">
                  <c:v>2.5020437854527562</c:v>
                </c:pt>
                <c:pt idx="32">
                  <c:v>2.2096857491611535</c:v>
                </c:pt>
                <c:pt idx="33">
                  <c:v>1.9471818146092901</c:v>
                </c:pt>
                <c:pt idx="34">
                  <c:v>1.7126533758613991</c:v>
                </c:pt>
                <c:pt idx="35">
                  <c:v>1.5039766441143143</c:v>
                </c:pt>
                <c:pt idx="36">
                  <c:v>1.3189337365301974</c:v>
                </c:pt>
                <c:pt idx="37">
                  <c:v>1.1553151637737247</c:v>
                </c:pt>
                <c:pt idx="38">
                  <c:v>1.0109870486442598</c:v>
                </c:pt>
                <c:pt idx="39">
                  <c:v>0.88393298247053753</c:v>
                </c:pt>
                <c:pt idx="40">
                  <c:v>0.77227785178751573</c:v>
                </c:pt>
                <c:pt idx="41">
                  <c:v>0.67429903781032907</c:v>
                </c:pt>
                <c:pt idx="42">
                  <c:v>0.58842894763869025</c:v>
                </c:pt>
                <c:pt idx="43">
                  <c:v>0.51325175925548461</c:v>
                </c:pt>
                <c:pt idx="44">
                  <c:v>0.44749646150679845</c:v>
                </c:pt>
                <c:pt idx="45">
                  <c:v>0.39002767671953675</c:v>
                </c:pt>
                <c:pt idx="46">
                  <c:v>0.33983531555357549</c:v>
                </c:pt>
                <c:pt idx="47">
                  <c:v>0.29602379195378054</c:v>
                </c:pt>
                <c:pt idx="48">
                  <c:v>0.25780129116612838</c:v>
                </c:pt>
                <c:pt idx="49">
                  <c:v>0.22446941351654801</c:v>
                </c:pt>
                <c:pt idx="50">
                  <c:v>0.195413394346658</c:v>
                </c:pt>
                <c:pt idx="51">
                  <c:v>0.17009301365194149</c:v>
                </c:pt>
                <c:pt idx="52">
                  <c:v>0.14803424821432629</c:v>
                </c:pt>
                <c:pt idx="53">
                  <c:v>0.12882167737087014</c:v>
                </c:pt>
                <c:pt idx="54">
                  <c:v>0.112091625804001</c:v>
                </c:pt>
                <c:pt idx="55">
                  <c:v>9.7526009006459816E-2</c:v>
                </c:pt>
                <c:pt idx="56">
                  <c:v>8.4846836500362996E-2</c:v>
                </c:pt>
                <c:pt idx="57">
                  <c:v>7.3811322361655329E-2</c:v>
                </c:pt>
                <c:pt idx="58">
                  <c:v>6.4207550568031568E-2</c:v>
                </c:pt>
                <c:pt idx="59">
                  <c:v>5.5850643018898548E-2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'T6'!$B$15</c:f>
              <c:numCache>
                <c:formatCode>0.000</c:formatCode>
                <c:ptCount val="1"/>
                <c:pt idx="0">
                  <c:v>0.13625617187566796</c:v>
                </c:pt>
              </c:numCache>
            </c:numRef>
          </c:xVal>
          <c:yVal>
            <c:numRef>
              <c:f>'T6'!$I$3</c:f>
              <c:numCache>
                <c:formatCode>General</c:formatCode>
                <c:ptCount val="1"/>
                <c:pt idx="0">
                  <c:v>0.18143013473605477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'T6'!$B$18</c:f>
              <c:numCache>
                <c:formatCode>0.000</c:formatCode>
                <c:ptCount val="1"/>
                <c:pt idx="0">
                  <c:v>0.96436654879985895</c:v>
                </c:pt>
              </c:numCache>
            </c:numRef>
          </c:xVal>
          <c:yVal>
            <c:numRef>
              <c:f>'T6'!$I$3</c:f>
              <c:numCache>
                <c:formatCode>General</c:formatCode>
                <c:ptCount val="1"/>
                <c:pt idx="0">
                  <c:v>0.18143013473605477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'T6'!$B$16</c:f>
              <c:numCache>
                <c:formatCode>0</c:formatCode>
                <c:ptCount val="1"/>
                <c:pt idx="0">
                  <c:v>139.31528939032131</c:v>
                </c:pt>
              </c:numCache>
            </c:numRef>
          </c:xVal>
          <c:yVal>
            <c:numRef>
              <c:f>'T6'!$I$3</c:f>
              <c:numCache>
                <c:formatCode>General</c:formatCode>
                <c:ptCount val="1"/>
                <c:pt idx="0">
                  <c:v>0.18143013473605477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069888"/>
        <c:axId val="162211712"/>
      </c:scatterChart>
      <c:valAx>
        <c:axId val="162069888"/>
        <c:scaling>
          <c:logBase val="10"/>
          <c:orientation val="minMax"/>
          <c:max val="10000"/>
          <c:min val="1E-3"/>
        </c:scaling>
        <c:delete val="0"/>
        <c:axPos val="b"/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Volume, </a:t>
                </a:r>
                <a:r>
                  <a:rPr lang="en-ZA" sz="1175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</a:t>
                </a: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</a:t>
                </a: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/mol]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0.39271255060728744"/>
              <c:y val="0.90000079900639118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2211712"/>
        <c:crossesAt val="-1000000"/>
        <c:crossBetween val="midCat"/>
        <c:minorUnit val="10"/>
      </c:valAx>
      <c:valAx>
        <c:axId val="162211712"/>
        <c:scaling>
          <c:orientation val="minMax"/>
          <c:max val="1000"/>
          <c:min val="-4000"/>
        </c:scaling>
        <c:delete val="0"/>
        <c:axPos val="l"/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Pressure, </a:t>
                </a:r>
                <a:r>
                  <a:rPr lang="en-ZA" sz="1175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</a:t>
                </a: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[bar]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2.4291497975708502E-2"/>
              <c:y val="0.261818414256404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2069888"/>
        <c:crossesAt val="1E-3"/>
        <c:crossBetween val="midCat"/>
        <c:majorUnit val="500"/>
        <c:minorUnit val="10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ZA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7</a:t>
            </a: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ZA"/>
          </a:p>
        </c:rich>
      </c:tx>
      <c:layout>
        <c:manualLayout>
          <c:xMode val="edge"/>
          <c:yMode val="edge"/>
          <c:x val="0.51821862348178138"/>
          <c:y val="0.351750172202629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50202429149797"/>
          <c:y val="3.8674102702906853E-2"/>
          <c:w val="0.73076923076923073"/>
          <c:h val="0.7974231652551746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'T7'!$A$21:$A$80</c:f>
              <c:numCache>
                <c:formatCode>0.000</c:formatCode>
                <c:ptCount val="60"/>
                <c:pt idx="0">
                  <c:v>0.11929554873417722</c:v>
                </c:pt>
                <c:pt idx="1">
                  <c:v>0.1371898810443038</c:v>
                </c:pt>
                <c:pt idx="2">
                  <c:v>0.15776836320094936</c:v>
                </c:pt>
                <c:pt idx="3">
                  <c:v>0.18143361768109176</c:v>
                </c:pt>
                <c:pt idx="4">
                  <c:v>0.20864866033325549</c:v>
                </c:pt>
                <c:pt idx="5">
                  <c:v>0.23994595938324378</c:v>
                </c:pt>
                <c:pt idx="6">
                  <c:v>0.27593785329073034</c:v>
                </c:pt>
                <c:pt idx="7">
                  <c:v>0.31732853128433985</c:v>
                </c:pt>
                <c:pt idx="8">
                  <c:v>0.36492781097699079</c:v>
                </c:pt>
                <c:pt idx="9">
                  <c:v>0.41966698262353935</c:v>
                </c:pt>
                <c:pt idx="10">
                  <c:v>0.48261703001707024</c:v>
                </c:pt>
                <c:pt idx="11">
                  <c:v>0.55500958451963078</c:v>
                </c:pt>
                <c:pt idx="12">
                  <c:v>0.6382610221975753</c:v>
                </c:pt>
                <c:pt idx="13">
                  <c:v>0.73400017552721153</c:v>
                </c:pt>
                <c:pt idx="14">
                  <c:v>0.8441002018562932</c:v>
                </c:pt>
                <c:pt idx="15">
                  <c:v>0.97071523213473709</c:v>
                </c:pt>
                <c:pt idx="16">
                  <c:v>1.1163225169549476</c:v>
                </c:pt>
                <c:pt idx="17">
                  <c:v>1.2837708944981896</c:v>
                </c:pt>
                <c:pt idx="18">
                  <c:v>1.476336528672918</c:v>
                </c:pt>
                <c:pt idx="19">
                  <c:v>1.6977870079738555</c:v>
                </c:pt>
                <c:pt idx="20">
                  <c:v>1.9524550591699337</c:v>
                </c:pt>
                <c:pt idx="21">
                  <c:v>2.2453233180454237</c:v>
                </c:pt>
                <c:pt idx="22">
                  <c:v>2.5821218157522372</c:v>
                </c:pt>
                <c:pt idx="23">
                  <c:v>2.9694400881150727</c:v>
                </c:pt>
                <c:pt idx="24">
                  <c:v>3.4148561013323331</c:v>
                </c:pt>
                <c:pt idx="25">
                  <c:v>3.9270845165321826</c:v>
                </c:pt>
                <c:pt idx="26">
                  <c:v>4.5161471940120093</c:v>
                </c:pt>
                <c:pt idx="27">
                  <c:v>5.1935692731138099</c:v>
                </c:pt>
                <c:pt idx="28">
                  <c:v>5.9726046640808805</c:v>
                </c:pt>
                <c:pt idx="29">
                  <c:v>6.8684953636930119</c:v>
                </c:pt>
                <c:pt idx="30">
                  <c:v>7.8987696682469632</c:v>
                </c:pt>
                <c:pt idx="31">
                  <c:v>9.0835851184840077</c:v>
                </c:pt>
                <c:pt idx="32">
                  <c:v>10.446122886256608</c:v>
                </c:pt>
                <c:pt idx="33">
                  <c:v>12.013041319195098</c:v>
                </c:pt>
                <c:pt idx="34">
                  <c:v>13.814997517074362</c:v>
                </c:pt>
                <c:pt idx="35">
                  <c:v>15.887247144635515</c:v>
                </c:pt>
                <c:pt idx="36">
                  <c:v>18.270334216330841</c:v>
                </c:pt>
                <c:pt idx="37">
                  <c:v>21.010884348780465</c:v>
                </c:pt>
                <c:pt idx="38">
                  <c:v>24.162517001097534</c:v>
                </c:pt>
                <c:pt idx="39">
                  <c:v>27.786894551262161</c:v>
                </c:pt>
                <c:pt idx="40">
                  <c:v>31.954928733951483</c:v>
                </c:pt>
                <c:pt idx="41">
                  <c:v>36.748168044044206</c:v>
                </c:pt>
                <c:pt idx="42">
                  <c:v>42.260393250650836</c:v>
                </c:pt>
                <c:pt idx="43">
                  <c:v>48.59945223824846</c:v>
                </c:pt>
                <c:pt idx="44">
                  <c:v>55.889370073985724</c:v>
                </c:pt>
                <c:pt idx="45">
                  <c:v>64.272775585083579</c:v>
                </c:pt>
                <c:pt idx="46">
                  <c:v>73.913691922846112</c:v>
                </c:pt>
                <c:pt idx="47">
                  <c:v>85.000745711273026</c:v>
                </c:pt>
                <c:pt idx="48">
                  <c:v>97.750857567963976</c:v>
                </c:pt>
                <c:pt idx="49">
                  <c:v>112.41348620315857</c:v>
                </c:pt>
                <c:pt idx="50">
                  <c:v>129.27550913363234</c:v>
                </c:pt>
                <c:pt idx="51">
                  <c:v>148.66683550367719</c:v>
                </c:pt>
                <c:pt idx="52">
                  <c:v>170.96686082922875</c:v>
                </c:pt>
                <c:pt idx="53">
                  <c:v>196.61188995361306</c:v>
                </c:pt>
                <c:pt idx="54">
                  <c:v>226.10367344665499</c:v>
                </c:pt>
                <c:pt idx="55">
                  <c:v>260.01922446365325</c:v>
                </c:pt>
                <c:pt idx="56">
                  <c:v>299.02210813320119</c:v>
                </c:pt>
                <c:pt idx="57">
                  <c:v>343.87542435318136</c:v>
                </c:pt>
                <c:pt idx="58">
                  <c:v>395.45673800615856</c:v>
                </c:pt>
                <c:pt idx="59">
                  <c:v>454.77524870708231</c:v>
                </c:pt>
              </c:numCache>
            </c:numRef>
          </c:xVal>
          <c:yVal>
            <c:numRef>
              <c:f>'T7'!$B$21:$B$80</c:f>
              <c:numCache>
                <c:formatCode>General</c:formatCode>
                <c:ptCount val="60"/>
                <c:pt idx="0">
                  <c:v>2648736.0655439524</c:v>
                </c:pt>
                <c:pt idx="1">
                  <c:v>32.032819012123511</c:v>
                </c:pt>
                <c:pt idx="2">
                  <c:v>-406.42507913353927</c:v>
                </c:pt>
                <c:pt idx="3">
                  <c:v>-401.63286606195885</c:v>
                </c:pt>
                <c:pt idx="4">
                  <c:v>-329.57600053714282</c:v>
                </c:pt>
                <c:pt idx="5">
                  <c:v>-253.81235916656723</c:v>
                </c:pt>
                <c:pt idx="6">
                  <c:v>-188.82118805929002</c:v>
                </c:pt>
                <c:pt idx="7">
                  <c:v>-136.87778270370697</c:v>
                </c:pt>
                <c:pt idx="8">
                  <c:v>-96.796243867898198</c:v>
                </c:pt>
                <c:pt idx="9">
                  <c:v>-66.542193188297915</c:v>
                </c:pt>
                <c:pt idx="10">
                  <c:v>-44.085650064746751</c:v>
                </c:pt>
                <c:pt idx="11">
                  <c:v>-27.665589364748076</c:v>
                </c:pt>
                <c:pt idx="12">
                  <c:v>-15.843149932021534</c:v>
                </c:pt>
                <c:pt idx="13">
                  <c:v>-7.4794729202868799</c:v>
                </c:pt>
                <c:pt idx="14">
                  <c:v>-1.6904363157750686</c:v>
                </c:pt>
                <c:pt idx="15">
                  <c:v>2.2013407654321235</c:v>
                </c:pt>
                <c:pt idx="16">
                  <c:v>4.7097256014708773</c:v>
                </c:pt>
                <c:pt idx="17">
                  <c:v>6.2213610807025068</c:v>
                </c:pt>
                <c:pt idx="18">
                  <c:v>7.0250149758369158</c:v>
                </c:pt>
                <c:pt idx="19">
                  <c:v>7.3347926487667348</c:v>
                </c:pt>
                <c:pt idx="20">
                  <c:v>7.3082312022411511</c:v>
                </c:pt>
                <c:pt idx="21">
                  <c:v>7.0602611802935247</c:v>
                </c:pt>
                <c:pt idx="22">
                  <c:v>6.6738985007628688</c:v>
                </c:pt>
                <c:pt idx="23">
                  <c:v>6.2083836177353611</c:v>
                </c:pt>
                <c:pt idx="24">
                  <c:v>5.705346395550694</c:v>
                </c:pt>
                <c:pt idx="25">
                  <c:v>5.1934547348417253</c:v>
                </c:pt>
                <c:pt idx="26">
                  <c:v>4.6919050623682246</c:v>
                </c:pt>
                <c:pt idx="27">
                  <c:v>4.2130321650423461</c:v>
                </c:pt>
                <c:pt idx="28">
                  <c:v>3.7642519446756331</c:v>
                </c:pt>
                <c:pt idx="29">
                  <c:v>3.3495006391174997</c:v>
                </c:pt>
                <c:pt idx="30">
                  <c:v>2.970295226303497</c:v>
                </c:pt>
                <c:pt idx="31">
                  <c:v>2.6265097867826115</c:v>
                </c:pt>
                <c:pt idx="32">
                  <c:v>2.3169396276221845</c:v>
                </c:pt>
                <c:pt idx="33">
                  <c:v>2.039707414108062</c:v>
                </c:pt>
                <c:pt idx="34">
                  <c:v>1.7925521821174653</c:v>
                </c:pt>
                <c:pt idx="35">
                  <c:v>1.5730319451895323</c:v>
                </c:pt>
                <c:pt idx="36">
                  <c:v>1.3786629124797554</c:v>
                </c:pt>
                <c:pt idx="37">
                  <c:v>1.2070125140626811</c:v>
                </c:pt>
                <c:pt idx="38">
                  <c:v>1.0557590398329577</c:v>
                </c:pt>
                <c:pt idx="39">
                  <c:v>0.92272739361773981</c:v>
                </c:pt>
                <c:pt idx="40">
                  <c:v>0.80590798219345705</c:v>
                </c:pt>
                <c:pt idx="41">
                  <c:v>0.70346389931169939</c:v>
                </c:pt>
                <c:pt idx="42">
                  <c:v>0.61373017515480233</c:v>
                </c:pt>
                <c:pt idx="43">
                  <c:v>0.53520782613352613</c:v>
                </c:pt>
                <c:pt idx="44">
                  <c:v>0.46655467089160579</c:v>
                </c:pt>
                <c:pt idx="45">
                  <c:v>0.40657430941618439</c:v>
                </c:pt>
                <c:pt idx="46">
                  <c:v>0.35420424311273474</c:v>
                </c:pt>
                <c:pt idx="47">
                  <c:v>0.3085038067453974</c:v>
                </c:pt>
                <c:pt idx="48">
                  <c:v>0.26864235976002787</c:v>
                </c:pt>
                <c:pt idx="49">
                  <c:v>0.23388802325455038</c:v>
                </c:pt>
                <c:pt idx="50">
                  <c:v>0.20359713363813925</c:v>
                </c:pt>
                <c:pt idx="51">
                  <c:v>0.17720450275949001</c:v>
                </c:pt>
                <c:pt idx="52">
                  <c:v>0.15421451795901076</c:v>
                </c:pt>
                <c:pt idx="53">
                  <c:v>0.13419307737511671</c:v>
                </c:pt>
                <c:pt idx="54">
                  <c:v>0.11676033089896903</c:v>
                </c:pt>
                <c:pt idx="55">
                  <c:v>0.10158418170693541</c:v>
                </c:pt>
                <c:pt idx="56">
                  <c:v>8.8374494557878713E-2</c:v>
                </c:pt>
                <c:pt idx="57">
                  <c:v>7.6877953001162444E-2</c:v>
                </c:pt>
                <c:pt idx="58">
                  <c:v>6.6873506821175446E-2</c:v>
                </c:pt>
                <c:pt idx="59">
                  <c:v>5.8168352369184412E-2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'T7'!$B$16</c:f>
              <c:numCache>
                <c:formatCode>0</c:formatCode>
                <c:ptCount val="1"/>
                <c:pt idx="0">
                  <c:v>85.747773096660865</c:v>
                </c:pt>
              </c:numCache>
            </c:numRef>
          </c:xVal>
          <c:yVal>
            <c:numRef>
              <c:f>'T7'!$I$3</c:f>
              <c:numCache>
                <c:formatCode>General</c:formatCode>
                <c:ptCount val="1"/>
                <c:pt idx="0">
                  <c:v>0.30584494184815675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'T7'!$B$15</c:f>
              <c:numCache>
                <c:formatCode>0.000</c:formatCode>
                <c:ptCount val="1"/>
                <c:pt idx="0">
                  <c:v>0.137724952917779</c:v>
                </c:pt>
              </c:numCache>
            </c:numRef>
          </c:xVal>
          <c:yVal>
            <c:numRef>
              <c:f>'T7'!$I$3</c:f>
              <c:numCache>
                <c:formatCode>General</c:formatCode>
                <c:ptCount val="1"/>
                <c:pt idx="0">
                  <c:v>0.30584494184815675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'T7'!$B$18</c:f>
              <c:numCache>
                <c:formatCode>0.000</c:formatCode>
                <c:ptCount val="1"/>
                <c:pt idx="0">
                  <c:v>0.90030500756195408</c:v>
                </c:pt>
              </c:numCache>
            </c:numRef>
          </c:xVal>
          <c:yVal>
            <c:numRef>
              <c:f>'T7'!$I$3</c:f>
              <c:numCache>
                <c:formatCode>General</c:formatCode>
                <c:ptCount val="1"/>
                <c:pt idx="0">
                  <c:v>0.30584494184815675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251520"/>
        <c:axId val="162253824"/>
      </c:scatterChart>
      <c:valAx>
        <c:axId val="162251520"/>
        <c:scaling>
          <c:logBase val="10"/>
          <c:orientation val="minMax"/>
          <c:max val="1000"/>
          <c:min val="1E-3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Volume, V [l/mol]</a:t>
                </a:r>
              </a:p>
            </c:rich>
          </c:tx>
          <c:layout>
            <c:manualLayout>
              <c:xMode val="edge"/>
              <c:yMode val="edge"/>
              <c:x val="0.43927125506072873"/>
              <c:y val="0.90239572973449322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2253824"/>
        <c:crossesAt val="-1000000"/>
        <c:crossBetween val="midCat"/>
        <c:majorUnit val="10"/>
        <c:minorUnit val="10"/>
      </c:valAx>
      <c:valAx>
        <c:axId val="162253824"/>
        <c:scaling>
          <c:orientation val="minMax"/>
          <c:max val="100"/>
          <c:min val="-4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Pressure, P [bar]</a:t>
                </a:r>
              </a:p>
            </c:rich>
          </c:tx>
          <c:layout>
            <c:manualLayout>
              <c:xMode val="edge"/>
              <c:yMode val="edge"/>
              <c:x val="5.2631578947368418E-2"/>
              <c:y val="0.314917693437955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2251520"/>
        <c:crossesAt val="1E-3"/>
        <c:crossBetween val="midCat"/>
        <c:majorUnit val="100"/>
        <c:minorUnit val="5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ZA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8</a:t>
            </a: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ZA"/>
          </a:p>
        </c:rich>
      </c:tx>
      <c:layout>
        <c:manualLayout>
          <c:xMode val="edge"/>
          <c:yMode val="edge"/>
          <c:x val="0.65858618340937869"/>
          <c:y val="0.37676088726281159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08091070909818"/>
          <c:y val="3.6971862768780575E-2"/>
          <c:w val="0.73131349200673335"/>
          <c:h val="0.8063387213381668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'T8'!$A$21:$A$85</c:f>
              <c:numCache>
                <c:formatCode>0.000</c:formatCode>
                <c:ptCount val="65"/>
                <c:pt idx="0">
                  <c:v>0.11929554873417722</c:v>
                </c:pt>
                <c:pt idx="1">
                  <c:v>0.1371898810443038</c:v>
                </c:pt>
                <c:pt idx="2">
                  <c:v>0.15776836320094936</c:v>
                </c:pt>
                <c:pt idx="3">
                  <c:v>0.18143361768109176</c:v>
                </c:pt>
                <c:pt idx="4">
                  <c:v>0.20864866033325549</c:v>
                </c:pt>
                <c:pt idx="5">
                  <c:v>0.23994595938324378</c:v>
                </c:pt>
                <c:pt idx="6">
                  <c:v>0.27593785329073034</c:v>
                </c:pt>
                <c:pt idx="7">
                  <c:v>0.31732853128433985</c:v>
                </c:pt>
                <c:pt idx="8">
                  <c:v>0.36492781097699079</c:v>
                </c:pt>
                <c:pt idx="9">
                  <c:v>0.41966698262353935</c:v>
                </c:pt>
                <c:pt idx="10">
                  <c:v>0.48261703001707024</c:v>
                </c:pt>
                <c:pt idx="11">
                  <c:v>0.55500958451963078</c:v>
                </c:pt>
                <c:pt idx="12">
                  <c:v>0.6382610221975753</c:v>
                </c:pt>
                <c:pt idx="13">
                  <c:v>0.73400017552721153</c:v>
                </c:pt>
                <c:pt idx="14">
                  <c:v>0.8441002018562932</c:v>
                </c:pt>
                <c:pt idx="15">
                  <c:v>0.97071523213473709</c:v>
                </c:pt>
                <c:pt idx="16">
                  <c:v>1.1163225169549476</c:v>
                </c:pt>
                <c:pt idx="17">
                  <c:v>1.2837708944981896</c:v>
                </c:pt>
                <c:pt idx="18">
                  <c:v>1.476336528672918</c:v>
                </c:pt>
                <c:pt idx="19">
                  <c:v>1.6977870079738555</c:v>
                </c:pt>
                <c:pt idx="20">
                  <c:v>1.9524550591699337</c:v>
                </c:pt>
                <c:pt idx="21">
                  <c:v>2.2453233180454237</c:v>
                </c:pt>
                <c:pt idx="22">
                  <c:v>2.5821218157522372</c:v>
                </c:pt>
                <c:pt idx="23">
                  <c:v>2.9694400881150727</c:v>
                </c:pt>
                <c:pt idx="24">
                  <c:v>3.4148561013323331</c:v>
                </c:pt>
                <c:pt idx="25">
                  <c:v>3.9270845165321826</c:v>
                </c:pt>
                <c:pt idx="26">
                  <c:v>4.5161471940120093</c:v>
                </c:pt>
                <c:pt idx="27">
                  <c:v>5.1935692731138099</c:v>
                </c:pt>
                <c:pt idx="28">
                  <c:v>5.9726046640808805</c:v>
                </c:pt>
                <c:pt idx="29">
                  <c:v>6.8684953636930119</c:v>
                </c:pt>
                <c:pt idx="30">
                  <c:v>7.8987696682469632</c:v>
                </c:pt>
                <c:pt idx="31">
                  <c:v>9.0835851184840077</c:v>
                </c:pt>
                <c:pt idx="32">
                  <c:v>10.446122886256608</c:v>
                </c:pt>
                <c:pt idx="33">
                  <c:v>12.013041319195098</c:v>
                </c:pt>
                <c:pt idx="34">
                  <c:v>13.814997517074362</c:v>
                </c:pt>
                <c:pt idx="35">
                  <c:v>15.887247144635515</c:v>
                </c:pt>
                <c:pt idx="36">
                  <c:v>18.270334216330841</c:v>
                </c:pt>
                <c:pt idx="37">
                  <c:v>21.010884348780465</c:v>
                </c:pt>
                <c:pt idx="38">
                  <c:v>24.162517001097534</c:v>
                </c:pt>
                <c:pt idx="39">
                  <c:v>27.786894551262161</c:v>
                </c:pt>
                <c:pt idx="40">
                  <c:v>31.954928733951483</c:v>
                </c:pt>
                <c:pt idx="41">
                  <c:v>36.748168044044206</c:v>
                </c:pt>
                <c:pt idx="42">
                  <c:v>42.260393250650836</c:v>
                </c:pt>
                <c:pt idx="43">
                  <c:v>48.59945223824846</c:v>
                </c:pt>
                <c:pt idx="44">
                  <c:v>55.889370073985724</c:v>
                </c:pt>
                <c:pt idx="45">
                  <c:v>64.272775585083579</c:v>
                </c:pt>
                <c:pt idx="46">
                  <c:v>73.913691922846112</c:v>
                </c:pt>
                <c:pt idx="47">
                  <c:v>85.000745711273026</c:v>
                </c:pt>
                <c:pt idx="48">
                  <c:v>97.750857567963976</c:v>
                </c:pt>
                <c:pt idx="49">
                  <c:v>112.41348620315857</c:v>
                </c:pt>
                <c:pt idx="50">
                  <c:v>129.27550913363234</c:v>
                </c:pt>
                <c:pt idx="51">
                  <c:v>148.66683550367719</c:v>
                </c:pt>
                <c:pt idx="52">
                  <c:v>170.96686082922875</c:v>
                </c:pt>
                <c:pt idx="53">
                  <c:v>196.61188995361306</c:v>
                </c:pt>
                <c:pt idx="54">
                  <c:v>226.10367344665499</c:v>
                </c:pt>
                <c:pt idx="55">
                  <c:v>260.01922446365325</c:v>
                </c:pt>
                <c:pt idx="56">
                  <c:v>299.02210813320119</c:v>
                </c:pt>
                <c:pt idx="57">
                  <c:v>343.87542435318136</c:v>
                </c:pt>
                <c:pt idx="58">
                  <c:v>395.45673800615856</c:v>
                </c:pt>
                <c:pt idx="59">
                  <c:v>454.77524870708231</c:v>
                </c:pt>
                <c:pt idx="60">
                  <c:v>522.99153601314458</c:v>
                </c:pt>
                <c:pt idx="61">
                  <c:v>601.44026641511618</c:v>
                </c:pt>
                <c:pt idx="62">
                  <c:v>691.65630637738354</c:v>
                </c:pt>
                <c:pt idx="63">
                  <c:v>795.40475233399104</c:v>
                </c:pt>
                <c:pt idx="64">
                  <c:v>914.71546518408968</c:v>
                </c:pt>
              </c:numCache>
            </c:numRef>
          </c:xVal>
          <c:yVal>
            <c:numRef>
              <c:f>'T8'!$B$21:$B$85</c:f>
              <c:numCache>
                <c:formatCode>General</c:formatCode>
                <c:ptCount val="65"/>
                <c:pt idx="0">
                  <c:v>2758376.8113321052</c:v>
                </c:pt>
                <c:pt idx="1">
                  <c:v>124.17970484627557</c:v>
                </c:pt>
                <c:pt idx="2">
                  <c:v>-354.55527900645757</c:v>
                </c:pt>
                <c:pt idx="3">
                  <c:v>-366.31169401893152</c:v>
                </c:pt>
                <c:pt idx="4">
                  <c:v>-303.93837228489548</c:v>
                </c:pt>
                <c:pt idx="5">
                  <c:v>-234.61706055120331</c:v>
                </c:pt>
                <c:pt idx="6">
                  <c:v>-174.17871163503108</c:v>
                </c:pt>
                <c:pt idx="7">
                  <c:v>-125.56208809626236</c:v>
                </c:pt>
                <c:pt idx="8">
                  <c:v>-87.96279462626191</c:v>
                </c:pt>
                <c:pt idx="9">
                  <c:v>-59.58788403540904</c:v>
                </c:pt>
                <c:pt idx="10">
                  <c:v>-38.569601507282904</c:v>
                </c:pt>
                <c:pt idx="11">
                  <c:v>-23.260240383017326</c:v>
                </c:pt>
                <c:pt idx="12">
                  <c:v>-12.3021889940467</c:v>
                </c:pt>
                <c:pt idx="13">
                  <c:v>-4.6159212656359436</c:v>
                </c:pt>
                <c:pt idx="14">
                  <c:v>0.63877094544482138</c:v>
                </c:pt>
                <c:pt idx="15">
                  <c:v>4.1064295752792894</c:v>
                </c:pt>
                <c:pt idx="16">
                  <c:v>6.2761599916688917</c:v>
                </c:pt>
                <c:pt idx="17">
                  <c:v>7.515802355909404</c:v>
                </c:pt>
                <c:pt idx="18">
                  <c:v>8.0997584457691385</c:v>
                </c:pt>
                <c:pt idx="19">
                  <c:v>8.2310953618301941</c:v>
                </c:pt>
                <c:pt idx="20">
                  <c:v>8.0588235282254566</c:v>
                </c:pt>
                <c:pt idx="21">
                  <c:v>7.6912528400012823</c:v>
                </c:pt>
                <c:pt idx="22">
                  <c:v>7.2062322876252551</c:v>
                </c:pt>
                <c:pt idx="23">
                  <c:v>6.6589493641168609</c:v>
                </c:pt>
                <c:pt idx="24">
                  <c:v>6.0878384692958125</c:v>
                </c:pt>
                <c:pt idx="25">
                  <c:v>5.5190350742637859</c:v>
                </c:pt>
                <c:pt idx="26">
                  <c:v>4.969718155704876</c:v>
                </c:pt>
                <c:pt idx="27">
                  <c:v>4.4506068598031137</c:v>
                </c:pt>
                <c:pt idx="28">
                  <c:v>3.9678164166094358</c:v>
                </c:pt>
                <c:pt idx="29">
                  <c:v>3.5242304660023165</c:v>
                </c:pt>
                <c:pt idx="30">
                  <c:v>3.1205097276605067</c:v>
                </c:pt>
                <c:pt idx="31">
                  <c:v>2.7558281926652133</c:v>
                </c:pt>
                <c:pt idx="32">
                  <c:v>2.4284059248071594</c:v>
                </c:pt>
                <c:pt idx="33">
                  <c:v>2.135890663281022</c:v>
                </c:pt>
                <c:pt idx="34">
                  <c:v>1.8756275399656972</c:v>
                </c:pt>
                <c:pt idx="35">
                  <c:v>1.6448464380457062</c:v>
                </c:pt>
                <c:pt idx="36">
                  <c:v>1.4407891018118908</c:v>
                </c:pt>
                <c:pt idx="37">
                  <c:v>1.2607925002140516</c:v>
                </c:pt>
                <c:pt idx="38">
                  <c:v>1.1023407175986215</c:v>
                </c:pt>
                <c:pt idx="39">
                  <c:v>0.96309446284305678</c:v>
                </c:pt>
                <c:pt idx="40">
                  <c:v>0.84090489943962476</c:v>
                </c:pt>
                <c:pt idx="41">
                  <c:v>0.73381671071874666</c:v>
                </c:pt>
                <c:pt idx="42">
                  <c:v>0.64006397925421721</c:v>
                </c:pt>
                <c:pt idx="43">
                  <c:v>0.55806146585406236</c:v>
                </c:pt>
                <c:pt idx="44">
                  <c:v>0.48639313672922407</c:v>
                </c:pt>
                <c:pt idx="45">
                  <c:v>0.42379924336032171</c:v>
                </c:pt>
                <c:pt idx="46">
                  <c:v>0.36916285982784847</c:v>
                </c:pt>
                <c:pt idx="47">
                  <c:v>0.32149649040536415</c:v>
                </c:pt>
                <c:pt idx="48">
                  <c:v>0.2799291485281844</c:v>
                </c:pt>
                <c:pt idx="49">
                  <c:v>0.24369415615828935</c:v>
                </c:pt>
                <c:pt idx="50">
                  <c:v>0.21211780454739393</c:v>
                </c:pt>
                <c:pt idx="51">
                  <c:v>0.18460894182881177</c:v>
                </c:pt>
                <c:pt idx="52">
                  <c:v>0.16064950105742223</c:v>
                </c:pt>
                <c:pt idx="53">
                  <c:v>0.13978594779035938</c:v>
                </c:pt>
                <c:pt idx="54">
                  <c:v>0.12162160424669236</c:v>
                </c:pt>
                <c:pt idx="55">
                  <c:v>0.10580979393829752</c:v>
                </c:pt>
                <c:pt idx="56">
                  <c:v>9.204774379748891E-2</c:v>
                </c:pt>
                <c:pt idx="57">
                  <c:v>8.0071178310161653E-2</c:v>
                </c:pt>
                <c:pt idx="58">
                  <c:v>6.9649540588225547E-2</c:v>
                </c:pt>
                <c:pt idx="59">
                  <c:v>6.0581777662020359E-2</c:v>
                </c:pt>
                <c:pt idx="60">
                  <c:v>5.2692630810080701E-2</c:v>
                </c:pt>
                <c:pt idx="61">
                  <c:v>4.582937595056466E-2</c:v>
                </c:pt>
                <c:pt idx="62">
                  <c:v>3.9858963632825581E-2</c:v>
                </c:pt>
                <c:pt idx="63">
                  <c:v>3.4665512740394817E-2</c:v>
                </c:pt>
                <c:pt idx="64">
                  <c:v>3.0148116482665074E-2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'T8'!$B$16</c:f>
              <c:numCache>
                <c:formatCode>0</c:formatCode>
                <c:ptCount val="1"/>
                <c:pt idx="0">
                  <c:v>54.239504994725849</c:v>
                </c:pt>
              </c:numCache>
            </c:numRef>
          </c:xVal>
          <c:yVal>
            <c:numRef>
              <c:f>'T8'!$I$3</c:f>
              <c:numCache>
                <c:formatCode>General</c:formatCode>
                <c:ptCount val="1"/>
                <c:pt idx="0">
                  <c:v>0.50095379404491969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'T8'!$B$15</c:f>
              <c:numCache>
                <c:formatCode>0.000</c:formatCode>
                <c:ptCount val="1"/>
                <c:pt idx="0">
                  <c:v>0.13937686391254375</c:v>
                </c:pt>
              </c:numCache>
            </c:numRef>
          </c:xVal>
          <c:yVal>
            <c:numRef>
              <c:f>'T8'!$I$3</c:f>
              <c:numCache>
                <c:formatCode>General</c:formatCode>
                <c:ptCount val="1"/>
                <c:pt idx="0">
                  <c:v>0.50095379404491969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'T8'!$B$18</c:f>
              <c:numCache>
                <c:formatCode>0.000</c:formatCode>
                <c:ptCount val="1"/>
                <c:pt idx="0">
                  <c:v>0.84032449722957381</c:v>
                </c:pt>
              </c:numCache>
            </c:numRef>
          </c:xVal>
          <c:yVal>
            <c:numRef>
              <c:f>'T8'!$I$3</c:f>
              <c:numCache>
                <c:formatCode>General</c:formatCode>
                <c:ptCount val="1"/>
                <c:pt idx="0">
                  <c:v>0.50095379404491969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21312"/>
        <c:axId val="162636160"/>
      </c:scatterChart>
      <c:valAx>
        <c:axId val="162621312"/>
        <c:scaling>
          <c:logBase val="10"/>
          <c:orientation val="minMax"/>
          <c:max val="1000"/>
          <c:min val="1E-3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Volume, V [l/mol]</a:t>
                </a:r>
              </a:p>
            </c:rich>
          </c:tx>
          <c:layout>
            <c:manualLayout>
              <c:xMode val="edge"/>
              <c:yMode val="edge"/>
              <c:x val="0.44040425761731455"/>
              <c:y val="0.90669092028199982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2636160"/>
        <c:crossesAt val="-1000000"/>
        <c:crossBetween val="midCat"/>
        <c:majorUnit val="10"/>
        <c:minorUnit val="10"/>
      </c:valAx>
      <c:valAx>
        <c:axId val="162636160"/>
        <c:scaling>
          <c:orientation val="minMax"/>
          <c:max val="100"/>
          <c:min val="-4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Pressure, P [bar]</a:t>
                </a:r>
              </a:p>
            </c:rich>
          </c:tx>
          <c:layout>
            <c:manualLayout>
              <c:xMode val="edge"/>
              <c:yMode val="edge"/>
              <c:x val="5.2525278431422837E-2"/>
              <c:y val="0.323943940450267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2621312"/>
        <c:crossesAt val="1E-3"/>
        <c:crossBetween val="midCat"/>
        <c:majorUnit val="100"/>
        <c:minorUnit val="5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ZA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9</a:t>
            </a: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ZA"/>
          </a:p>
        </c:rich>
      </c:tx>
      <c:layout>
        <c:manualLayout>
          <c:xMode val="edge"/>
          <c:yMode val="edge"/>
          <c:x val="0.52112752854165301"/>
          <c:y val="0.3514943013042446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724376617679638"/>
          <c:y val="3.690690163694569E-2"/>
          <c:w val="0.74245582251687248"/>
          <c:h val="0.8066794214932414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'T9'!$A$21:$A$85</c:f>
              <c:numCache>
                <c:formatCode>0.000</c:formatCode>
                <c:ptCount val="65"/>
                <c:pt idx="0">
                  <c:v>0.11929554873417722</c:v>
                </c:pt>
                <c:pt idx="1">
                  <c:v>0.1371898810443038</c:v>
                </c:pt>
                <c:pt idx="2">
                  <c:v>0.15776836320094936</c:v>
                </c:pt>
                <c:pt idx="3">
                  <c:v>0.18143361768109176</c:v>
                </c:pt>
                <c:pt idx="4">
                  <c:v>0.20864866033325549</c:v>
                </c:pt>
                <c:pt idx="5">
                  <c:v>0.23994595938324378</c:v>
                </c:pt>
                <c:pt idx="6">
                  <c:v>0.27593785329073034</c:v>
                </c:pt>
                <c:pt idx="7">
                  <c:v>0.31732853128433985</c:v>
                </c:pt>
                <c:pt idx="8">
                  <c:v>0.36492781097699079</c:v>
                </c:pt>
                <c:pt idx="9">
                  <c:v>0.41966698262353935</c:v>
                </c:pt>
                <c:pt idx="10">
                  <c:v>0.48261703001707024</c:v>
                </c:pt>
                <c:pt idx="11">
                  <c:v>0.55500958451963078</c:v>
                </c:pt>
                <c:pt idx="12">
                  <c:v>0.6382610221975753</c:v>
                </c:pt>
                <c:pt idx="13">
                  <c:v>0.73400017552721153</c:v>
                </c:pt>
                <c:pt idx="14">
                  <c:v>0.8441002018562932</c:v>
                </c:pt>
                <c:pt idx="15">
                  <c:v>0.97071523213473709</c:v>
                </c:pt>
                <c:pt idx="16">
                  <c:v>1.1163225169549476</c:v>
                </c:pt>
                <c:pt idx="17">
                  <c:v>1.2837708944981896</c:v>
                </c:pt>
                <c:pt idx="18">
                  <c:v>1.476336528672918</c:v>
                </c:pt>
                <c:pt idx="19">
                  <c:v>1.6977870079738555</c:v>
                </c:pt>
                <c:pt idx="20">
                  <c:v>1.9524550591699337</c:v>
                </c:pt>
                <c:pt idx="21">
                  <c:v>2.2453233180454237</c:v>
                </c:pt>
                <c:pt idx="22">
                  <c:v>2.5821218157522372</c:v>
                </c:pt>
                <c:pt idx="23">
                  <c:v>2.9694400881150727</c:v>
                </c:pt>
                <c:pt idx="24">
                  <c:v>3.4148561013323331</c:v>
                </c:pt>
                <c:pt idx="25">
                  <c:v>3.9270845165321826</c:v>
                </c:pt>
                <c:pt idx="26">
                  <c:v>4.5161471940120093</c:v>
                </c:pt>
                <c:pt idx="27">
                  <c:v>5.1935692731138099</c:v>
                </c:pt>
                <c:pt idx="28">
                  <c:v>5.9726046640808805</c:v>
                </c:pt>
                <c:pt idx="29">
                  <c:v>6.8684953636930119</c:v>
                </c:pt>
                <c:pt idx="30">
                  <c:v>7.8987696682469632</c:v>
                </c:pt>
                <c:pt idx="31">
                  <c:v>9.0835851184840077</c:v>
                </c:pt>
                <c:pt idx="32">
                  <c:v>10.446122886256608</c:v>
                </c:pt>
                <c:pt idx="33">
                  <c:v>12.013041319195098</c:v>
                </c:pt>
                <c:pt idx="34">
                  <c:v>13.814997517074362</c:v>
                </c:pt>
                <c:pt idx="35">
                  <c:v>15.887247144635515</c:v>
                </c:pt>
                <c:pt idx="36">
                  <c:v>18.270334216330841</c:v>
                </c:pt>
                <c:pt idx="37">
                  <c:v>21.010884348780465</c:v>
                </c:pt>
                <c:pt idx="38">
                  <c:v>24.162517001097534</c:v>
                </c:pt>
                <c:pt idx="39">
                  <c:v>27.786894551262161</c:v>
                </c:pt>
                <c:pt idx="40">
                  <c:v>31.954928733951483</c:v>
                </c:pt>
                <c:pt idx="41">
                  <c:v>36.748168044044206</c:v>
                </c:pt>
                <c:pt idx="42">
                  <c:v>42.260393250650836</c:v>
                </c:pt>
                <c:pt idx="43">
                  <c:v>48.59945223824846</c:v>
                </c:pt>
                <c:pt idx="44">
                  <c:v>55.889370073985724</c:v>
                </c:pt>
                <c:pt idx="45">
                  <c:v>64.272775585083579</c:v>
                </c:pt>
                <c:pt idx="46">
                  <c:v>73.913691922846112</c:v>
                </c:pt>
                <c:pt idx="47">
                  <c:v>85.000745711273026</c:v>
                </c:pt>
                <c:pt idx="48">
                  <c:v>97.750857567963976</c:v>
                </c:pt>
                <c:pt idx="49">
                  <c:v>112.41348620315857</c:v>
                </c:pt>
                <c:pt idx="50">
                  <c:v>129.27550913363234</c:v>
                </c:pt>
                <c:pt idx="51">
                  <c:v>148.66683550367719</c:v>
                </c:pt>
                <c:pt idx="52">
                  <c:v>170.96686082922875</c:v>
                </c:pt>
                <c:pt idx="53">
                  <c:v>196.61188995361306</c:v>
                </c:pt>
                <c:pt idx="54">
                  <c:v>226.10367344665499</c:v>
                </c:pt>
                <c:pt idx="55">
                  <c:v>260.01922446365325</c:v>
                </c:pt>
                <c:pt idx="56">
                  <c:v>299.02210813320119</c:v>
                </c:pt>
                <c:pt idx="57">
                  <c:v>343.87542435318136</c:v>
                </c:pt>
                <c:pt idx="58">
                  <c:v>395.45673800615856</c:v>
                </c:pt>
                <c:pt idx="59">
                  <c:v>454.77524870708231</c:v>
                </c:pt>
                <c:pt idx="60">
                  <c:v>522.99153601314458</c:v>
                </c:pt>
                <c:pt idx="61">
                  <c:v>601.44026641511618</c:v>
                </c:pt>
                <c:pt idx="62">
                  <c:v>691.65630637738354</c:v>
                </c:pt>
                <c:pt idx="63">
                  <c:v>795.40475233399104</c:v>
                </c:pt>
                <c:pt idx="64">
                  <c:v>914.71546518408968</c:v>
                </c:pt>
              </c:numCache>
            </c:numRef>
          </c:xVal>
          <c:yVal>
            <c:numRef>
              <c:f>'T9'!$B$21:$B$85</c:f>
              <c:numCache>
                <c:formatCode>General</c:formatCode>
                <c:ptCount val="65"/>
                <c:pt idx="0">
                  <c:v>2872549.3290378745</c:v>
                </c:pt>
                <c:pt idx="1">
                  <c:v>218.86458272535063</c:v>
                </c:pt>
                <c:pt idx="2">
                  <c:v>-301.50265943760724</c:v>
                </c:pt>
                <c:pt idx="3">
                  <c:v>-330.25739251789821</c:v>
                </c:pt>
                <c:pt idx="4">
                  <c:v>-277.79064590872377</c:v>
                </c:pt>
                <c:pt idx="5">
                  <c:v>-215.04392848677765</c:v>
                </c:pt>
                <c:pt idx="6">
                  <c:v>-159.24524324770692</c:v>
                </c:pt>
                <c:pt idx="7">
                  <c:v>-114.01627779474967</c:v>
                </c:pt>
                <c:pt idx="8">
                  <c:v>-78.94388484067494</c:v>
                </c:pt>
                <c:pt idx="9">
                  <c:v>-52.481971260763657</c:v>
                </c:pt>
                <c:pt idx="10">
                  <c:v>-32.928267860866029</c:v>
                </c:pt>
                <c:pt idx="11">
                  <c:v>-18.750464858077738</c:v>
                </c:pt>
                <c:pt idx="12">
                  <c:v>-8.673588239673018</c:v>
                </c:pt>
                <c:pt idx="13">
                  <c:v>-1.6784073803479986</c:v>
                </c:pt>
                <c:pt idx="14">
                  <c:v>3.0306833601156766</c:v>
                </c:pt>
                <c:pt idx="15">
                  <c:v>6.0648814085725959</c:v>
                </c:pt>
                <c:pt idx="16">
                  <c:v>7.888150800627332</c:v>
                </c:pt>
                <c:pt idx="17">
                  <c:v>8.8492387997211228</c:v>
                </c:pt>
                <c:pt idx="18">
                  <c:v>9.2079556404732745</c:v>
                </c:pt>
                <c:pt idx="19">
                  <c:v>9.1561523584711715</c:v>
                </c:pt>
                <c:pt idx="20">
                  <c:v>8.8341708044997862</c:v>
                </c:pt>
                <c:pt idx="21">
                  <c:v>8.3435857680247416</c:v>
                </c:pt>
                <c:pt idx="22">
                  <c:v>7.7569861191368439</c:v>
                </c:pt>
                <c:pt idx="23">
                  <c:v>7.1254298847464019</c:v>
                </c:pt>
                <c:pt idx="24">
                  <c:v>6.4840927411911427</c:v>
                </c:pt>
                <c:pt idx="25">
                  <c:v>5.856525092540152</c:v>
                </c:pt>
                <c:pt idx="26">
                  <c:v>5.2578444228169818</c:v>
                </c:pt>
                <c:pt idx="27">
                  <c:v>4.6971172070532647</c:v>
                </c:pt>
                <c:pt idx="28">
                  <c:v>4.1791267360750179</c:v>
                </c:pt>
                <c:pt idx="29">
                  <c:v>3.7056775517951053</c:v>
                </c:pt>
                <c:pt idx="30">
                  <c:v>3.2765515827555136</c:v>
                </c:pt>
                <c:pt idx="31">
                  <c:v>2.8902035161007422</c:v>
                </c:pt>
                <c:pt idx="32">
                  <c:v>2.5442617465919319</c:v>
                </c:pt>
                <c:pt idx="33">
                  <c:v>2.2358850148463678</c:v>
                </c:pt>
                <c:pt idx="34">
                  <c:v>1.9620124693493444</c:v>
                </c:pt>
                <c:pt idx="35">
                  <c:v>1.7195354770503593</c:v>
                </c:pt>
                <c:pt idx="36">
                  <c:v>1.5054123745826145</c:v>
                </c:pt>
                <c:pt idx="37">
                  <c:v>1.3167419597740582</c:v>
                </c:pt>
                <c:pt idx="38">
                  <c:v>1.1508074569147833</c:v>
                </c:pt>
                <c:pt idx="39">
                  <c:v>1.0050996308730171</c:v>
                </c:pt>
                <c:pt idx="40">
                  <c:v>0.87732543086639625</c:v>
                </c:pt>
                <c:pt idx="41">
                  <c:v>0.76540682842890173</c:v>
                </c:pt>
                <c:pt idx="42">
                  <c:v>0.66747323418858384</c:v>
                </c:pt>
                <c:pt idx="43">
                  <c:v>0.58184992684732018</c:v>
                </c:pt>
                <c:pt idx="44">
                  <c:v>0.50704422361434909</c:v>
                </c:pt>
                <c:pt idx="45">
                  <c:v>0.44173060251828361</c:v>
                </c:pt>
                <c:pt idx="46">
                  <c:v>0.38473560683757591</c:v>
                </c:pt>
                <c:pt idx="47">
                  <c:v>0.33502308514759188</c:v>
                </c:pt>
                <c:pt idx="48">
                  <c:v>0.29168012068240773</c:v>
                </c:pt>
                <c:pt idx="49">
                  <c:v>0.2539038609356597</c:v>
                </c:pt>
                <c:pt idx="50">
                  <c:v>0.2209893577405419</c:v>
                </c:pt>
                <c:pt idx="51">
                  <c:v>0.19231845829619279</c:v>
                </c:pt>
                <c:pt idx="52">
                  <c:v>0.16734974040130066</c:v>
                </c:pt>
                <c:pt idx="53">
                  <c:v>0.14560945430331754</c:v>
                </c:pt>
                <c:pt idx="54">
                  <c:v>0.12668341446315665</c:v>
                </c:pt>
                <c:pt idx="55">
                  <c:v>0.11020977376262385</c:v>
                </c:pt>
                <c:pt idx="56">
                  <c:v>9.587260773695272E-2</c:v>
                </c:pt>
                <c:pt idx="57">
                  <c:v>8.3396235461746196E-2</c:v>
                </c:pt>
                <c:pt idx="58">
                  <c:v>7.2540205427327295E-2</c:v>
                </c:pt>
                <c:pt idx="59">
                  <c:v>6.309487813103265E-2</c:v>
                </c:pt>
                <c:pt idx="60">
                  <c:v>5.4877541521934206E-2</c:v>
                </c:pt>
                <c:pt idx="61">
                  <c:v>4.7729000358580513E-2</c:v>
                </c:pt>
                <c:pt idx="62">
                  <c:v>4.1510585653424803E-2</c:v>
                </c:pt>
                <c:pt idx="63">
                  <c:v>3.610153545119698E-2</c:v>
                </c:pt>
                <c:pt idx="64">
                  <c:v>3.1396703074870858E-2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'T9'!$B$16</c:f>
              <c:numCache>
                <c:formatCode>0</c:formatCode>
                <c:ptCount val="1"/>
                <c:pt idx="0">
                  <c:v>35.180248120405857</c:v>
                </c:pt>
              </c:numCache>
            </c:numRef>
          </c:xVal>
          <c:yVal>
            <c:numRef>
              <c:f>'T9'!$I$3</c:f>
              <c:numCache>
                <c:formatCode>General</c:formatCode>
                <c:ptCount val="1"/>
                <c:pt idx="0">
                  <c:v>0.79873897287460038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'T9'!$B$15</c:f>
              <c:numCache>
                <c:formatCode>0.000</c:formatCode>
                <c:ptCount val="1"/>
                <c:pt idx="0">
                  <c:v>0.14124685775470069</c:v>
                </c:pt>
              </c:numCache>
            </c:numRef>
          </c:xVal>
          <c:yVal>
            <c:numRef>
              <c:f>'T9'!$I$3</c:f>
              <c:numCache>
                <c:formatCode>General</c:formatCode>
                <c:ptCount val="1"/>
                <c:pt idx="0">
                  <c:v>0.79873897287460038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'T9'!$B$18</c:f>
              <c:numCache>
                <c:formatCode>0.000</c:formatCode>
                <c:ptCount val="1"/>
                <c:pt idx="0">
                  <c:v>0.78430350713092167</c:v>
                </c:pt>
              </c:numCache>
            </c:numRef>
          </c:xVal>
          <c:yVal>
            <c:numRef>
              <c:f>'T9'!$I$3</c:f>
              <c:numCache>
                <c:formatCode>General</c:formatCode>
                <c:ptCount val="1"/>
                <c:pt idx="0">
                  <c:v>0.79873897287460038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749440"/>
        <c:axId val="162797056"/>
      </c:scatterChart>
      <c:valAx>
        <c:axId val="162749440"/>
        <c:scaling>
          <c:logBase val="10"/>
          <c:orientation val="minMax"/>
          <c:max val="10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Volume, V [l/mol]</a:t>
                </a:r>
              </a:p>
            </c:rich>
          </c:tx>
          <c:layout>
            <c:manualLayout>
              <c:xMode val="edge"/>
              <c:yMode val="edge"/>
              <c:x val="0.4446686633502136"/>
              <c:y val="0.90685529736495119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2797056"/>
        <c:crossesAt val="-1000000"/>
        <c:crossBetween val="midCat"/>
        <c:majorUnit val="10"/>
        <c:minorUnit val="10"/>
      </c:valAx>
      <c:valAx>
        <c:axId val="162797056"/>
        <c:scaling>
          <c:orientation val="minMax"/>
          <c:max val="100"/>
          <c:min val="-4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Pressure, P [bar]</a:t>
                </a:r>
              </a:p>
            </c:rich>
          </c:tx>
          <c:layout>
            <c:manualLayout>
              <c:xMode val="edge"/>
              <c:yMode val="edge"/>
              <c:x val="5.2313960394142781E-2"/>
              <c:y val="0.323374757199905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2749440"/>
        <c:crossesAt val="1E-3"/>
        <c:crossBetween val="midCat"/>
        <c:majorUnit val="100"/>
        <c:minorUnit val="5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ZA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10</a:t>
            </a: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ZA"/>
          </a:p>
        </c:rich>
      </c:tx>
      <c:layout>
        <c:manualLayout>
          <c:xMode val="edge"/>
          <c:yMode val="edge"/>
          <c:x val="0.54969791811104729"/>
          <c:y val="0.22862197331829001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68973713923499"/>
          <c:y val="3.6649323967054129E-2"/>
          <c:w val="0.74239645029019674"/>
          <c:h val="0.808030333178383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'T10'!$A$21:$A$85</c:f>
              <c:numCache>
                <c:formatCode>0.000</c:formatCode>
                <c:ptCount val="65"/>
                <c:pt idx="0">
                  <c:v>0.11929554873417722</c:v>
                </c:pt>
                <c:pt idx="1">
                  <c:v>0.1371898810443038</c:v>
                </c:pt>
                <c:pt idx="2">
                  <c:v>0.15776836320094936</c:v>
                </c:pt>
                <c:pt idx="3">
                  <c:v>0.18143361768109176</c:v>
                </c:pt>
                <c:pt idx="4">
                  <c:v>0.20864866033325549</c:v>
                </c:pt>
                <c:pt idx="5">
                  <c:v>0.23994595938324378</c:v>
                </c:pt>
                <c:pt idx="6">
                  <c:v>0.27593785329073034</c:v>
                </c:pt>
                <c:pt idx="7">
                  <c:v>0.31732853128433985</c:v>
                </c:pt>
                <c:pt idx="8">
                  <c:v>0.36492781097699079</c:v>
                </c:pt>
                <c:pt idx="9">
                  <c:v>0.41966698262353935</c:v>
                </c:pt>
                <c:pt idx="10">
                  <c:v>0.48261703001707024</c:v>
                </c:pt>
                <c:pt idx="11">
                  <c:v>0.55500958451963078</c:v>
                </c:pt>
                <c:pt idx="12">
                  <c:v>0.6382610221975753</c:v>
                </c:pt>
                <c:pt idx="13">
                  <c:v>0.73400017552721153</c:v>
                </c:pt>
                <c:pt idx="14">
                  <c:v>0.8441002018562932</c:v>
                </c:pt>
                <c:pt idx="15">
                  <c:v>0.97071523213473709</c:v>
                </c:pt>
                <c:pt idx="16">
                  <c:v>1.1163225169549476</c:v>
                </c:pt>
                <c:pt idx="17">
                  <c:v>1.2837708944981896</c:v>
                </c:pt>
                <c:pt idx="18">
                  <c:v>1.476336528672918</c:v>
                </c:pt>
                <c:pt idx="19">
                  <c:v>1.6977870079738555</c:v>
                </c:pt>
                <c:pt idx="20">
                  <c:v>1.9524550591699337</c:v>
                </c:pt>
                <c:pt idx="21">
                  <c:v>2.2453233180454237</c:v>
                </c:pt>
                <c:pt idx="22">
                  <c:v>2.5821218157522372</c:v>
                </c:pt>
                <c:pt idx="23">
                  <c:v>2.9694400881150727</c:v>
                </c:pt>
                <c:pt idx="24">
                  <c:v>3.4148561013323331</c:v>
                </c:pt>
                <c:pt idx="25">
                  <c:v>3.9270845165321826</c:v>
                </c:pt>
                <c:pt idx="26">
                  <c:v>4.5161471940120093</c:v>
                </c:pt>
                <c:pt idx="27">
                  <c:v>5.1935692731138099</c:v>
                </c:pt>
                <c:pt idx="28">
                  <c:v>5.9726046640808805</c:v>
                </c:pt>
                <c:pt idx="29">
                  <c:v>6.8684953636930119</c:v>
                </c:pt>
                <c:pt idx="30">
                  <c:v>7.8987696682469632</c:v>
                </c:pt>
                <c:pt idx="31">
                  <c:v>9.0835851184840077</c:v>
                </c:pt>
                <c:pt idx="32">
                  <c:v>10.446122886256608</c:v>
                </c:pt>
                <c:pt idx="33">
                  <c:v>12.013041319195098</c:v>
                </c:pt>
                <c:pt idx="34">
                  <c:v>13.814997517074362</c:v>
                </c:pt>
                <c:pt idx="35">
                  <c:v>15.887247144635515</c:v>
                </c:pt>
                <c:pt idx="36">
                  <c:v>18.270334216330841</c:v>
                </c:pt>
                <c:pt idx="37">
                  <c:v>21.010884348780465</c:v>
                </c:pt>
                <c:pt idx="38">
                  <c:v>24.162517001097534</c:v>
                </c:pt>
                <c:pt idx="39">
                  <c:v>27.786894551262161</c:v>
                </c:pt>
                <c:pt idx="40">
                  <c:v>31.954928733951483</c:v>
                </c:pt>
                <c:pt idx="41">
                  <c:v>36.748168044044206</c:v>
                </c:pt>
                <c:pt idx="42">
                  <c:v>42.260393250650836</c:v>
                </c:pt>
                <c:pt idx="43">
                  <c:v>48.59945223824846</c:v>
                </c:pt>
                <c:pt idx="44">
                  <c:v>55.889370073985724</c:v>
                </c:pt>
                <c:pt idx="45">
                  <c:v>64.272775585083579</c:v>
                </c:pt>
                <c:pt idx="46">
                  <c:v>73.913691922846112</c:v>
                </c:pt>
                <c:pt idx="47">
                  <c:v>85.000745711273026</c:v>
                </c:pt>
                <c:pt idx="48">
                  <c:v>97.750857567963976</c:v>
                </c:pt>
                <c:pt idx="49">
                  <c:v>112.41348620315857</c:v>
                </c:pt>
                <c:pt idx="50">
                  <c:v>129.27550913363234</c:v>
                </c:pt>
                <c:pt idx="51">
                  <c:v>148.66683550367719</c:v>
                </c:pt>
                <c:pt idx="52">
                  <c:v>170.96686082922875</c:v>
                </c:pt>
                <c:pt idx="53">
                  <c:v>196.61188995361306</c:v>
                </c:pt>
                <c:pt idx="54">
                  <c:v>226.10367344665499</c:v>
                </c:pt>
                <c:pt idx="55">
                  <c:v>260.01922446365325</c:v>
                </c:pt>
                <c:pt idx="56">
                  <c:v>299.02210813320119</c:v>
                </c:pt>
                <c:pt idx="57">
                  <c:v>343.87542435318136</c:v>
                </c:pt>
                <c:pt idx="58">
                  <c:v>395.45673800615856</c:v>
                </c:pt>
                <c:pt idx="59">
                  <c:v>454.77524870708231</c:v>
                </c:pt>
                <c:pt idx="60">
                  <c:v>522.99153601314458</c:v>
                </c:pt>
                <c:pt idx="61">
                  <c:v>601.44026641511618</c:v>
                </c:pt>
                <c:pt idx="62">
                  <c:v>691.65630637738354</c:v>
                </c:pt>
                <c:pt idx="63">
                  <c:v>795.40475233399104</c:v>
                </c:pt>
                <c:pt idx="64">
                  <c:v>914.71546518408968</c:v>
                </c:pt>
              </c:numCache>
            </c:numRef>
          </c:xVal>
          <c:yVal>
            <c:numRef>
              <c:f>'T10'!$B$21:$B$85</c:f>
              <c:numCache>
                <c:formatCode>General</c:formatCode>
                <c:ptCount val="65"/>
                <c:pt idx="0">
                  <c:v>2991441.0201728744</c:v>
                </c:pt>
                <c:pt idx="1">
                  <c:v>316.20798467770595</c:v>
                </c:pt>
                <c:pt idx="2">
                  <c:v>-247.20652426501809</c:v>
                </c:pt>
                <c:pt idx="3">
                  <c:v>-293.43073402918395</c:v>
                </c:pt>
                <c:pt idx="4">
                  <c:v>-251.10498954814554</c:v>
                </c:pt>
                <c:pt idx="5">
                  <c:v>-195.07224366515828</c:v>
                </c:pt>
                <c:pt idx="6">
                  <c:v>-144.00489716010452</c:v>
                </c:pt>
                <c:pt idx="7">
                  <c:v>-102.22792294518949</c:v>
                </c:pt>
                <c:pt idx="8">
                  <c:v>-69.729642660033562</c:v>
                </c:pt>
                <c:pt idx="9">
                  <c:v>-45.216520246298003</c:v>
                </c:pt>
                <c:pt idx="10">
                  <c:v>-27.155209015177661</c:v>
                </c:pt>
                <c:pt idx="11">
                  <c:v>-14.130992351904425</c:v>
                </c:pt>
                <c:pt idx="12">
                  <c:v>-4.9530036259951338</c:v>
                </c:pt>
                <c:pt idx="13">
                  <c:v>1.3366715870948338</c:v>
                </c:pt>
                <c:pt idx="14">
                  <c:v>5.4883055048208238</c:v>
                </c:pt>
                <c:pt idx="15">
                  <c:v>8.0792141343206776</c:v>
                </c:pt>
                <c:pt idx="16">
                  <c:v>9.5478171707786856</c:v>
                </c:pt>
                <c:pt idx="17">
                  <c:v>10.223460838967462</c:v>
                </c:pt>
                <c:pt idx="18">
                  <c:v>10.351124440458275</c:v>
                </c:pt>
                <c:pt idx="19">
                  <c:v>10.111254375794616</c:v>
                </c:pt>
                <c:pt idx="20">
                  <c:v>9.6353735787351251</c:v>
                </c:pt>
                <c:pt idx="21">
                  <c:v>9.018200591743021</c:v>
                </c:pt>
                <c:pt idx="22">
                  <c:v>8.3269656419792355</c:v>
                </c:pt>
                <c:pt idx="23">
                  <c:v>7.6085165056484634</c:v>
                </c:pt>
                <c:pt idx="24">
                  <c:v>6.8947034169861832</c:v>
                </c:pt>
                <c:pt idx="25">
                  <c:v>6.206436260865372</c:v>
                </c:pt>
                <c:pt idx="26">
                  <c:v>5.5567246824143073</c:v>
                </c:pt>
                <c:pt idx="27">
                  <c:v>4.9529435590553827</c:v>
                </c:pt>
                <c:pt idx="28">
                  <c:v>4.3985114061616777</c:v>
                </c:pt>
                <c:pt idx="29">
                  <c:v>3.8941258633306548</c:v>
                </c:pt>
                <c:pt idx="30">
                  <c:v>3.4386664456406142</c:v>
                </c:pt>
                <c:pt idx="31">
                  <c:v>3.0298484080627093</c:v>
                </c:pt>
                <c:pt idx="32">
                  <c:v>2.6646912812042491</c:v>
                </c:pt>
                <c:pt idx="33">
                  <c:v>2.3398500845457137</c:v>
                </c:pt>
                <c:pt idx="34">
                  <c:v>2.0518453527522653</c:v>
                </c:pt>
                <c:pt idx="35">
                  <c:v>1.7972190822261005</c:v>
                </c:pt>
                <c:pt idx="36">
                  <c:v>1.572636859895955</c:v>
                </c:pt>
                <c:pt idx="37">
                  <c:v>1.3749512613810251</c:v>
                </c:pt>
                <c:pt idx="38">
                  <c:v>1.2012377043965148</c:v>
                </c:pt>
                <c:pt idx="39">
                  <c:v>1.0488110102811385</c:v>
                </c:pt>
                <c:pt idx="40">
                  <c:v>0.91522872780695308</c:v>
                </c:pt>
                <c:pt idx="41">
                  <c:v>0.79828563019362531</c:v>
                </c:pt>
                <c:pt idx="42">
                  <c:v>0.69600257228044737</c:v>
                </c:pt>
                <c:pt idx="43">
                  <c:v>0.60661198658236715</c:v>
                </c:pt>
                <c:pt idx="44">
                  <c:v>0.52854162595384824</c:v>
                </c:pt>
                <c:pt idx="45">
                  <c:v>0.46039766737620341</c:v>
                </c:pt>
                <c:pt idx="46">
                  <c:v>0.40094793107212628</c:v>
                </c:pt>
                <c:pt idx="47">
                  <c:v>0.34910570787979417</c:v>
                </c:pt>
                <c:pt idx="48">
                  <c:v>0.30391450010777848</c:v>
                </c:pt>
                <c:pt idx="49">
                  <c:v>0.2645338478025136</c:v>
                </c:pt>
                <c:pt idx="50">
                  <c:v>0.23022631914806704</c:v>
                </c:pt>
                <c:pt idx="51">
                  <c:v>0.20034567985810237</c:v>
                </c:pt>
                <c:pt idx="52">
                  <c:v>0.17432621391416386</c:v>
                </c:pt>
                <c:pt idx="53">
                  <c:v>0.15167314090655276</c:v>
                </c:pt>
                <c:pt idx="54">
                  <c:v>0.13195405913906505</c:v>
                </c:pt>
                <c:pt idx="55">
                  <c:v>0.11479133531688407</c:v>
                </c:pt>
                <c:pt idx="56">
                  <c:v>9.9855358662308033E-2</c:v>
                </c:pt>
                <c:pt idx="57">
                  <c:v>8.6858577954926353E-2</c:v>
                </c:pt>
                <c:pt idx="58">
                  <c:v>7.5550243010410856E-2</c:v>
                </c:pt>
                <c:pt idx="59">
                  <c:v>6.5711776590297366E-2</c:v>
                </c:pt>
                <c:pt idx="60">
                  <c:v>5.7152708032103074E-2</c:v>
                </c:pt>
                <c:pt idx="61">
                  <c:v>4.9707105556476928E-2</c:v>
                </c:pt>
                <c:pt idx="62">
                  <c:v>4.3230449939044957E-2</c:v>
                </c:pt>
                <c:pt idx="63">
                  <c:v>3.759689782533894E-2</c:v>
                </c:pt>
                <c:pt idx="64">
                  <c:v>3.2696888288035811E-2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CC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'T10'!$B$16</c:f>
              <c:numCache>
                <c:formatCode>0</c:formatCode>
                <c:ptCount val="1"/>
                <c:pt idx="0">
                  <c:v>23.344750820334983</c:v>
                </c:pt>
              </c:numCache>
            </c:numRef>
          </c:xVal>
          <c:yVal>
            <c:numRef>
              <c:f>'T10'!$I$3</c:f>
              <c:numCache>
                <c:formatCode>General</c:formatCode>
                <c:ptCount val="1"/>
                <c:pt idx="0">
                  <c:v>1.2419565662834327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'T10'!$B$15</c:f>
              <c:numCache>
                <c:formatCode>0.000</c:formatCode>
                <c:ptCount val="1"/>
                <c:pt idx="0">
                  <c:v>0.14337961869641269</c:v>
                </c:pt>
              </c:numCache>
            </c:numRef>
          </c:xVal>
          <c:yVal>
            <c:numRef>
              <c:f>'T10'!$I$3</c:f>
              <c:numCache>
                <c:formatCode>General</c:formatCode>
                <c:ptCount val="1"/>
                <c:pt idx="0">
                  <c:v>1.2419565662834327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'T10'!$B$18</c:f>
              <c:numCache>
                <c:formatCode>0.000</c:formatCode>
                <c:ptCount val="1"/>
                <c:pt idx="0">
                  <c:v>0.73210890022401642</c:v>
                </c:pt>
              </c:numCache>
            </c:numRef>
          </c:xVal>
          <c:yVal>
            <c:numRef>
              <c:f>'T10'!$I$3</c:f>
              <c:numCache>
                <c:formatCode>General</c:formatCode>
                <c:ptCount val="1"/>
                <c:pt idx="0">
                  <c:v>1.2419565662834327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636800"/>
        <c:axId val="168639104"/>
      </c:scatterChart>
      <c:valAx>
        <c:axId val="168636800"/>
        <c:scaling>
          <c:logBase val="10"/>
          <c:orientation val="minMax"/>
          <c:max val="10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Volume, V  [l/mol]</a:t>
                </a:r>
              </a:p>
            </c:rich>
          </c:tx>
          <c:layout>
            <c:manualLayout>
              <c:xMode val="edge"/>
              <c:yMode val="edge"/>
              <c:x val="0.44016401560921498"/>
              <c:y val="0.90750706966038786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639104"/>
        <c:crossesAt val="-1000000"/>
        <c:crossBetween val="midCat"/>
        <c:minorUnit val="10"/>
      </c:valAx>
      <c:valAx>
        <c:axId val="168639104"/>
        <c:scaling>
          <c:orientation val="minMax"/>
          <c:max val="50"/>
          <c:min val="-45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Pressure, P [bar]</a:t>
                </a:r>
              </a:p>
            </c:rich>
          </c:tx>
          <c:layout>
            <c:manualLayout>
              <c:xMode val="edge"/>
              <c:yMode val="edge"/>
              <c:x val="5.0710140047144581E-2"/>
              <c:y val="0.32460829799390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636800"/>
        <c:crossesAt val="1E-3"/>
        <c:crossBetween val="midCat"/>
        <c:majorUnit val="50"/>
        <c:minorUnit val="1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ZA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11</a:t>
            </a: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ZA"/>
          </a:p>
        </c:rich>
      </c:tx>
      <c:layout>
        <c:manualLayout>
          <c:xMode val="edge"/>
          <c:yMode val="edge"/>
          <c:x val="0.56373429084380611"/>
          <c:y val="0.2294520547945205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87253141831238"/>
          <c:y val="4.1095890410958902E-2"/>
          <c:w val="0.74506283662477557"/>
          <c:h val="0.7893835616438356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'T11'!$A$21:$A$85</c:f>
              <c:numCache>
                <c:formatCode>0.000</c:formatCode>
                <c:ptCount val="65"/>
                <c:pt idx="0">
                  <c:v>0.11929554873417722</c:v>
                </c:pt>
                <c:pt idx="1">
                  <c:v>0.1336110145822785</c:v>
                </c:pt>
                <c:pt idx="2">
                  <c:v>0.14964433633215193</c:v>
                </c:pt>
                <c:pt idx="3">
                  <c:v>0.16760165669201019</c:v>
                </c:pt>
                <c:pt idx="4">
                  <c:v>0.18771385549505143</c:v>
                </c:pt>
                <c:pt idx="5">
                  <c:v>0.21023951815445763</c:v>
                </c:pt>
                <c:pt idx="6">
                  <c:v>0.23546826033299256</c:v>
                </c:pt>
                <c:pt idx="7">
                  <c:v>0.26372445157295171</c:v>
                </c:pt>
                <c:pt idx="8">
                  <c:v>0.29537138576170596</c:v>
                </c:pt>
                <c:pt idx="9">
                  <c:v>0.33081595205311071</c:v>
                </c:pt>
                <c:pt idx="10">
                  <c:v>0.37051386629948402</c:v>
                </c:pt>
                <c:pt idx="11">
                  <c:v>0.41497553025542216</c:v>
                </c:pt>
                <c:pt idx="12">
                  <c:v>0.46477259388607289</c:v>
                </c:pt>
                <c:pt idx="13">
                  <c:v>0.52054530515240172</c:v>
                </c:pt>
                <c:pt idx="14">
                  <c:v>0.58301074177069001</c:v>
                </c:pt>
                <c:pt idx="15">
                  <c:v>0.6529720307831729</c:v>
                </c:pt>
                <c:pt idx="16">
                  <c:v>0.73132867447715366</c:v>
                </c:pt>
                <c:pt idx="17">
                  <c:v>0.81908811541441218</c:v>
                </c:pt>
                <c:pt idx="18">
                  <c:v>0.91737868926414168</c:v>
                </c:pt>
                <c:pt idx="19">
                  <c:v>1.0274641319758389</c:v>
                </c:pt>
                <c:pt idx="20">
                  <c:v>1.1507598278129396</c:v>
                </c:pt>
                <c:pt idx="21">
                  <c:v>1.2888510071504924</c:v>
                </c:pt>
                <c:pt idx="22">
                  <c:v>1.4435131280085516</c:v>
                </c:pt>
                <c:pt idx="23">
                  <c:v>1.616734703369578</c:v>
                </c:pt>
                <c:pt idx="24">
                  <c:v>1.8107428677739275</c:v>
                </c:pt>
                <c:pt idx="25">
                  <c:v>2.0280320119067992</c:v>
                </c:pt>
                <c:pt idx="26">
                  <c:v>2.2713958533356151</c:v>
                </c:pt>
                <c:pt idx="27">
                  <c:v>2.5439633557358894</c:v>
                </c:pt>
                <c:pt idx="28">
                  <c:v>2.8492389584241962</c:v>
                </c:pt>
                <c:pt idx="29">
                  <c:v>3.1911476334350999</c:v>
                </c:pt>
                <c:pt idx="30">
                  <c:v>3.5740853494473122</c:v>
                </c:pt>
                <c:pt idx="31">
                  <c:v>4.0029755913809897</c:v>
                </c:pt>
                <c:pt idx="32">
                  <c:v>4.4833326623467089</c:v>
                </c:pt>
                <c:pt idx="33">
                  <c:v>5.0213325818283145</c:v>
                </c:pt>
                <c:pt idx="34">
                  <c:v>5.6238924916477124</c:v>
                </c:pt>
                <c:pt idx="35">
                  <c:v>6.2987595906454388</c:v>
                </c:pt>
                <c:pt idx="36">
                  <c:v>7.0546107415228922</c:v>
                </c:pt>
                <c:pt idx="37">
                  <c:v>7.9011640305056403</c:v>
                </c:pt>
                <c:pt idx="38">
                  <c:v>8.849303714166318</c:v>
                </c:pt>
                <c:pt idx="39">
                  <c:v>9.9112201598662768</c:v>
                </c:pt>
                <c:pt idx="40">
                  <c:v>11.100566579050231</c:v>
                </c:pt>
                <c:pt idx="41">
                  <c:v>12.43263456853626</c:v>
                </c:pt>
                <c:pt idx="42">
                  <c:v>13.924550716760612</c:v>
                </c:pt>
                <c:pt idx="43">
                  <c:v>15.595496802771887</c:v>
                </c:pt>
                <c:pt idx="44">
                  <c:v>17.466956419104516</c:v>
                </c:pt>
                <c:pt idx="45">
                  <c:v>19.56299118939706</c:v>
                </c:pt>
                <c:pt idx="46">
                  <c:v>21.910550132124708</c:v>
                </c:pt>
                <c:pt idx="47">
                  <c:v>24.539816147979675</c:v>
                </c:pt>
                <c:pt idx="48">
                  <c:v>27.484594085737239</c:v>
                </c:pt>
                <c:pt idx="49">
                  <c:v>30.782745376025712</c:v>
                </c:pt>
                <c:pt idx="50">
                  <c:v>34.476674821148798</c:v>
                </c:pt>
                <c:pt idx="51">
                  <c:v>38.61387579968666</c:v>
                </c:pt>
                <c:pt idx="52">
                  <c:v>43.247540895649067</c:v>
                </c:pt>
                <c:pt idx="53">
                  <c:v>48.437245803126956</c:v>
                </c:pt>
                <c:pt idx="54">
                  <c:v>54.249715299502199</c:v>
                </c:pt>
                <c:pt idx="55">
                  <c:v>60.75968113544247</c:v>
                </c:pt>
                <c:pt idx="56">
                  <c:v>68.050842871695579</c:v>
                </c:pt>
                <c:pt idx="57">
                  <c:v>76.216944016299053</c:v>
                </c:pt>
                <c:pt idx="58">
                  <c:v>85.362977298254947</c:v>
                </c:pt>
                <c:pt idx="59">
                  <c:v>95.606534574045554</c:v>
                </c:pt>
                <c:pt idx="60">
                  <c:v>107.07931872293103</c:v>
                </c:pt>
                <c:pt idx="61">
                  <c:v>119.92883696968278</c:v>
                </c:pt>
                <c:pt idx="62">
                  <c:v>134.32029740604472</c:v>
                </c:pt>
                <c:pt idx="63">
                  <c:v>150.4387330947701</c:v>
                </c:pt>
                <c:pt idx="64">
                  <c:v>168.49138106614254</c:v>
                </c:pt>
              </c:numCache>
            </c:numRef>
          </c:xVal>
          <c:yVal>
            <c:numRef>
              <c:f>'T11'!$B$21:$B$85</c:f>
              <c:numCache>
                <c:formatCode>General</c:formatCode>
                <c:ptCount val="65"/>
                <c:pt idx="0">
                  <c:v>3115247.0341921593</c:v>
                </c:pt>
                <c:pt idx="1">
                  <c:v>779.35050000461638</c:v>
                </c:pt>
                <c:pt idx="2">
                  <c:v>-86.556125226338779</c:v>
                </c:pt>
                <c:pt idx="3">
                  <c:v>-242.37104981408541</c:v>
                </c:pt>
                <c:pt idx="4">
                  <c:v>-251.99431953400745</c:v>
                </c:pt>
                <c:pt idx="5">
                  <c:v>-221.31986907911224</c:v>
                </c:pt>
                <c:pt idx="6">
                  <c:v>-181.34951718308221</c:v>
                </c:pt>
                <c:pt idx="7">
                  <c:v>-142.64475754192964</c:v>
                </c:pt>
                <c:pt idx="8">
                  <c:v>-108.73449571298111</c:v>
                </c:pt>
                <c:pt idx="9">
                  <c:v>-80.44379628740495</c:v>
                </c:pt>
                <c:pt idx="10">
                  <c:v>-57.529163861940035</c:v>
                </c:pt>
                <c:pt idx="11">
                  <c:v>-39.355608891146836</c:v>
                </c:pt>
                <c:pt idx="12">
                  <c:v>-25.189356088528257</c:v>
                </c:pt>
                <c:pt idx="13">
                  <c:v>-14.323646512367578</c:v>
                </c:pt>
                <c:pt idx="14">
                  <c:v>-6.1284945521055487</c:v>
                </c:pt>
                <c:pt idx="15">
                  <c:v>-6.5132366520647342E-2</c:v>
                </c:pt>
                <c:pt idx="16">
                  <c:v>4.3156893297763599</c:v>
                </c:pt>
                <c:pt idx="17">
                  <c:v>7.3822562743039679</c:v>
                </c:pt>
                <c:pt idx="18">
                  <c:v>9.432760598729665</c:v>
                </c:pt>
                <c:pt idx="19">
                  <c:v>10.706302589374786</c:v>
                </c:pt>
                <c:pt idx="20">
                  <c:v>11.393035545844354</c:v>
                </c:pt>
                <c:pt idx="21">
                  <c:v>11.643072987369383</c:v>
                </c:pt>
                <c:pt idx="22">
                  <c:v>11.574082408978391</c:v>
                </c:pt>
                <c:pt idx="23">
                  <c:v>11.277635852404314</c:v>
                </c:pt>
                <c:pt idx="24">
                  <c:v>10.824450033913115</c:v>
                </c:pt>
                <c:pt idx="25">
                  <c:v>10.268667786873811</c:v>
                </c:pt>
                <c:pt idx="26">
                  <c:v>9.6513297640021332</c:v>
                </c:pt>
                <c:pt idx="27">
                  <c:v>9.0031724003371725</c:v>
                </c:pt>
                <c:pt idx="28">
                  <c:v>8.346871334291766</c:v>
                </c:pt>
                <c:pt idx="29">
                  <c:v>7.6988320977815325</c:v>
                </c:pt>
                <c:pt idx="30">
                  <c:v>7.0706135377630028</c:v>
                </c:pt>
                <c:pt idx="31">
                  <c:v>6.4700548290807349</c:v>
                </c:pt>
                <c:pt idx="32">
                  <c:v>5.9021642984661664</c:v>
                </c:pt>
                <c:pt idx="33">
                  <c:v>5.369817562192388</c:v>
                </c:pt>
                <c:pt idx="34">
                  <c:v>4.8743035229665415</c:v>
                </c:pt>
                <c:pt idx="35">
                  <c:v>4.4157493641047907</c:v>
                </c:pt>
                <c:pt idx="36">
                  <c:v>3.9934496010459979</c:v>
                </c:pt>
                <c:pt idx="37">
                  <c:v>3.6061192936011692</c:v>
                </c:pt>
                <c:pt idx="38">
                  <c:v>3.2520874997623421</c:v>
                </c:pt>
                <c:pt idx="39">
                  <c:v>2.9294438003203327</c:v>
                </c:pt>
                <c:pt idx="40">
                  <c:v>2.6361481039092767</c:v>
                </c:pt>
                <c:pt idx="41">
                  <c:v>2.3701118375963377</c:v>
                </c:pt>
                <c:pt idx="42">
                  <c:v>2.1292569417060792</c:v>
                </c:pt>
                <c:pt idx="43">
                  <c:v>1.9115577392191125</c:v>
                </c:pt>
                <c:pt idx="44">
                  <c:v>1.715069674305943</c:v>
                </c:pt>
                <c:pt idx="45">
                  <c:v>1.5379480579709799</c:v>
                </c:pt>
                <c:pt idx="46">
                  <c:v>1.3784592780685678</c:v>
                </c:pt>
                <c:pt idx="47">
                  <c:v>1.2349863910722607</c:v>
                </c:pt>
                <c:pt idx="48">
                  <c:v>1.1060305856652513</c:v>
                </c:pt>
                <c:pt idx="49">
                  <c:v>0.99020967072801302</c:v>
                </c:pt>
                <c:pt idx="50">
                  <c:v>0.88625447436137283</c:v>
                </c:pt>
                <c:pt idx="51">
                  <c:v>0.7930038315555441</c:v>
                </c:pt>
                <c:pt idx="52">
                  <c:v>0.70939867427782266</c:v>
                </c:pt>
                <c:pt idx="53">
                  <c:v>0.6344756097375035</c:v>
                </c:pt>
                <c:pt idx="54">
                  <c:v>0.56736027292171731</c:v>
                </c:pt>
                <c:pt idx="55">
                  <c:v>0.50726066222361643</c:v>
                </c:pt>
                <c:pt idx="56">
                  <c:v>0.45346060736391569</c:v>
                </c:pt>
                <c:pt idx="57">
                  <c:v>0.40531347307015619</c:v>
                </c:pt>
                <c:pt idx="58">
                  <c:v>0.36223616713442169</c:v>
                </c:pt>
                <c:pt idx="59">
                  <c:v>0.32370349514913721</c:v>
                </c:pt>
                <c:pt idx="60">
                  <c:v>0.28924288454605457</c:v>
                </c:pt>
                <c:pt idx="61">
                  <c:v>0.25842948605340432</c:v>
                </c:pt>
                <c:pt idx="62">
                  <c:v>0.23088165017152368</c:v>
                </c:pt>
                <c:pt idx="63">
                  <c:v>0.20625676882795976</c:v>
                </c:pt>
                <c:pt idx="64">
                  <c:v>0.18424746728649455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'T11'!$B$15</c:f>
              <c:numCache>
                <c:formatCode>0.000</c:formatCode>
                <c:ptCount val="1"/>
                <c:pt idx="0">
                  <c:v>0.14583332788469333</c:v>
                </c:pt>
              </c:numCache>
            </c:numRef>
          </c:xVal>
          <c:yVal>
            <c:numRef>
              <c:f>'T11'!$I$3</c:f>
              <c:numCache>
                <c:formatCode>General</c:formatCode>
                <c:ptCount val="1"/>
                <c:pt idx="0">
                  <c:v>1.8865230429204805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'T11'!$B$16</c:f>
              <c:numCache>
                <c:formatCode>0</c:formatCode>
                <c:ptCount val="1"/>
                <c:pt idx="0">
                  <c:v>15.812312715495965</c:v>
                </c:pt>
              </c:numCache>
            </c:numRef>
          </c:xVal>
          <c:yVal>
            <c:numRef>
              <c:f>'T11'!$I$3</c:f>
              <c:numCache>
                <c:formatCode>General</c:formatCode>
                <c:ptCount val="1"/>
                <c:pt idx="0">
                  <c:v>1.8865230429204805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'T11'!$B$18</c:f>
              <c:numCache>
                <c:formatCode>0.000</c:formatCode>
                <c:ptCount val="1"/>
                <c:pt idx="0">
                  <c:v>0.68359232206856113</c:v>
                </c:pt>
              </c:numCache>
            </c:numRef>
          </c:xVal>
          <c:yVal>
            <c:numRef>
              <c:f>'T11'!$I$3</c:f>
              <c:numCache>
                <c:formatCode>General</c:formatCode>
                <c:ptCount val="1"/>
                <c:pt idx="0">
                  <c:v>1.8865230429204805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494784"/>
        <c:axId val="189501440"/>
      </c:scatterChart>
      <c:valAx>
        <c:axId val="189494784"/>
        <c:scaling>
          <c:logBase val="10"/>
          <c:orientation val="minMax"/>
          <c:max val="10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Volume, V [l/mol]</a:t>
                </a:r>
              </a:p>
            </c:rich>
          </c:tx>
          <c:layout>
            <c:manualLayout>
              <c:xMode val="edge"/>
              <c:yMode val="edge"/>
              <c:x val="0.43087971274685816"/>
              <c:y val="0.90582191780821919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9501440"/>
        <c:crossesAt val="-1000000"/>
        <c:crossBetween val="midCat"/>
        <c:minorUnit val="10"/>
      </c:valAx>
      <c:valAx>
        <c:axId val="189501440"/>
        <c:scaling>
          <c:orientation val="minMax"/>
          <c:max val="50"/>
          <c:min val="-250"/>
        </c:scaling>
        <c:delete val="0"/>
        <c:axPos val="l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Pressure, P [bar]</a:t>
                </a:r>
              </a:p>
            </c:rich>
          </c:tx>
          <c:layout>
            <c:manualLayout>
              <c:xMode val="edge"/>
              <c:yMode val="edge"/>
              <c:x val="4.3087971274685818E-2"/>
              <c:y val="0.296232876712328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9494784"/>
        <c:crossesAt val="1E-3"/>
        <c:crossBetween val="midCat"/>
        <c:majorUnit val="50"/>
        <c:minorUnit val="1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ZA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12</a:t>
            </a: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ZA"/>
          </a:p>
        </c:rich>
      </c:tx>
      <c:layout>
        <c:manualLayout>
          <c:xMode val="edge"/>
          <c:yMode val="edge"/>
          <c:x val="0.65036346942133261"/>
          <c:y val="0.4757791496039045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746411745661632"/>
          <c:y val="3.979243796687202E-2"/>
          <c:w val="0.75362452166928795"/>
          <c:h val="0.7923885473403210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'T12'!$A$21:$A$85</c:f>
              <c:numCache>
                <c:formatCode>0.000</c:formatCode>
                <c:ptCount val="65"/>
                <c:pt idx="0">
                  <c:v>0.11929554873417722</c:v>
                </c:pt>
                <c:pt idx="1">
                  <c:v>0.1371898810443038</c:v>
                </c:pt>
                <c:pt idx="2">
                  <c:v>0.15776836320094936</c:v>
                </c:pt>
                <c:pt idx="3">
                  <c:v>0.18143361768109176</c:v>
                </c:pt>
                <c:pt idx="4">
                  <c:v>0.20864866033325549</c:v>
                </c:pt>
                <c:pt idx="5">
                  <c:v>0.23994595938324378</c:v>
                </c:pt>
                <c:pt idx="6">
                  <c:v>0.27593785329073034</c:v>
                </c:pt>
                <c:pt idx="7">
                  <c:v>0.31732853128433985</c:v>
                </c:pt>
                <c:pt idx="8">
                  <c:v>0.36492781097699079</c:v>
                </c:pt>
                <c:pt idx="9">
                  <c:v>0.41966698262353935</c:v>
                </c:pt>
                <c:pt idx="10">
                  <c:v>0.48261703001707024</c:v>
                </c:pt>
                <c:pt idx="11">
                  <c:v>0.55500958451963078</c:v>
                </c:pt>
                <c:pt idx="12">
                  <c:v>0.6382610221975753</c:v>
                </c:pt>
                <c:pt idx="13">
                  <c:v>0.73400017552721153</c:v>
                </c:pt>
                <c:pt idx="14">
                  <c:v>0.8441002018562932</c:v>
                </c:pt>
                <c:pt idx="15">
                  <c:v>0.97071523213473709</c:v>
                </c:pt>
                <c:pt idx="16">
                  <c:v>1.1163225169549476</c:v>
                </c:pt>
                <c:pt idx="17">
                  <c:v>1.2837708944981896</c:v>
                </c:pt>
                <c:pt idx="18">
                  <c:v>1.476336528672918</c:v>
                </c:pt>
                <c:pt idx="19">
                  <c:v>1.6977870079738555</c:v>
                </c:pt>
                <c:pt idx="20">
                  <c:v>1.9524550591699337</c:v>
                </c:pt>
                <c:pt idx="21">
                  <c:v>2.2453233180454237</c:v>
                </c:pt>
                <c:pt idx="22">
                  <c:v>2.5821218157522372</c:v>
                </c:pt>
                <c:pt idx="23">
                  <c:v>2.9694400881150727</c:v>
                </c:pt>
                <c:pt idx="24">
                  <c:v>3.4148561013323331</c:v>
                </c:pt>
                <c:pt idx="25">
                  <c:v>3.9270845165321826</c:v>
                </c:pt>
                <c:pt idx="26">
                  <c:v>4.5161471940120093</c:v>
                </c:pt>
                <c:pt idx="27">
                  <c:v>5.1935692731138099</c:v>
                </c:pt>
                <c:pt idx="28">
                  <c:v>5.9726046640808805</c:v>
                </c:pt>
                <c:pt idx="29">
                  <c:v>6.8684953636930119</c:v>
                </c:pt>
                <c:pt idx="30">
                  <c:v>7.8987696682469632</c:v>
                </c:pt>
                <c:pt idx="31">
                  <c:v>9.0835851184840077</c:v>
                </c:pt>
                <c:pt idx="32">
                  <c:v>10.446122886256608</c:v>
                </c:pt>
                <c:pt idx="33">
                  <c:v>12.013041319195098</c:v>
                </c:pt>
                <c:pt idx="34">
                  <c:v>13.814997517074362</c:v>
                </c:pt>
                <c:pt idx="35">
                  <c:v>15.887247144635515</c:v>
                </c:pt>
                <c:pt idx="36">
                  <c:v>18.270334216330841</c:v>
                </c:pt>
                <c:pt idx="37">
                  <c:v>21.010884348780465</c:v>
                </c:pt>
                <c:pt idx="38">
                  <c:v>24.162517001097534</c:v>
                </c:pt>
                <c:pt idx="39">
                  <c:v>27.786894551262161</c:v>
                </c:pt>
                <c:pt idx="40">
                  <c:v>31.954928733951483</c:v>
                </c:pt>
                <c:pt idx="41">
                  <c:v>36.748168044044206</c:v>
                </c:pt>
                <c:pt idx="42">
                  <c:v>42.260393250650836</c:v>
                </c:pt>
                <c:pt idx="43">
                  <c:v>48.59945223824846</c:v>
                </c:pt>
                <c:pt idx="44">
                  <c:v>55.889370073985724</c:v>
                </c:pt>
                <c:pt idx="45">
                  <c:v>64.272775585083579</c:v>
                </c:pt>
                <c:pt idx="46">
                  <c:v>73.913691922846112</c:v>
                </c:pt>
                <c:pt idx="47">
                  <c:v>85.000745711273026</c:v>
                </c:pt>
                <c:pt idx="48">
                  <c:v>97.750857567963976</c:v>
                </c:pt>
                <c:pt idx="49">
                  <c:v>112.41348620315857</c:v>
                </c:pt>
                <c:pt idx="50">
                  <c:v>129.27550913363234</c:v>
                </c:pt>
                <c:pt idx="51">
                  <c:v>148.66683550367719</c:v>
                </c:pt>
                <c:pt idx="52">
                  <c:v>170.96686082922875</c:v>
                </c:pt>
                <c:pt idx="53">
                  <c:v>196.61188995361306</c:v>
                </c:pt>
                <c:pt idx="54">
                  <c:v>226.10367344665499</c:v>
                </c:pt>
                <c:pt idx="55">
                  <c:v>260.01922446365325</c:v>
                </c:pt>
                <c:pt idx="56">
                  <c:v>299.02210813320119</c:v>
                </c:pt>
                <c:pt idx="57">
                  <c:v>343.87542435318136</c:v>
                </c:pt>
                <c:pt idx="58">
                  <c:v>395.45673800615856</c:v>
                </c:pt>
                <c:pt idx="59">
                  <c:v>454.77524870708231</c:v>
                </c:pt>
                <c:pt idx="60">
                  <c:v>522.99153601314458</c:v>
                </c:pt>
                <c:pt idx="61">
                  <c:v>601.44026641511618</c:v>
                </c:pt>
                <c:pt idx="62">
                  <c:v>691.65630637738354</c:v>
                </c:pt>
                <c:pt idx="63">
                  <c:v>795.40475233399104</c:v>
                </c:pt>
                <c:pt idx="64">
                  <c:v>914.71546518408968</c:v>
                </c:pt>
              </c:numCache>
            </c:numRef>
          </c:xVal>
          <c:yVal>
            <c:numRef>
              <c:f>'T12'!$B$21:$B$85</c:f>
              <c:numCache>
                <c:formatCode>General</c:formatCode>
                <c:ptCount val="65"/>
                <c:pt idx="0">
                  <c:v>3244170.5859191287</c:v>
                </c:pt>
                <c:pt idx="1">
                  <c:v>519.37240529847031</c:v>
                </c:pt>
                <c:pt idx="2">
                  <c:v>-134.63220876420644</c:v>
                </c:pt>
                <c:pt idx="3">
                  <c:v>-217.29823700819878</c:v>
                </c:pt>
                <c:pt idx="4">
                  <c:v>-196.0050096908387</c:v>
                </c:pt>
                <c:pt idx="5">
                  <c:v>-153.84772227046327</c:v>
                </c:pt>
                <c:pt idx="6">
                  <c:v>-112.53800503317332</c:v>
                </c:pt>
                <c:pt idx="7">
                  <c:v>-77.872246910745091</c:v>
                </c:pt>
                <c:pt idx="8">
                  <c:v>-50.674352041831533</c:v>
                </c:pt>
                <c:pt idx="9">
                  <c:v>-30.174167666542672</c:v>
                </c:pt>
                <c:pt idx="10">
                  <c:v>-15.187233721940647</c:v>
                </c:pt>
                <c:pt idx="11">
                  <c:v>-4.5410942649577279</c:v>
                </c:pt>
                <c:pt idx="12">
                  <c:v>2.7821582288027367</c:v>
                </c:pt>
                <c:pt idx="13">
                  <c:v>7.6145052324548486</c:v>
                </c:pt>
                <c:pt idx="14">
                  <c:v>10.613186009708002</c:v>
                </c:pt>
                <c:pt idx="15">
                  <c:v>12.286014555266725</c:v>
                </c:pt>
                <c:pt idx="16">
                  <c:v>13.019016235386568</c:v>
                </c:pt>
                <c:pt idx="17">
                  <c:v>13.101737144272342</c:v>
                </c:pt>
                <c:pt idx="18">
                  <c:v>12.748719804265249</c:v>
                </c:pt>
                <c:pt idx="19">
                  <c:v>12.116991466705521</c:v>
                </c:pt>
                <c:pt idx="20">
                  <c:v>11.319951505857484</c:v>
                </c:pt>
                <c:pt idx="21">
                  <c:v>10.438215065372214</c:v>
                </c:pt>
                <c:pt idx="22">
                  <c:v>9.5279775829292923</c:v>
                </c:pt>
                <c:pt idx="23">
                  <c:v>8.6274063421536091</c:v>
                </c:pt>
                <c:pt idx="24">
                  <c:v>7.7614862593894873</c:v>
                </c:pt>
                <c:pt idx="25">
                  <c:v>6.9456681924741908</c:v>
                </c:pt>
                <c:pt idx="26">
                  <c:v>6.188597536464564</c:v>
                </c:pt>
                <c:pt idx="27">
                  <c:v>5.4941413367400944</c:v>
                </c:pt>
                <c:pt idx="28">
                  <c:v>4.8628835391972665</c:v>
                </c:pt>
                <c:pt idx="29">
                  <c:v>4.2932191461390126</c:v>
                </c:pt>
                <c:pt idx="30">
                  <c:v>3.7821474465547902</c:v>
                </c:pt>
                <c:pt idx="31">
                  <c:v>3.3258406406638317</c:v>
                </c:pt>
                <c:pt idx="32">
                  <c:v>2.9200457376650091</c:v>
                </c:pt>
                <c:pt idx="33">
                  <c:v>2.560363434070954</c:v>
                </c:pt>
                <c:pt idx="34">
                  <c:v>2.2424368438677593</c:v>
                </c:pt>
                <c:pt idx="35">
                  <c:v>1.9620747010810953</c:v>
                </c:pt>
                <c:pt idx="36">
                  <c:v>1.7153273967007234</c:v>
                </c:pt>
                <c:pt idx="37">
                  <c:v>1.4985294806564593</c:v>
                </c:pt>
                <c:pt idx="38">
                  <c:v>1.3083186946786471</c:v>
                </c:pt>
                <c:pt idx="39">
                  <c:v>1.1416389246930316</c:v>
                </c:pt>
                <c:pt idx="40">
                  <c:v>0.99573245771135932</c:v>
                </c:pt>
                <c:pt idx="41">
                  <c:v>0.86812543404238529</c:v>
                </c:pt>
                <c:pt idx="42">
                  <c:v>0.75660927598763028</c:v>
                </c:pt>
                <c:pt idx="43">
                  <c:v>0.65922005385040439</c:v>
                </c:pt>
                <c:pt idx="44">
                  <c:v>0.57421714687177539</c:v>
                </c:pt>
                <c:pt idx="45">
                  <c:v>0.50006211595185723</c:v>
                </c:pt>
                <c:pt idx="46">
                  <c:v>0.43539838543034615</c:v>
                </c:pt>
                <c:pt idx="47">
                  <c:v>0.3790321016680569</c:v>
                </c:pt>
                <c:pt idx="48">
                  <c:v>0.32991437329062928</c:v>
                </c:pt>
                <c:pt idx="49">
                  <c:v>0.28712498417143673</c:v>
                </c:pt>
                <c:pt idx="50">
                  <c:v>0.24985759240685151</c:v>
                </c:pt>
                <c:pt idx="51">
                  <c:v>0.21740637687173414</c:v>
                </c:pt>
                <c:pt idx="52">
                  <c:v>0.18915406014607961</c:v>
                </c:pt>
                <c:pt idx="53">
                  <c:v>0.16456121727279677</c:v>
                </c:pt>
                <c:pt idx="54">
                  <c:v>0.14315676995544119</c:v>
                </c:pt>
                <c:pt idx="55">
                  <c:v>0.12452956250710995</c:v>
                </c:pt>
                <c:pt idx="56">
                  <c:v>0.10832091698269401</c:v>
                </c:pt>
                <c:pt idx="57">
                  <c:v>9.4218068920357501E-2</c:v>
                </c:pt>
                <c:pt idx="58">
                  <c:v>8.1948390875589944E-2</c:v>
                </c:pt>
                <c:pt idx="59">
                  <c:v>7.1274317666565806E-2</c:v>
                </c:pt>
                <c:pt idx="60">
                  <c:v>6.1988894414546483E-2</c:v>
                </c:pt>
                <c:pt idx="61">
                  <c:v>5.3911875683205476E-2</c:v>
                </c:pt>
                <c:pt idx="62">
                  <c:v>4.6886311047874531E-2</c:v>
                </c:pt>
                <c:pt idx="63">
                  <c:v>4.0775559102637284E-2</c:v>
                </c:pt>
                <c:pt idx="64">
                  <c:v>3.5460678147654745E-2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'T12'!$B$15</c:f>
              <c:numCache>
                <c:formatCode>0.000</c:formatCode>
                <c:ptCount val="1"/>
                <c:pt idx="0">
                  <c:v>0.14868527741384086</c:v>
                </c:pt>
              </c:numCache>
            </c:numRef>
          </c:xVal>
          <c:yVal>
            <c:numRef>
              <c:f>'T12'!$I$3</c:f>
              <c:numCache>
                <c:formatCode>General</c:formatCode>
                <c:ptCount val="1"/>
                <c:pt idx="0">
                  <c:v>2.804192214432971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'T12'!$B$16</c:f>
              <c:numCache>
                <c:formatCode>0</c:formatCode>
                <c:ptCount val="1"/>
                <c:pt idx="0">
                  <c:v>10.907111486584226</c:v>
                </c:pt>
              </c:numCache>
            </c:numRef>
          </c:xVal>
          <c:yVal>
            <c:numRef>
              <c:f>'T12'!$I$3</c:f>
              <c:numCache>
                <c:formatCode>General</c:formatCode>
                <c:ptCount val="1"/>
                <c:pt idx="0">
                  <c:v>2.804192214432971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'T12'!$B$18</c:f>
              <c:numCache>
                <c:formatCode>0.000</c:formatCode>
                <c:ptCount val="1"/>
                <c:pt idx="0">
                  <c:v>0.63859145800027584</c:v>
                </c:pt>
              </c:numCache>
            </c:numRef>
          </c:xVal>
          <c:yVal>
            <c:numRef>
              <c:f>'T12'!$I$3</c:f>
              <c:numCache>
                <c:formatCode>General</c:formatCode>
                <c:ptCount val="1"/>
                <c:pt idx="0">
                  <c:v>2.804192214432971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02432"/>
        <c:axId val="189691008"/>
      </c:scatterChart>
      <c:valAx>
        <c:axId val="189602432"/>
        <c:scaling>
          <c:logBase val="10"/>
          <c:orientation val="minMax"/>
          <c:max val="10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Volume, V  [l/mol]</a:t>
                </a:r>
              </a:p>
            </c:rich>
          </c:tx>
          <c:layout>
            <c:manualLayout>
              <c:xMode val="edge"/>
              <c:yMode val="edge"/>
              <c:x val="0.42753698825469222"/>
              <c:y val="0.90657554324525813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9691008"/>
        <c:crossesAt val="-1000000"/>
        <c:crossBetween val="midCat"/>
        <c:minorUnit val="10"/>
      </c:valAx>
      <c:valAx>
        <c:axId val="189691008"/>
        <c:scaling>
          <c:orientation val="minMax"/>
          <c:max val="50"/>
          <c:min val="-150"/>
        </c:scaling>
        <c:delete val="0"/>
        <c:axPos val="l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Pressure, P [bar]</a:t>
                </a:r>
              </a:p>
            </c:rich>
          </c:tx>
          <c:layout>
            <c:manualLayout>
              <c:xMode val="edge"/>
              <c:yMode val="edge"/>
              <c:x val="4.3478337788612764E-2"/>
              <c:y val="0.304498655746498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9602432"/>
        <c:crossesAt val="1E-3"/>
        <c:crossBetween val="midCat"/>
        <c:majorUnit val="50"/>
        <c:minorUnit val="1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ZA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13</a:t>
            </a: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ZA"/>
          </a:p>
        </c:rich>
      </c:tx>
      <c:layout>
        <c:manualLayout>
          <c:xMode val="edge"/>
          <c:yMode val="edge"/>
          <c:x val="0.53144226769407521"/>
          <c:y val="0.1027030189510894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92577699423567"/>
          <c:y val="3.7837954350401382E-2"/>
          <c:w val="0.74036804468831097"/>
          <c:h val="0.8018042707585054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'T13'!$A$21:$A$85</c:f>
              <c:numCache>
                <c:formatCode>0.000</c:formatCode>
                <c:ptCount val="65"/>
                <c:pt idx="0">
                  <c:v>0.11929554873417722</c:v>
                </c:pt>
                <c:pt idx="1">
                  <c:v>0.1371898810443038</c:v>
                </c:pt>
                <c:pt idx="2">
                  <c:v>0.15776836320094936</c:v>
                </c:pt>
                <c:pt idx="3">
                  <c:v>0.18143361768109176</c:v>
                </c:pt>
                <c:pt idx="4">
                  <c:v>0.20864866033325549</c:v>
                </c:pt>
                <c:pt idx="5">
                  <c:v>0.23994595938324378</c:v>
                </c:pt>
                <c:pt idx="6">
                  <c:v>0.27593785329073034</c:v>
                </c:pt>
                <c:pt idx="7">
                  <c:v>0.31732853128433985</c:v>
                </c:pt>
                <c:pt idx="8">
                  <c:v>0.36492781097699079</c:v>
                </c:pt>
                <c:pt idx="9">
                  <c:v>0.41966698262353935</c:v>
                </c:pt>
                <c:pt idx="10">
                  <c:v>0.48261703001707024</c:v>
                </c:pt>
                <c:pt idx="11">
                  <c:v>0.55500958451963078</c:v>
                </c:pt>
                <c:pt idx="12">
                  <c:v>0.6382610221975753</c:v>
                </c:pt>
                <c:pt idx="13">
                  <c:v>0.73400017552721153</c:v>
                </c:pt>
                <c:pt idx="14">
                  <c:v>0.8441002018562932</c:v>
                </c:pt>
                <c:pt idx="15">
                  <c:v>0.97071523213473709</c:v>
                </c:pt>
                <c:pt idx="16">
                  <c:v>1.1163225169549476</c:v>
                </c:pt>
                <c:pt idx="17">
                  <c:v>1.2837708944981896</c:v>
                </c:pt>
                <c:pt idx="18">
                  <c:v>1.476336528672918</c:v>
                </c:pt>
                <c:pt idx="19">
                  <c:v>1.6977870079738555</c:v>
                </c:pt>
                <c:pt idx="20">
                  <c:v>1.9524550591699337</c:v>
                </c:pt>
                <c:pt idx="21">
                  <c:v>2.2453233180454237</c:v>
                </c:pt>
                <c:pt idx="22">
                  <c:v>2.5821218157522372</c:v>
                </c:pt>
                <c:pt idx="23">
                  <c:v>2.9694400881150727</c:v>
                </c:pt>
                <c:pt idx="24">
                  <c:v>3.4148561013323331</c:v>
                </c:pt>
                <c:pt idx="25">
                  <c:v>3.9270845165321826</c:v>
                </c:pt>
                <c:pt idx="26">
                  <c:v>4.5161471940120093</c:v>
                </c:pt>
                <c:pt idx="27">
                  <c:v>5.1935692731138099</c:v>
                </c:pt>
                <c:pt idx="28">
                  <c:v>5.9726046640808805</c:v>
                </c:pt>
                <c:pt idx="29">
                  <c:v>6.8684953636930119</c:v>
                </c:pt>
                <c:pt idx="30">
                  <c:v>7.8987696682469632</c:v>
                </c:pt>
                <c:pt idx="31">
                  <c:v>9.0835851184840077</c:v>
                </c:pt>
                <c:pt idx="32">
                  <c:v>10.446122886256608</c:v>
                </c:pt>
                <c:pt idx="33">
                  <c:v>12.013041319195098</c:v>
                </c:pt>
                <c:pt idx="34">
                  <c:v>13.814997517074362</c:v>
                </c:pt>
                <c:pt idx="35">
                  <c:v>15.887247144635515</c:v>
                </c:pt>
                <c:pt idx="36">
                  <c:v>18.270334216330841</c:v>
                </c:pt>
                <c:pt idx="37">
                  <c:v>21.010884348780465</c:v>
                </c:pt>
                <c:pt idx="38">
                  <c:v>24.162517001097534</c:v>
                </c:pt>
                <c:pt idx="39">
                  <c:v>27.786894551262161</c:v>
                </c:pt>
                <c:pt idx="40">
                  <c:v>31.954928733951483</c:v>
                </c:pt>
                <c:pt idx="41">
                  <c:v>36.748168044044206</c:v>
                </c:pt>
                <c:pt idx="42">
                  <c:v>42.260393250650836</c:v>
                </c:pt>
                <c:pt idx="43">
                  <c:v>48.59945223824846</c:v>
                </c:pt>
                <c:pt idx="44">
                  <c:v>55.889370073985724</c:v>
                </c:pt>
                <c:pt idx="45">
                  <c:v>64.272775585083579</c:v>
                </c:pt>
                <c:pt idx="46">
                  <c:v>73.913691922846112</c:v>
                </c:pt>
                <c:pt idx="47">
                  <c:v>85.000745711273026</c:v>
                </c:pt>
                <c:pt idx="48">
                  <c:v>97.750857567963976</c:v>
                </c:pt>
                <c:pt idx="49">
                  <c:v>112.41348620315857</c:v>
                </c:pt>
                <c:pt idx="50">
                  <c:v>129.27550913363234</c:v>
                </c:pt>
                <c:pt idx="51">
                  <c:v>148.66683550367719</c:v>
                </c:pt>
                <c:pt idx="52">
                  <c:v>170.96686082922875</c:v>
                </c:pt>
                <c:pt idx="53">
                  <c:v>196.61188995361306</c:v>
                </c:pt>
                <c:pt idx="54">
                  <c:v>226.10367344665499</c:v>
                </c:pt>
                <c:pt idx="55">
                  <c:v>260.01922446365325</c:v>
                </c:pt>
                <c:pt idx="56">
                  <c:v>299.02210813320119</c:v>
                </c:pt>
                <c:pt idx="57">
                  <c:v>343.87542435318136</c:v>
                </c:pt>
                <c:pt idx="58">
                  <c:v>395.45673800615856</c:v>
                </c:pt>
                <c:pt idx="59">
                  <c:v>454.77524870708231</c:v>
                </c:pt>
                <c:pt idx="60">
                  <c:v>522.99153601314458</c:v>
                </c:pt>
                <c:pt idx="61">
                  <c:v>601.44026641511618</c:v>
                </c:pt>
                <c:pt idx="62">
                  <c:v>691.65630637738354</c:v>
                </c:pt>
                <c:pt idx="63">
                  <c:v>795.40475233399104</c:v>
                </c:pt>
                <c:pt idx="64">
                  <c:v>914.71546518408968</c:v>
                </c:pt>
              </c:numCache>
            </c:numRef>
          </c:xVal>
          <c:yVal>
            <c:numRef>
              <c:f>'T13'!$B$21:$B$85</c:f>
              <c:numCache>
                <c:formatCode>General</c:formatCode>
                <c:ptCount val="65"/>
                <c:pt idx="0">
                  <c:v>3378423.3165567988</c:v>
                </c:pt>
                <c:pt idx="1">
                  <c:v>625.47123082655582</c:v>
                </c:pt>
                <c:pt idx="2">
                  <c:v>-76.211357521695604</c:v>
                </c:pt>
                <c:pt idx="3">
                  <c:v>-177.8992782590125</c:v>
                </c:pt>
                <c:pt idx="4">
                  <c:v>-167.52432444257144</c:v>
                </c:pt>
                <c:pt idx="5">
                  <c:v>-132.54542739279557</c:v>
                </c:pt>
                <c:pt idx="6">
                  <c:v>-96.273576701149281</c:v>
                </c:pt>
                <c:pt idx="7">
                  <c:v>-65.27535827876207</c:v>
                </c:pt>
                <c:pt idx="8">
                  <c:v>-40.809897423844816</c:v>
                </c:pt>
                <c:pt idx="9">
                  <c:v>-22.378527072405795</c:v>
                </c:pt>
                <c:pt idx="10">
                  <c:v>-8.9771729865760967</c:v>
                </c:pt>
                <c:pt idx="11">
                  <c:v>0.44166978086641395</c:v>
                </c:pt>
                <c:pt idx="12">
                  <c:v>6.806859456536249</c:v>
                </c:pt>
                <c:pt idx="13">
                  <c:v>10.885619329619985</c:v>
                </c:pt>
                <c:pt idx="14">
                  <c:v>13.287385785249477</c:v>
                </c:pt>
                <c:pt idx="15">
                  <c:v>14.484275465894603</c:v>
                </c:pt>
                <c:pt idx="16">
                  <c:v>14.835405969415719</c:v>
                </c:pt>
                <c:pt idx="17">
                  <c:v>14.609880308611244</c:v>
                </c:pt>
                <c:pt idx="18">
                  <c:v>14.006601335492773</c:v>
                </c:pt>
                <c:pt idx="19">
                  <c:v>13.170555547103657</c:v>
                </c:pt>
                <c:pt idx="20">
                  <c:v>12.205817152059776</c:v>
                </c:pt>
                <c:pt idx="21">
                  <c:v>11.185737968023385</c:v>
                </c:pt>
                <c:pt idx="22">
                  <c:v>10.16082444768106</c:v>
                </c:pt>
                <c:pt idx="23">
                  <c:v>9.1647633724390509</c:v>
                </c:pt>
                <c:pt idx="24">
                  <c:v>8.2189915293631728</c:v>
                </c:pt>
                <c:pt idx="25">
                  <c:v>7.3361345878557609</c:v>
                </c:pt>
                <c:pt idx="26">
                  <c:v>6.5225760921197748</c:v>
                </c:pt>
                <c:pt idx="27">
                  <c:v>5.7803623987059813</c:v>
                </c:pt>
                <c:pt idx="28">
                  <c:v>5.1086039922809485</c:v>
                </c:pt>
                <c:pt idx="29">
                  <c:v>4.5044971057033294</c:v>
                </c:pt>
                <c:pt idx="30">
                  <c:v>3.9640606924699089</c:v>
                </c:pt>
                <c:pt idx="31">
                  <c:v>3.4826612233661649</c:v>
                </c:pt>
                <c:pt idx="32">
                  <c:v>3.0553802836309729</c:v>
                </c:pt>
                <c:pt idx="33">
                  <c:v>2.6772664808307103</c:v>
                </c:pt>
                <c:pt idx="34">
                  <c:v>2.3435028659462458</c:v>
                </c:pt>
                <c:pt idx="35">
                  <c:v>2.0495132167394492</c:v>
                </c:pt>
                <c:pt idx="36">
                  <c:v>1.7910245733706234</c:v>
                </c:pt>
                <c:pt idx="37">
                  <c:v>1.5640989115177804</c:v>
                </c:pt>
                <c:pt idx="38">
                  <c:v>1.3651434452075046</c:v>
                </c:pt>
                <c:pt idx="39">
                  <c:v>1.1909065050629248</c:v>
                </c:pt>
                <c:pt idx="40">
                  <c:v>1.0384640336515201</c:v>
                </c:pt>
                <c:pt idx="41">
                  <c:v>0.90520032170630427</c:v>
                </c:pt>
                <c:pt idx="42">
                  <c:v>0.78878555780451132</c:v>
                </c:pt>
                <c:pt idx="43">
                  <c:v>0.68715198873878658</c:v>
                </c:pt>
                <c:pt idx="44">
                  <c:v>0.59846991932360161</c:v>
                </c:pt>
                <c:pt idx="45">
                  <c:v>0.52112436651469374</c:v>
                </c:pt>
                <c:pt idx="46">
                  <c:v>0.45369288403395752</c:v>
                </c:pt>
                <c:pt idx="47">
                  <c:v>0.3949248604638454</c:v>
                </c:pt>
                <c:pt idx="48">
                  <c:v>0.34372244366433669</c:v>
                </c:pt>
                <c:pt idx="49">
                  <c:v>0.29912314062474249</c:v>
                </c:pt>
                <c:pt idx="50">
                  <c:v>0.2602840719725657</c:v>
                </c:pt>
                <c:pt idx="51">
                  <c:v>0.22646781499236621</c:v>
                </c:pt>
                <c:pt idx="52">
                  <c:v>0.19702974123057693</c:v>
                </c:pt>
                <c:pt idx="53">
                  <c:v>0.17140673945314744</c:v>
                </c:pt>
                <c:pt idx="54">
                  <c:v>0.14910720810992031</c:v>
                </c:pt>
                <c:pt idx="55">
                  <c:v>0.12970220078221328</c:v>
                </c:pt>
                <c:pt idx="56">
                  <c:v>0.11281761134175478</c:v>
                </c:pt>
                <c:pt idx="57">
                  <c:v>9.8127291283975959E-2</c:v>
                </c:pt>
                <c:pt idx="58">
                  <c:v>8.5346998885931627E-2</c:v>
                </c:pt>
                <c:pt idx="59">
                  <c:v>7.4229087754115991E-2</c:v>
                </c:pt>
                <c:pt idx="60">
                  <c:v>6.455785047007756E-2</c:v>
                </c:pt>
                <c:pt idx="61">
                  <c:v>5.6145441075636106E-2</c:v>
                </c:pt>
                <c:pt idx="62">
                  <c:v>4.882830784675838E-2</c:v>
                </c:pt>
                <c:pt idx="63">
                  <c:v>4.2464075052733884E-2</c:v>
                </c:pt>
                <c:pt idx="64">
                  <c:v>3.6928819112274837E-2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'T13'!$B$15</c:f>
              <c:numCache>
                <c:formatCode>0.000</c:formatCode>
                <c:ptCount val="1"/>
                <c:pt idx="0">
                  <c:v>0.15204169021393446</c:v>
                </c:pt>
              </c:numCache>
            </c:numRef>
          </c:xVal>
          <c:yVal>
            <c:numRef>
              <c:f>'T13'!$I$3</c:f>
              <c:numCache>
                <c:formatCode>General</c:formatCode>
                <c:ptCount val="1"/>
                <c:pt idx="0">
                  <c:v>4.0855960438249053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'T13'!$B$16</c:f>
              <c:numCache>
                <c:formatCode>0</c:formatCode>
                <c:ptCount val="1"/>
                <c:pt idx="0">
                  <c:v>7.6435197673646131</c:v>
                </c:pt>
              </c:numCache>
            </c:numRef>
          </c:xVal>
          <c:yVal>
            <c:numRef>
              <c:f>'T13'!$I$3</c:f>
              <c:numCache>
                <c:formatCode>General</c:formatCode>
                <c:ptCount val="1"/>
                <c:pt idx="0">
                  <c:v>4.0855960438249053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CC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'T13'!$B$18</c:f>
              <c:numCache>
                <c:formatCode>0.000</c:formatCode>
                <c:ptCount val="1"/>
                <c:pt idx="0">
                  <c:v>0.5969179985934856</c:v>
                </c:pt>
              </c:numCache>
            </c:numRef>
          </c:xVal>
          <c:yVal>
            <c:numRef>
              <c:f>'T13'!$I$3</c:f>
              <c:numCache>
                <c:formatCode>General</c:formatCode>
                <c:ptCount val="1"/>
                <c:pt idx="0">
                  <c:v>4.0855960438249053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1232"/>
        <c:axId val="195553536"/>
      </c:scatterChart>
      <c:valAx>
        <c:axId val="195551232"/>
        <c:scaling>
          <c:logBase val="10"/>
          <c:orientation val="minMax"/>
          <c:max val="10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Volume, V [l/mol]</a:t>
                </a:r>
              </a:p>
            </c:rich>
          </c:tx>
          <c:layout>
            <c:manualLayout>
              <c:xMode val="edge"/>
              <c:yMode val="edge"/>
              <c:x val="0.44422082681298652"/>
              <c:y val="0.90450728970959493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553536"/>
        <c:crossesAt val="-1000000"/>
        <c:crossBetween val="midCat"/>
        <c:minorUnit val="10"/>
      </c:valAx>
      <c:valAx>
        <c:axId val="195553536"/>
        <c:scaling>
          <c:orientation val="minMax"/>
          <c:max val="100"/>
          <c:min val="-3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Pressure, P [bar]</a:t>
                </a:r>
              </a:p>
            </c:rich>
          </c:tx>
          <c:layout>
            <c:manualLayout>
              <c:xMode val="edge"/>
              <c:yMode val="edge"/>
              <c:x val="5.2738545649030369E-2"/>
              <c:y val="0.318919900953383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551232"/>
        <c:crossesAt val="1E-3"/>
        <c:crossBetween val="midCat"/>
        <c:majorUnit val="50"/>
        <c:minorUnit val="1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ZA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14</a:t>
            </a: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ZA"/>
          </a:p>
        </c:rich>
      </c:tx>
      <c:layout>
        <c:manualLayout>
          <c:xMode val="edge"/>
          <c:yMode val="edge"/>
          <c:x val="0.53036437246963564"/>
          <c:y val="0.1028883586920021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50202429149797"/>
          <c:y val="3.7906237412842887E-2"/>
          <c:w val="0.74089068825910931"/>
          <c:h val="0.8014461624429639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'T14'!$A$21:$A$80</c:f>
              <c:numCache>
                <c:formatCode>0.000</c:formatCode>
                <c:ptCount val="60"/>
                <c:pt idx="0">
                  <c:v>0.11929554873417722</c:v>
                </c:pt>
                <c:pt idx="1">
                  <c:v>0.1371898810443038</c:v>
                </c:pt>
                <c:pt idx="2">
                  <c:v>0.15776836320094936</c:v>
                </c:pt>
                <c:pt idx="3">
                  <c:v>0.18143361768109176</c:v>
                </c:pt>
                <c:pt idx="4">
                  <c:v>0.20864866033325549</c:v>
                </c:pt>
                <c:pt idx="5">
                  <c:v>0.23994595938324378</c:v>
                </c:pt>
                <c:pt idx="6">
                  <c:v>0.27593785329073034</c:v>
                </c:pt>
                <c:pt idx="7">
                  <c:v>0.31732853128433985</c:v>
                </c:pt>
                <c:pt idx="8">
                  <c:v>0.36492781097699079</c:v>
                </c:pt>
                <c:pt idx="9">
                  <c:v>0.41966698262353935</c:v>
                </c:pt>
                <c:pt idx="10">
                  <c:v>0.48261703001707024</c:v>
                </c:pt>
                <c:pt idx="11">
                  <c:v>0.55500958451963078</c:v>
                </c:pt>
                <c:pt idx="12">
                  <c:v>0.6382610221975753</c:v>
                </c:pt>
                <c:pt idx="13">
                  <c:v>0.73400017552721153</c:v>
                </c:pt>
                <c:pt idx="14">
                  <c:v>0.8441002018562932</c:v>
                </c:pt>
                <c:pt idx="15">
                  <c:v>0.97071523213473709</c:v>
                </c:pt>
                <c:pt idx="16">
                  <c:v>1.1163225169549476</c:v>
                </c:pt>
                <c:pt idx="17">
                  <c:v>1.2837708944981896</c:v>
                </c:pt>
                <c:pt idx="18">
                  <c:v>1.476336528672918</c:v>
                </c:pt>
                <c:pt idx="19">
                  <c:v>1.6977870079738555</c:v>
                </c:pt>
                <c:pt idx="20">
                  <c:v>1.9524550591699337</c:v>
                </c:pt>
                <c:pt idx="21">
                  <c:v>2.2453233180454237</c:v>
                </c:pt>
                <c:pt idx="22">
                  <c:v>2.5821218157522372</c:v>
                </c:pt>
                <c:pt idx="23">
                  <c:v>2.9694400881150727</c:v>
                </c:pt>
                <c:pt idx="24">
                  <c:v>3.4148561013323331</c:v>
                </c:pt>
                <c:pt idx="25">
                  <c:v>3.9270845165321826</c:v>
                </c:pt>
                <c:pt idx="26">
                  <c:v>4.5161471940120093</c:v>
                </c:pt>
                <c:pt idx="27">
                  <c:v>5.1935692731138099</c:v>
                </c:pt>
                <c:pt idx="28">
                  <c:v>5.9726046640808805</c:v>
                </c:pt>
                <c:pt idx="29">
                  <c:v>6.8684953636930119</c:v>
                </c:pt>
                <c:pt idx="30">
                  <c:v>7.8987696682469632</c:v>
                </c:pt>
                <c:pt idx="31">
                  <c:v>9.0835851184840077</c:v>
                </c:pt>
                <c:pt idx="32">
                  <c:v>10.446122886256608</c:v>
                </c:pt>
                <c:pt idx="33">
                  <c:v>12.013041319195098</c:v>
                </c:pt>
                <c:pt idx="34">
                  <c:v>13.814997517074362</c:v>
                </c:pt>
                <c:pt idx="35">
                  <c:v>15.887247144635515</c:v>
                </c:pt>
                <c:pt idx="36">
                  <c:v>18.270334216330841</c:v>
                </c:pt>
                <c:pt idx="37">
                  <c:v>21.010884348780465</c:v>
                </c:pt>
                <c:pt idx="38">
                  <c:v>24.162517001097534</c:v>
                </c:pt>
                <c:pt idx="39">
                  <c:v>27.786894551262161</c:v>
                </c:pt>
                <c:pt idx="40">
                  <c:v>31.954928733951483</c:v>
                </c:pt>
                <c:pt idx="41">
                  <c:v>36.748168044044206</c:v>
                </c:pt>
                <c:pt idx="42">
                  <c:v>42.260393250650836</c:v>
                </c:pt>
                <c:pt idx="43">
                  <c:v>48.59945223824846</c:v>
                </c:pt>
                <c:pt idx="44">
                  <c:v>55.889370073985724</c:v>
                </c:pt>
                <c:pt idx="45">
                  <c:v>64.272775585083579</c:v>
                </c:pt>
                <c:pt idx="46">
                  <c:v>73.913691922846112</c:v>
                </c:pt>
                <c:pt idx="47">
                  <c:v>85.000745711273026</c:v>
                </c:pt>
                <c:pt idx="48">
                  <c:v>97.750857567963976</c:v>
                </c:pt>
                <c:pt idx="49">
                  <c:v>112.41348620315857</c:v>
                </c:pt>
                <c:pt idx="50">
                  <c:v>129.27550913363234</c:v>
                </c:pt>
                <c:pt idx="51">
                  <c:v>148.66683550367719</c:v>
                </c:pt>
                <c:pt idx="52">
                  <c:v>170.96686082922875</c:v>
                </c:pt>
                <c:pt idx="53">
                  <c:v>196.61188995361306</c:v>
                </c:pt>
                <c:pt idx="54">
                  <c:v>226.10367344665499</c:v>
                </c:pt>
                <c:pt idx="55">
                  <c:v>260.01922446365325</c:v>
                </c:pt>
                <c:pt idx="56">
                  <c:v>299.02210813320119</c:v>
                </c:pt>
                <c:pt idx="57">
                  <c:v>343.87542435318136</c:v>
                </c:pt>
                <c:pt idx="58">
                  <c:v>395.45673800615856</c:v>
                </c:pt>
                <c:pt idx="59">
                  <c:v>454.77524870708231</c:v>
                </c:pt>
              </c:numCache>
            </c:numRef>
          </c:xVal>
          <c:yVal>
            <c:numRef>
              <c:f>'T14'!$B$21:$B$80</c:f>
              <c:numCache>
                <c:formatCode>General</c:formatCode>
                <c:ptCount val="60"/>
                <c:pt idx="0">
                  <c:v>3518225.5977851385</c:v>
                </c:pt>
                <c:pt idx="1">
                  <c:v>734.77255246893674</c:v>
                </c:pt>
                <c:pt idx="2">
                  <c:v>-16.270562270298541</c:v>
                </c:pt>
                <c:pt idx="3">
                  <c:v>-137.54848614903074</c:v>
                </c:pt>
                <c:pt idx="4">
                  <c:v>-138.37810695859852</c:v>
                </c:pt>
                <c:pt idx="5">
                  <c:v>-110.7495367341136</c:v>
                </c:pt>
                <c:pt idx="6">
                  <c:v>-79.629434274706867</c:v>
                </c:pt>
                <c:pt idx="7">
                  <c:v>-52.379002822443546</c:v>
                </c:pt>
                <c:pt idx="8">
                  <c:v>-30.704969384824999</c:v>
                </c:pt>
                <c:pt idx="9">
                  <c:v>-14.387132241594664</c:v>
                </c:pt>
                <c:pt idx="10">
                  <c:v>-2.6060511750526896</c:v>
                </c:pt>
                <c:pt idx="11">
                  <c:v>5.5580888175151903</c:v>
                </c:pt>
                <c:pt idx="12">
                  <c:v>10.943250213742632</c:v>
                </c:pt>
                <c:pt idx="13">
                  <c:v>14.250608444614191</c:v>
                </c:pt>
                <c:pt idx="14">
                  <c:v>16.040869950987027</c:v>
                </c:pt>
                <c:pt idx="15">
                  <c:v>16.749771572591822</c:v>
                </c:pt>
                <c:pt idx="16">
                  <c:v>16.70901060461091</c:v>
                </c:pt>
                <c:pt idx="17">
                  <c:v>16.166855420470483</c:v>
                </c:pt>
                <c:pt idx="18">
                  <c:v>15.306265612159745</c:v>
                </c:pt>
                <c:pt idx="19">
                  <c:v>14.259948478572801</c:v>
                </c:pt>
                <c:pt idx="20">
                  <c:v>13.122463642385558</c:v>
                </c:pt>
                <c:pt idx="21">
                  <c:v>11.959747593827382</c:v>
                </c:pt>
                <c:pt idx="22">
                  <c:v>10.816494725552372</c:v>
                </c:pt>
                <c:pt idx="23">
                  <c:v>9.7218108607609679</c:v>
                </c:pt>
                <c:pt idx="24">
                  <c:v>8.693502073019415</c:v>
                </c:pt>
                <c:pt idx="25">
                  <c:v>7.7413005141931537</c:v>
                </c:pt>
                <c:pt idx="26">
                  <c:v>6.8692710175680141</c:v>
                </c:pt>
                <c:pt idx="27">
                  <c:v>6.0775916914497348</c:v>
                </c:pt>
                <c:pt idx="28">
                  <c:v>5.3638595967110732</c:v>
                </c:pt>
                <c:pt idx="29">
                  <c:v>4.7240384803927489</c:v>
                </c:pt>
                <c:pt idx="30">
                  <c:v>4.1531384107057985</c:v>
                </c:pt>
                <c:pt idx="31">
                  <c:v>3.6456958761561657</c:v>
                </c:pt>
                <c:pt idx="32">
                  <c:v>3.1961063765759405</c:v>
                </c:pt>
                <c:pt idx="33">
                  <c:v>2.798848784275505</c:v>
                </c:pt>
                <c:pt idx="34">
                  <c:v>2.44863098246539</c:v>
                </c:pt>
                <c:pt idx="35">
                  <c:v>2.1404788379727693</c:v>
                </c:pt>
                <c:pt idx="36">
                  <c:v>1.8697849102860702</c:v>
                </c:pt>
                <c:pt idx="37">
                  <c:v>1.6323290242369717</c:v>
                </c:pt>
                <c:pt idx="38">
                  <c:v>1.4242796150428052</c:v>
                </c:pt>
                <c:pt idx="39">
                  <c:v>1.2421823406318884</c:v>
                </c:pt>
                <c:pt idx="40">
                  <c:v>1.0829406533835526</c:v>
                </c:pt>
                <c:pt idx="41">
                  <c:v>0.94379168295305438</c:v>
                </c:pt>
                <c:pt idx="42">
                  <c:v>0.82227979009003616</c:v>
                </c:pt>
                <c:pt idx="43">
                  <c:v>0.71622942175248272</c:v>
                </c:pt>
                <c:pt idx="44">
                  <c:v>0.62371836464890362</c:v>
                </c:pt>
                <c:pt idx="45">
                  <c:v>0.54305210784736735</c:v>
                </c:pt>
                <c:pt idx="46">
                  <c:v>0.47273974769033322</c:v>
                </c:pt>
                <c:pt idx="47">
                  <c:v>0.41147167164275589</c:v>
                </c:pt>
                <c:pt idx="48">
                  <c:v>0.35809912061449967</c:v>
                </c:pt>
                <c:pt idx="49">
                  <c:v>0.31161563580950979</c:v>
                </c:pt>
                <c:pt idx="50">
                  <c:v>0.27114033436991258</c:v>
                </c:pt>
                <c:pt idx="51">
                  <c:v>0.23590291915227179</c:v>
                </c:pt>
                <c:pt idx="52">
                  <c:v>0.20523030533447068</c:v>
                </c:pt>
                <c:pt idx="53">
                  <c:v>0.17853473536332082</c:v>
                </c:pt>
                <c:pt idx="54">
                  <c:v>0.15530325046107907</c:v>
                </c:pt>
                <c:pt idx="55">
                  <c:v>0.13508838892155781</c:v>
                </c:pt>
                <c:pt idx="56">
                  <c:v>0.1174999868677966</c:v>
                </c:pt>
                <c:pt idx="57">
                  <c:v>0.10219796466924319</c:v>
                </c:pt>
                <c:pt idx="58">
                  <c:v>8.8885990875880991E-2</c:v>
                </c:pt>
                <c:pt idx="59">
                  <c:v>7.7305924657511932E-2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'T14'!$B$16</c:f>
              <c:numCache>
                <c:formatCode>0</c:formatCode>
                <c:ptCount val="1"/>
                <c:pt idx="0">
                  <c:v>5.4280833101355412</c:v>
                </c:pt>
              </c:numCache>
            </c:numRef>
          </c:xVal>
          <c:yVal>
            <c:numRef>
              <c:f>'T14'!$I$3</c:f>
              <c:numCache>
                <c:formatCode>General</c:formatCode>
                <c:ptCount val="1"/>
                <c:pt idx="0">
                  <c:v>5.8437937282110406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'T14'!$B$15</c:f>
              <c:numCache>
                <c:formatCode>0.000</c:formatCode>
                <c:ptCount val="1"/>
                <c:pt idx="0">
                  <c:v>0.15605155917878541</c:v>
                </c:pt>
              </c:numCache>
            </c:numRef>
          </c:xVal>
          <c:yVal>
            <c:numRef>
              <c:f>'T14'!$I$3</c:f>
              <c:numCache>
                <c:formatCode>General</c:formatCode>
                <c:ptCount val="1"/>
                <c:pt idx="0">
                  <c:v>5.8437937282110406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'T14'!$B$18</c:f>
              <c:numCache>
                <c:formatCode>0.000</c:formatCode>
                <c:ptCount val="1"/>
                <c:pt idx="0">
                  <c:v>0.55838482816015844</c:v>
                </c:pt>
              </c:numCache>
            </c:numRef>
          </c:xVal>
          <c:yVal>
            <c:numRef>
              <c:f>'T14'!$I$3</c:f>
              <c:numCache>
                <c:formatCode>General</c:formatCode>
                <c:ptCount val="1"/>
                <c:pt idx="0">
                  <c:v>5.8437937282110406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854016"/>
        <c:axId val="162856320"/>
      </c:scatterChart>
      <c:valAx>
        <c:axId val="162854016"/>
        <c:scaling>
          <c:logBase val="10"/>
          <c:orientation val="minMax"/>
          <c:max val="10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Volume, V [l/mol]</a:t>
                </a:r>
              </a:p>
            </c:rich>
          </c:tx>
          <c:layout>
            <c:manualLayout>
              <c:xMode val="edge"/>
              <c:yMode val="edge"/>
              <c:x val="0.44534412955465585"/>
              <c:y val="0.90433452113496604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2856320"/>
        <c:crossesAt val="-1000000"/>
        <c:crossBetween val="midCat"/>
        <c:minorUnit val="10"/>
      </c:valAx>
      <c:valAx>
        <c:axId val="162856320"/>
        <c:scaling>
          <c:orientation val="minMax"/>
          <c:max val="100"/>
          <c:min val="-2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Pressure, P [bar]</a:t>
                </a:r>
              </a:p>
            </c:rich>
          </c:tx>
          <c:layout>
            <c:manualLayout>
              <c:xMode val="edge"/>
              <c:yMode val="edge"/>
              <c:x val="5.2631578947368418E-2"/>
              <c:y val="0.319495429622532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2854016"/>
        <c:crossesAt val="1E-3"/>
        <c:crossBetween val="midCat"/>
        <c:majorUnit val="50"/>
        <c:minorUnit val="1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ZA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15</a:t>
            </a: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ZA"/>
          </a:p>
        </c:rich>
      </c:tx>
      <c:layout>
        <c:manualLayout>
          <c:xMode val="edge"/>
          <c:yMode val="edge"/>
          <c:x val="0.53996127061692412"/>
          <c:y val="0.17149220489977729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077982264817035"/>
          <c:y val="5.1224944320712694E-2"/>
          <c:w val="0.74658904926455572"/>
          <c:h val="0.788418708240534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'T15'!$A$21:$A$80</c:f>
              <c:numCache>
                <c:formatCode>0.000</c:formatCode>
                <c:ptCount val="60"/>
                <c:pt idx="0">
                  <c:v>0.11929554873417722</c:v>
                </c:pt>
                <c:pt idx="1">
                  <c:v>0.13122510360759496</c:v>
                </c:pt>
                <c:pt idx="2">
                  <c:v>0.14434761396835447</c:v>
                </c:pt>
                <c:pt idx="3">
                  <c:v>0.15878237536518994</c:v>
                </c:pt>
                <c:pt idx="4">
                  <c:v>0.17466061290170895</c:v>
                </c:pt>
                <c:pt idx="5">
                  <c:v>0.19212667419187987</c:v>
                </c:pt>
                <c:pt idx="6">
                  <c:v>0.21133934161106788</c:v>
                </c:pt>
                <c:pt idx="7">
                  <c:v>0.23247327577217469</c:v>
                </c:pt>
                <c:pt idx="8">
                  <c:v>0.25572060334939217</c:v>
                </c:pt>
                <c:pt idx="9">
                  <c:v>0.28129266368433142</c:v>
                </c:pt>
                <c:pt idx="10">
                  <c:v>0.30942193005276458</c:v>
                </c:pt>
                <c:pt idx="11">
                  <c:v>0.34036412305804109</c:v>
                </c:pt>
                <c:pt idx="12">
                  <c:v>0.37440053536384521</c:v>
                </c:pt>
                <c:pt idx="13">
                  <c:v>0.41184058890022979</c:v>
                </c:pt>
                <c:pt idx="14">
                  <c:v>0.45302464779025281</c:v>
                </c:pt>
                <c:pt idx="15">
                  <c:v>0.49832711256927814</c:v>
                </c:pt>
                <c:pt idx="16">
                  <c:v>0.54815982382620598</c:v>
                </c:pt>
                <c:pt idx="17">
                  <c:v>0.60297580620882663</c:v>
                </c:pt>
                <c:pt idx="18">
                  <c:v>0.66327338682970938</c:v>
                </c:pt>
                <c:pt idx="19">
                  <c:v>0.7296007255126804</c:v>
                </c:pt>
                <c:pt idx="20">
                  <c:v>0.80256079806394853</c:v>
                </c:pt>
                <c:pt idx="21">
                  <c:v>0.88281687787034346</c:v>
                </c:pt>
                <c:pt idx="22">
                  <c:v>0.97109856565737784</c:v>
                </c:pt>
                <c:pt idx="23">
                  <c:v>1.0682084222231156</c:v>
                </c:pt>
                <c:pt idx="24">
                  <c:v>1.1750292644454272</c:v>
                </c:pt>
                <c:pt idx="25">
                  <c:v>1.2925321908899701</c:v>
                </c:pt>
                <c:pt idx="26">
                  <c:v>1.4217854099789673</c:v>
                </c:pt>
                <c:pt idx="27">
                  <c:v>1.5639639509768641</c:v>
                </c:pt>
                <c:pt idx="28">
                  <c:v>1.7203603460745507</c:v>
                </c:pt>
                <c:pt idx="29">
                  <c:v>1.8923963806820059</c:v>
                </c:pt>
                <c:pt idx="30">
                  <c:v>2.0816360187502068</c:v>
                </c:pt>
                <c:pt idx="31">
                  <c:v>2.2897996206252276</c:v>
                </c:pt>
                <c:pt idx="32">
                  <c:v>2.5187795826877504</c:v>
                </c:pt>
                <c:pt idx="33">
                  <c:v>2.7706575409565257</c:v>
                </c:pt>
                <c:pt idx="34">
                  <c:v>3.0477232950521786</c:v>
                </c:pt>
                <c:pt idx="35">
                  <c:v>3.3524956245573967</c:v>
                </c:pt>
                <c:pt idx="36">
                  <c:v>3.6877451870131366</c:v>
                </c:pt>
                <c:pt idx="37">
                  <c:v>4.0565197057144502</c:v>
                </c:pt>
                <c:pt idx="38">
                  <c:v>4.4621716762858954</c:v>
                </c:pt>
                <c:pt idx="39">
                  <c:v>4.9083888439144854</c:v>
                </c:pt>
                <c:pt idx="40">
                  <c:v>5.3992277283059344</c:v>
                </c:pt>
                <c:pt idx="41">
                  <c:v>5.9391505011365284</c:v>
                </c:pt>
                <c:pt idx="42">
                  <c:v>6.5330655512501821</c:v>
                </c:pt>
                <c:pt idx="43">
                  <c:v>7.1863721063752006</c:v>
                </c:pt>
                <c:pt idx="44">
                  <c:v>7.9050093170127216</c:v>
                </c:pt>
                <c:pt idx="45">
                  <c:v>8.6955102487139939</c:v>
                </c:pt>
                <c:pt idx="46">
                  <c:v>9.5650612735853944</c:v>
                </c:pt>
                <c:pt idx="47">
                  <c:v>10.521567400943935</c:v>
                </c:pt>
                <c:pt idx="48">
                  <c:v>11.57372414103833</c:v>
                </c:pt>
                <c:pt idx="49">
                  <c:v>12.731096555142164</c:v>
                </c:pt>
                <c:pt idx="50">
                  <c:v>14.004206210656381</c:v>
                </c:pt>
                <c:pt idx="51">
                  <c:v>15.40462683172202</c:v>
                </c:pt>
                <c:pt idx="52">
                  <c:v>16.945089514894224</c:v>
                </c:pt>
                <c:pt idx="53">
                  <c:v>18.639598466383649</c:v>
                </c:pt>
                <c:pt idx="54">
                  <c:v>20.503558313022015</c:v>
                </c:pt>
                <c:pt idx="55">
                  <c:v>22.553914144324217</c:v>
                </c:pt>
                <c:pt idx="56">
                  <c:v>24.809305558756641</c:v>
                </c:pt>
                <c:pt idx="57">
                  <c:v>27.290236114632307</c:v>
                </c:pt>
                <c:pt idx="58">
                  <c:v>30.019259726095541</c:v>
                </c:pt>
                <c:pt idx="59">
                  <c:v>33.021185698705096</c:v>
                </c:pt>
              </c:numCache>
            </c:numRef>
          </c:xVal>
          <c:yVal>
            <c:numRef>
              <c:f>'T15'!$B$21:$B$80</c:f>
              <c:numCache>
                <c:formatCode>General</c:formatCode>
                <c:ptCount val="60"/>
                <c:pt idx="0">
                  <c:v>3663806.9464244228</c:v>
                </c:pt>
                <c:pt idx="1">
                  <c:v>1758.6483130141589</c:v>
                </c:pt>
                <c:pt idx="2">
                  <c:v>378.79925770008236</c:v>
                </c:pt>
                <c:pt idx="3">
                  <c:v>32.379903462593937</c:v>
                </c:pt>
                <c:pt idx="4">
                  <c:v>-78.279003078842649</c:v>
                </c:pt>
                <c:pt idx="5">
                  <c:v>-108.5319441050959</c:v>
                </c:pt>
                <c:pt idx="6">
                  <c:v>-107.38725592008566</c:v>
                </c:pt>
                <c:pt idx="7">
                  <c:v>-93.990659550630625</c:v>
                </c:pt>
                <c:pt idx="8">
                  <c:v>-76.654090486746242</c:v>
                </c:pt>
                <c:pt idx="9">
                  <c:v>-59.130343177732755</c:v>
                </c:pt>
                <c:pt idx="10">
                  <c:v>-43.073558912712834</c:v>
                </c:pt>
                <c:pt idx="11">
                  <c:v>-29.121914696521308</c:v>
                </c:pt>
                <c:pt idx="12">
                  <c:v>-17.413020418412835</c:v>
                </c:pt>
                <c:pt idx="13">
                  <c:v>-7.8425098615082973</c:v>
                </c:pt>
                <c:pt idx="14">
                  <c:v>-0.19794799868192059</c:v>
                </c:pt>
                <c:pt idx="15">
                  <c:v>5.7709970498312213</c:v>
                </c:pt>
                <c:pt idx="16">
                  <c:v>10.316176125594557</c:v>
                </c:pt>
                <c:pt idx="17">
                  <c:v>13.672925228629829</c:v>
                </c:pt>
                <c:pt idx="18">
                  <c:v>16.052095148096988</c:v>
                </c:pt>
                <c:pt idx="19">
                  <c:v>17.637579101295078</c:v>
                </c:pt>
                <c:pt idx="20">
                  <c:v>18.586772055958331</c:v>
                </c:pt>
                <c:pt idx="21">
                  <c:v>19.032503979655761</c:v>
                </c:pt>
                <c:pt idx="22">
                  <c:v>19.085618533689971</c:v>
                </c:pt>
                <c:pt idx="23">
                  <c:v>18.837732056053479</c:v>
                </c:pt>
                <c:pt idx="24">
                  <c:v>18.363919686329815</c:v>
                </c:pt>
                <c:pt idx="25">
                  <c:v>17.725199641354667</c:v>
                </c:pt>
                <c:pt idx="26">
                  <c:v>16.970759007649416</c:v>
                </c:pt>
                <c:pt idx="27">
                  <c:v>16.139905905051624</c:v>
                </c:pt>
                <c:pt idx="28">
                  <c:v>15.263755865680302</c:v>
                </c:pt>
                <c:pt idx="29">
                  <c:v>14.36667217971422</c:v>
                </c:pt>
                <c:pt idx="30">
                  <c:v>13.467485278458648</c:v>
                </c:pt>
                <c:pt idx="31">
                  <c:v>12.580517697715873</c:v>
                </c:pt>
                <c:pt idx="32">
                  <c:v>11.716440467723823</c:v>
                </c:pt>
                <c:pt idx="33">
                  <c:v>10.882984933187741</c:v>
                </c:pt>
                <c:pt idx="34">
                  <c:v>10.085531636888801</c:v>
                </c:pt>
                <c:pt idx="35">
                  <c:v>9.3275953702198073</c:v>
                </c:pt>
                <c:pt idx="36">
                  <c:v>8.6112230145650344</c:v>
                </c:pt>
                <c:pt idx="37">
                  <c:v>7.9373184825824774</c:v>
                </c:pt>
                <c:pt idx="38">
                  <c:v>7.3059069725547738</c:v>
                </c:pt>
                <c:pt idx="39">
                  <c:v>6.7163488905877342</c:v>
                </c:pt>
                <c:pt idx="40">
                  <c:v>6.1675121721421666</c:v>
                </c:pt>
                <c:pt idx="41">
                  <c:v>5.6579103321859145</c:v>
                </c:pt>
                <c:pt idx="42">
                  <c:v>5.1858123723854712</c:v>
                </c:pt>
                <c:pt idx="43">
                  <c:v>4.7493296522544384</c:v>
                </c:pt>
                <c:pt idx="44">
                  <c:v>4.3464839669897586</c:v>
                </c:pt>
                <c:pt idx="45">
                  <c:v>3.9752603469219547</c:v>
                </c:pt>
                <c:pt idx="46">
                  <c:v>3.6336474828855669</c:v>
                </c:pt>
                <c:pt idx="47">
                  <c:v>3.3196681711832485</c:v>
                </c:pt>
                <c:pt idx="48">
                  <c:v>3.0314017460197324</c:v>
                </c:pt>
                <c:pt idx="49">
                  <c:v>2.7670001131338182</c:v>
                </c:pt>
                <c:pt idx="50">
                  <c:v>2.5246987044889995</c:v>
                </c:pt>
                <c:pt idx="51">
                  <c:v>2.302823430566971</c:v>
                </c:pt>
                <c:pt idx="52">
                  <c:v>2.0997945057650118</c:v>
                </c:pt>
                <c:pt idx="53">
                  <c:v>1.9141278566187636</c:v>
                </c:pt>
                <c:pt idx="54">
                  <c:v>1.7444346861445306</c:v>
                </c:pt>
                <c:pt idx="55">
                  <c:v>1.5894196555505322</c:v>
                </c:pt>
                <c:pt idx="56">
                  <c:v>1.4478780527390942</c:v>
                </c:pt>
                <c:pt idx="57">
                  <c:v>1.3186922419286375</c:v>
                </c:pt>
                <c:pt idx="58">
                  <c:v>1.2008276274594736</c:v>
                </c:pt>
                <c:pt idx="59">
                  <c:v>1.0933283149907893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'T15'!$B$15</c:f>
              <c:numCache>
                <c:formatCode>0.000</c:formatCode>
                <c:ptCount val="1"/>
                <c:pt idx="0">
                  <c:v>0.16093467004790543</c:v>
                </c:pt>
              </c:numCache>
            </c:numRef>
          </c:xVal>
          <c:yVal>
            <c:numRef>
              <c:f>'T15'!$I$3</c:f>
              <c:numCache>
                <c:formatCode>General</c:formatCode>
                <c:ptCount val="1"/>
                <c:pt idx="0">
                  <c:v>8.2185939153590262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'T15'!$B$18</c:f>
              <c:numCache>
                <c:formatCode>0.000</c:formatCode>
                <c:ptCount val="1"/>
                <c:pt idx="0">
                  <c:v>0.52278462053753394</c:v>
                </c:pt>
              </c:numCache>
            </c:numRef>
          </c:xVal>
          <c:yVal>
            <c:numRef>
              <c:f>'T15'!$I$3</c:f>
              <c:numCache>
                <c:formatCode>General</c:formatCode>
                <c:ptCount val="1"/>
                <c:pt idx="0">
                  <c:v>8.2185939153590262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'T15'!$B$16</c:f>
              <c:numCache>
                <c:formatCode>0</c:formatCode>
                <c:ptCount val="1"/>
                <c:pt idx="0">
                  <c:v>3.8954454897186128</c:v>
                </c:pt>
              </c:numCache>
            </c:numRef>
          </c:xVal>
          <c:yVal>
            <c:numRef>
              <c:f>'T15'!$I$3</c:f>
              <c:numCache>
                <c:formatCode>General</c:formatCode>
                <c:ptCount val="1"/>
                <c:pt idx="0">
                  <c:v>8.2185939153590262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82848"/>
        <c:axId val="124789504"/>
      </c:scatterChart>
      <c:valAx>
        <c:axId val="124782848"/>
        <c:scaling>
          <c:logBase val="10"/>
          <c:orientation val="minMax"/>
          <c:max val="10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Volume, V [l/mol]</a:t>
                </a:r>
              </a:p>
            </c:rich>
          </c:tx>
          <c:layout>
            <c:manualLayout>
              <c:xMode val="edge"/>
              <c:yMode val="edge"/>
              <c:x val="0.43859669995959544"/>
              <c:y val="0.91759465478841873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4789504"/>
        <c:crossesAt val="-1000000"/>
        <c:crossBetween val="midCat"/>
        <c:minorUnit val="10"/>
      </c:valAx>
      <c:valAx>
        <c:axId val="124789504"/>
        <c:scaling>
          <c:orientation val="minMax"/>
          <c:max val="100"/>
          <c:min val="-150"/>
        </c:scaling>
        <c:delete val="0"/>
        <c:axPos val="l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Pressure, P [bar]</a:t>
                </a:r>
              </a:p>
            </c:rich>
          </c:tx>
          <c:layout>
            <c:manualLayout>
              <c:xMode val="edge"/>
              <c:yMode val="edge"/>
              <c:x val="4.6783647995690181E-2"/>
              <c:y val="0.28953229398663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4782848"/>
        <c:crossesAt val="1E-3"/>
        <c:crossBetween val="midCat"/>
        <c:majorUnit val="50"/>
        <c:minorUnit val="1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ZA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16</a:t>
            </a: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ZA"/>
          </a:p>
        </c:rich>
      </c:tx>
      <c:layout>
        <c:manualLayout>
          <c:xMode val="edge"/>
          <c:yMode val="edge"/>
          <c:x val="0.53036437246963564"/>
          <c:y val="0.1028883586920021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50202429149797"/>
          <c:y val="3.7906237412842887E-2"/>
          <c:w val="0.72267206477732793"/>
          <c:h val="0.8014461624429639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'T16'!$A$21:$A$85</c:f>
              <c:numCache>
                <c:formatCode>0.000</c:formatCode>
                <c:ptCount val="65"/>
                <c:pt idx="0">
                  <c:v>0.11929554873417722</c:v>
                </c:pt>
                <c:pt idx="1">
                  <c:v>0.1371898810443038</c:v>
                </c:pt>
                <c:pt idx="2">
                  <c:v>0.15776836320094936</c:v>
                </c:pt>
                <c:pt idx="3">
                  <c:v>0.18143361768109176</c:v>
                </c:pt>
                <c:pt idx="4">
                  <c:v>0.20864866033325549</c:v>
                </c:pt>
                <c:pt idx="5">
                  <c:v>0.23994595938324378</c:v>
                </c:pt>
                <c:pt idx="6">
                  <c:v>0.27593785329073034</c:v>
                </c:pt>
                <c:pt idx="7">
                  <c:v>0.31732853128433985</c:v>
                </c:pt>
                <c:pt idx="8">
                  <c:v>0.36492781097699079</c:v>
                </c:pt>
                <c:pt idx="9">
                  <c:v>0.41966698262353935</c:v>
                </c:pt>
                <c:pt idx="10">
                  <c:v>0.48261703001707024</c:v>
                </c:pt>
                <c:pt idx="11">
                  <c:v>0.55500958451963078</c:v>
                </c:pt>
                <c:pt idx="12">
                  <c:v>0.6382610221975753</c:v>
                </c:pt>
                <c:pt idx="13">
                  <c:v>0.73400017552721153</c:v>
                </c:pt>
                <c:pt idx="14">
                  <c:v>0.8441002018562932</c:v>
                </c:pt>
                <c:pt idx="15">
                  <c:v>0.97071523213473709</c:v>
                </c:pt>
                <c:pt idx="16">
                  <c:v>1.1163225169549476</c:v>
                </c:pt>
                <c:pt idx="17">
                  <c:v>1.2837708944981896</c:v>
                </c:pt>
                <c:pt idx="18">
                  <c:v>1.476336528672918</c:v>
                </c:pt>
                <c:pt idx="19">
                  <c:v>1.6977870079738555</c:v>
                </c:pt>
                <c:pt idx="20">
                  <c:v>1.9524550591699337</c:v>
                </c:pt>
                <c:pt idx="21">
                  <c:v>2.2453233180454237</c:v>
                </c:pt>
                <c:pt idx="22">
                  <c:v>2.5821218157522372</c:v>
                </c:pt>
                <c:pt idx="23">
                  <c:v>2.9694400881150727</c:v>
                </c:pt>
                <c:pt idx="24">
                  <c:v>3.4148561013323331</c:v>
                </c:pt>
                <c:pt idx="25">
                  <c:v>3.9270845165321826</c:v>
                </c:pt>
                <c:pt idx="26">
                  <c:v>4.5161471940120093</c:v>
                </c:pt>
                <c:pt idx="27">
                  <c:v>5.1935692731138099</c:v>
                </c:pt>
                <c:pt idx="28">
                  <c:v>5.9726046640808805</c:v>
                </c:pt>
                <c:pt idx="29">
                  <c:v>6.8684953636930119</c:v>
                </c:pt>
                <c:pt idx="30">
                  <c:v>7.8987696682469632</c:v>
                </c:pt>
                <c:pt idx="31">
                  <c:v>9.0835851184840077</c:v>
                </c:pt>
                <c:pt idx="32">
                  <c:v>10.446122886256608</c:v>
                </c:pt>
                <c:pt idx="33">
                  <c:v>12.013041319195098</c:v>
                </c:pt>
                <c:pt idx="34">
                  <c:v>13.814997517074362</c:v>
                </c:pt>
                <c:pt idx="35">
                  <c:v>15.887247144635515</c:v>
                </c:pt>
                <c:pt idx="36">
                  <c:v>18.270334216330841</c:v>
                </c:pt>
                <c:pt idx="37">
                  <c:v>21.010884348780465</c:v>
                </c:pt>
                <c:pt idx="38">
                  <c:v>24.162517001097534</c:v>
                </c:pt>
                <c:pt idx="39">
                  <c:v>27.786894551262161</c:v>
                </c:pt>
                <c:pt idx="40">
                  <c:v>31.954928733951483</c:v>
                </c:pt>
                <c:pt idx="41">
                  <c:v>36.748168044044206</c:v>
                </c:pt>
                <c:pt idx="42">
                  <c:v>42.260393250650836</c:v>
                </c:pt>
                <c:pt idx="43">
                  <c:v>48.59945223824846</c:v>
                </c:pt>
                <c:pt idx="44">
                  <c:v>55.889370073985724</c:v>
                </c:pt>
                <c:pt idx="45">
                  <c:v>64.272775585083579</c:v>
                </c:pt>
                <c:pt idx="46">
                  <c:v>73.913691922846112</c:v>
                </c:pt>
                <c:pt idx="47">
                  <c:v>85.000745711273026</c:v>
                </c:pt>
                <c:pt idx="48">
                  <c:v>97.750857567963976</c:v>
                </c:pt>
                <c:pt idx="49">
                  <c:v>112.41348620315857</c:v>
                </c:pt>
                <c:pt idx="50">
                  <c:v>129.27550913363234</c:v>
                </c:pt>
                <c:pt idx="51">
                  <c:v>148.66683550367719</c:v>
                </c:pt>
                <c:pt idx="52">
                  <c:v>170.96686082922875</c:v>
                </c:pt>
                <c:pt idx="53">
                  <c:v>196.61188995361306</c:v>
                </c:pt>
                <c:pt idx="54">
                  <c:v>226.10367344665499</c:v>
                </c:pt>
                <c:pt idx="55">
                  <c:v>260.01922446365325</c:v>
                </c:pt>
                <c:pt idx="56">
                  <c:v>299.02210813320119</c:v>
                </c:pt>
                <c:pt idx="57">
                  <c:v>343.87542435318136</c:v>
                </c:pt>
                <c:pt idx="58">
                  <c:v>395.45673800615856</c:v>
                </c:pt>
                <c:pt idx="59">
                  <c:v>454.77524870708231</c:v>
                </c:pt>
                <c:pt idx="60">
                  <c:v>522.99153601314458</c:v>
                </c:pt>
                <c:pt idx="61">
                  <c:v>601.44026641511618</c:v>
                </c:pt>
                <c:pt idx="62">
                  <c:v>691.65630637738354</c:v>
                </c:pt>
                <c:pt idx="63">
                  <c:v>795.40475233399104</c:v>
                </c:pt>
                <c:pt idx="64">
                  <c:v>914.71546518408968</c:v>
                </c:pt>
              </c:numCache>
            </c:numRef>
          </c:xVal>
          <c:yVal>
            <c:numRef>
              <c:f>'T16'!$B$21:$B$85</c:f>
              <c:numCache>
                <c:formatCode>General</c:formatCode>
                <c:ptCount val="65"/>
                <c:pt idx="0">
                  <c:v>3815406.3906968134</c:v>
                </c:pt>
                <c:pt idx="1">
                  <c:v>963.69449814180359</c:v>
                </c:pt>
                <c:pt idx="2">
                  <c:v>108.55843359680584</c:v>
                </c:pt>
                <c:pt idx="3">
                  <c:v>-53.731337273540191</c:v>
                </c:pt>
                <c:pt idx="4">
                  <c:v>-77.901484489224899</c:v>
                </c:pt>
                <c:pt idx="5">
                  <c:v>-65.536733721197962</c:v>
                </c:pt>
                <c:pt idx="6">
                  <c:v>-45.094886198159763</c:v>
                </c:pt>
                <c:pt idx="7">
                  <c:v>-25.604829162007771</c:v>
                </c:pt>
                <c:pt idx="8">
                  <c:v>-9.7085409981214248</c:v>
                </c:pt>
                <c:pt idx="9">
                  <c:v>2.234510804491856</c:v>
                </c:pt>
                <c:pt idx="10">
                  <c:v>10.660565117296811</c:v>
                </c:pt>
                <c:pt idx="11">
                  <c:v>16.225020453699926</c:v>
                </c:pt>
                <c:pt idx="12">
                  <c:v>19.577926116932147</c:v>
                </c:pt>
                <c:pt idx="13">
                  <c:v>21.284070276814091</c:v>
                </c:pt>
                <c:pt idx="14">
                  <c:v>21.803606841145516</c:v>
                </c:pt>
                <c:pt idx="15">
                  <c:v>21.497233292485198</c:v>
                </c:pt>
                <c:pt idx="16">
                  <c:v>20.6400935741352</c:v>
                </c:pt>
                <c:pt idx="17">
                  <c:v>19.437479003281855</c:v>
                </c:pt>
                <c:pt idx="18">
                  <c:v>18.039449981468334</c:v>
                </c:pt>
                <c:pt idx="19">
                  <c:v>16.553361542746789</c:v>
                </c:pt>
                <c:pt idx="20">
                  <c:v>15.054114967401997</c:v>
                </c:pt>
                <c:pt idx="21">
                  <c:v>13.592312564122285</c:v>
                </c:pt>
                <c:pt idx="22">
                  <c:v>12.200618086425063</c:v>
                </c:pt>
                <c:pt idx="23">
                  <c:v>10.898644638064312</c:v>
                </c:pt>
                <c:pt idx="24">
                  <c:v>9.6966657487337375</c:v>
                </c:pt>
                <c:pt idx="25">
                  <c:v>8.5984028980594829</c:v>
                </c:pt>
                <c:pt idx="26">
                  <c:v>7.6030979474912108</c:v>
                </c:pt>
                <c:pt idx="27">
                  <c:v>6.7070377484365045</c:v>
                </c:pt>
                <c:pt idx="28">
                  <c:v>5.9046628220939636</c:v>
                </c:pt>
                <c:pt idx="29">
                  <c:v>5.1893627965349909</c:v>
                </c:pt>
                <c:pt idx="30">
                  <c:v>4.5540377616614069</c:v>
                </c:pt>
                <c:pt idx="31">
                  <c:v>3.9914860784759183</c:v>
                </c:pt>
                <c:pt idx="32">
                  <c:v>3.494664617000649</c:v>
                </c:pt>
                <c:pt idx="33">
                  <c:v>3.0568561185250527</c:v>
                </c:pt>
                <c:pt idx="34">
                  <c:v>2.6717697080032532</c:v>
                </c:pt>
                <c:pt idx="35">
                  <c:v>2.3335939597495896</c:v>
                </c:pt>
                <c:pt idx="36">
                  <c:v>2.0370168884373525</c:v>
                </c:pt>
                <c:pt idx="37">
                  <c:v>1.7772234345063413</c:v>
                </c:pt>
                <c:pt idx="38">
                  <c:v>1.5498781524241132</c:v>
                </c:pt>
                <c:pt idx="39">
                  <c:v>1.35109866876908</c:v>
                </c:pt>
                <c:pt idx="40">
                  <c:v>1.1774238821185949</c:v>
                </c:pt>
                <c:pt idx="41">
                  <c:v>1.0257796953112237</c:v>
                </c:pt>
                <c:pt idx="42">
                  <c:v>0.89344420099544919</c:v>
                </c:pt>
                <c:pt idx="43">
                  <c:v>0.77801360581303403</c:v>
                </c:pt>
                <c:pt idx="44">
                  <c:v>0.67736971806890167</c:v>
                </c:pt>
                <c:pt idx="45">
                  <c:v>0.58964949360246799</c:v>
                </c:pt>
                <c:pt idx="46">
                  <c:v>0.51321690104285</c:v>
                </c:pt>
                <c:pt idx="47">
                  <c:v>0.4466372052981018</c:v>
                </c:pt>
                <c:pt idx="48">
                  <c:v>0.38865365793962342</c:v>
                </c:pt>
                <c:pt idx="49">
                  <c:v>0.338166510850887</c:v>
                </c:pt>
                <c:pt idx="50">
                  <c:v>0.29421422450480145</c:v>
                </c:pt>
                <c:pt idx="51">
                  <c:v>0.25595671664801267</c:v>
                </c:pt>
                <c:pt idx="52">
                  <c:v>0.22266048519620654</c:v>
                </c:pt>
                <c:pt idx="53">
                  <c:v>0.19368543652054102</c:v>
                </c:pt>
                <c:pt idx="54">
                  <c:v>0.16847325392556839</c:v>
                </c:pt>
                <c:pt idx="55">
                  <c:v>0.14653714873806481</c:v>
                </c:pt>
                <c:pt idx="56">
                  <c:v>0.1274528464376575</c:v>
                </c:pt>
                <c:pt idx="57">
                  <c:v>0.11085067152980237</c:v>
                </c:pt>
                <c:pt idx="58">
                  <c:v>9.6408606602496019E-2</c:v>
                </c:pt>
                <c:pt idx="59">
                  <c:v>8.3846212686833149E-2</c:v>
                </c:pt>
                <c:pt idx="60">
                  <c:v>7.2919309308952837E-2</c:v>
                </c:pt>
                <c:pt idx="61">
                  <c:v>6.3415323260192655E-2</c:v>
                </c:pt>
                <c:pt idx="62">
                  <c:v>5.5149225000548613E-2</c:v>
                </c:pt>
                <c:pt idx="63">
                  <c:v>4.7959980690792561E-2</c:v>
                </c:pt>
                <c:pt idx="64">
                  <c:v>4.1707456108930084E-2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'T16'!$B$15</c:f>
              <c:numCache>
                <c:formatCode>0.000</c:formatCode>
                <c:ptCount val="1"/>
                <c:pt idx="0">
                  <c:v>0.16703169753244904</c:v>
                </c:pt>
              </c:numCache>
            </c:numRef>
          </c:xVal>
          <c:yVal>
            <c:numRef>
              <c:f>'T16'!$I$3</c:f>
              <c:numCache>
                <c:formatCode>General</c:formatCode>
                <c:ptCount val="1"/>
                <c:pt idx="0">
                  <c:v>11.382136605289334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'T16'!$B$16</c:f>
              <c:numCache>
                <c:formatCode>0.000</c:formatCode>
                <c:ptCount val="1"/>
                <c:pt idx="0">
                  <c:v>2.8158083277094557</c:v>
                </c:pt>
              </c:numCache>
            </c:numRef>
          </c:xVal>
          <c:yVal>
            <c:numRef>
              <c:f>'T16'!$I$3</c:f>
              <c:numCache>
                <c:formatCode>General</c:formatCode>
                <c:ptCount val="1"/>
                <c:pt idx="0">
                  <c:v>11.382136605289334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'T16'!$B$18</c:f>
              <c:numCache>
                <c:formatCode>0.000</c:formatCode>
                <c:ptCount val="1"/>
                <c:pt idx="0">
                  <c:v>0.48990315687054009</c:v>
                </c:pt>
              </c:numCache>
            </c:numRef>
          </c:xVal>
          <c:yVal>
            <c:numRef>
              <c:f>'T16'!$I$3</c:f>
              <c:numCache>
                <c:formatCode>General</c:formatCode>
                <c:ptCount val="1"/>
                <c:pt idx="0">
                  <c:v>11.382136605289334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9056"/>
        <c:axId val="124835712"/>
      </c:scatterChart>
      <c:valAx>
        <c:axId val="124829056"/>
        <c:scaling>
          <c:logBase val="10"/>
          <c:orientation val="minMax"/>
          <c:max val="1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Volume, V [l/mol]</a:t>
                </a:r>
              </a:p>
            </c:rich>
          </c:tx>
          <c:layout>
            <c:manualLayout>
              <c:xMode val="edge"/>
              <c:yMode val="edge"/>
              <c:x val="0.43522267206477733"/>
              <c:y val="0.90433452113496604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4835712"/>
        <c:crossesAt val="-1000000"/>
        <c:crossBetween val="midCat"/>
        <c:minorUnit val="10"/>
      </c:valAx>
      <c:valAx>
        <c:axId val="124835712"/>
        <c:scaling>
          <c:orientation val="minMax"/>
          <c:max val="100"/>
          <c:min val="-1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Pressure, P [bar]</a:t>
                </a:r>
              </a:p>
            </c:rich>
          </c:tx>
          <c:layout>
            <c:manualLayout>
              <c:xMode val="edge"/>
              <c:yMode val="edge"/>
              <c:x val="5.2631578947368418E-2"/>
              <c:y val="0.319495429622532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4829056"/>
        <c:crossesAt val="1E-3"/>
        <c:crossBetween val="midCat"/>
        <c:majorUnit val="50"/>
        <c:minorUnit val="1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ZA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17</a:t>
            </a: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ZA"/>
          </a:p>
        </c:rich>
      </c:tx>
      <c:layout>
        <c:manualLayout>
          <c:xMode val="edge"/>
          <c:yMode val="edge"/>
          <c:x val="0.48033296248763496"/>
          <c:y val="0.49694649276774749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461766583550727"/>
          <c:y val="4.2769985033289742E-2"/>
          <c:w val="0.73499224863409662"/>
          <c:h val="0.7759697284611138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'T17'!$A$21:$A$80</c:f>
              <c:numCache>
                <c:formatCode>0.000</c:formatCode>
                <c:ptCount val="60"/>
                <c:pt idx="0">
                  <c:v>0.11929554873417722</c:v>
                </c:pt>
                <c:pt idx="1">
                  <c:v>0.1371898810443038</c:v>
                </c:pt>
                <c:pt idx="2">
                  <c:v>0.15776836320094936</c:v>
                </c:pt>
                <c:pt idx="3">
                  <c:v>0.18143361768109176</c:v>
                </c:pt>
                <c:pt idx="4">
                  <c:v>0.20864866033325549</c:v>
                </c:pt>
                <c:pt idx="5">
                  <c:v>0.23994595938324378</c:v>
                </c:pt>
                <c:pt idx="6">
                  <c:v>0.27593785329073034</c:v>
                </c:pt>
                <c:pt idx="7">
                  <c:v>0.31732853128433985</c:v>
                </c:pt>
                <c:pt idx="8">
                  <c:v>0.36492781097699079</c:v>
                </c:pt>
                <c:pt idx="9">
                  <c:v>0.41966698262353935</c:v>
                </c:pt>
                <c:pt idx="10">
                  <c:v>0.48261703001707024</c:v>
                </c:pt>
                <c:pt idx="11">
                  <c:v>0.55500958451963078</c:v>
                </c:pt>
                <c:pt idx="12">
                  <c:v>0.6382610221975753</c:v>
                </c:pt>
                <c:pt idx="13">
                  <c:v>0.73400017552721153</c:v>
                </c:pt>
                <c:pt idx="14">
                  <c:v>0.8441002018562932</c:v>
                </c:pt>
                <c:pt idx="15">
                  <c:v>0.97071523213473709</c:v>
                </c:pt>
                <c:pt idx="16">
                  <c:v>1.1163225169549476</c:v>
                </c:pt>
                <c:pt idx="17">
                  <c:v>1.2837708944981896</c:v>
                </c:pt>
                <c:pt idx="18">
                  <c:v>1.476336528672918</c:v>
                </c:pt>
                <c:pt idx="19">
                  <c:v>1.6977870079738555</c:v>
                </c:pt>
                <c:pt idx="20">
                  <c:v>1.9524550591699337</c:v>
                </c:pt>
                <c:pt idx="21">
                  <c:v>2.2453233180454237</c:v>
                </c:pt>
                <c:pt idx="22">
                  <c:v>2.5821218157522372</c:v>
                </c:pt>
                <c:pt idx="23">
                  <c:v>2.9694400881150727</c:v>
                </c:pt>
                <c:pt idx="24">
                  <c:v>3.4148561013323331</c:v>
                </c:pt>
                <c:pt idx="25">
                  <c:v>3.9270845165321826</c:v>
                </c:pt>
                <c:pt idx="26">
                  <c:v>4.5161471940120093</c:v>
                </c:pt>
                <c:pt idx="27">
                  <c:v>5.1935692731138099</c:v>
                </c:pt>
                <c:pt idx="28">
                  <c:v>5.9726046640808805</c:v>
                </c:pt>
                <c:pt idx="29">
                  <c:v>6.8684953636930119</c:v>
                </c:pt>
                <c:pt idx="30">
                  <c:v>7.8987696682469632</c:v>
                </c:pt>
                <c:pt idx="31">
                  <c:v>9.0835851184840077</c:v>
                </c:pt>
                <c:pt idx="32">
                  <c:v>10.446122886256608</c:v>
                </c:pt>
                <c:pt idx="33">
                  <c:v>12.013041319195098</c:v>
                </c:pt>
                <c:pt idx="34">
                  <c:v>13.814997517074362</c:v>
                </c:pt>
                <c:pt idx="35">
                  <c:v>15.887247144635515</c:v>
                </c:pt>
                <c:pt idx="36">
                  <c:v>18.270334216330841</c:v>
                </c:pt>
                <c:pt idx="37">
                  <c:v>21.010884348780465</c:v>
                </c:pt>
                <c:pt idx="38">
                  <c:v>24.162517001097534</c:v>
                </c:pt>
                <c:pt idx="39">
                  <c:v>27.786894551262161</c:v>
                </c:pt>
                <c:pt idx="40">
                  <c:v>31.954928733951483</c:v>
                </c:pt>
                <c:pt idx="41">
                  <c:v>36.748168044044206</c:v>
                </c:pt>
                <c:pt idx="42">
                  <c:v>42.260393250650836</c:v>
                </c:pt>
                <c:pt idx="43">
                  <c:v>48.59945223824846</c:v>
                </c:pt>
                <c:pt idx="44">
                  <c:v>55.889370073985724</c:v>
                </c:pt>
                <c:pt idx="45">
                  <c:v>64.272775585083579</c:v>
                </c:pt>
                <c:pt idx="46">
                  <c:v>73.913691922846112</c:v>
                </c:pt>
                <c:pt idx="47">
                  <c:v>85.000745711273026</c:v>
                </c:pt>
                <c:pt idx="48">
                  <c:v>97.750857567963976</c:v>
                </c:pt>
                <c:pt idx="49">
                  <c:v>112.41348620315857</c:v>
                </c:pt>
                <c:pt idx="50">
                  <c:v>129.27550913363234</c:v>
                </c:pt>
                <c:pt idx="51">
                  <c:v>148.66683550367719</c:v>
                </c:pt>
                <c:pt idx="52">
                  <c:v>170.96686082922875</c:v>
                </c:pt>
                <c:pt idx="53">
                  <c:v>196.61188995361306</c:v>
                </c:pt>
                <c:pt idx="54">
                  <c:v>226.10367344665499</c:v>
                </c:pt>
                <c:pt idx="55">
                  <c:v>260.01922446365325</c:v>
                </c:pt>
                <c:pt idx="56">
                  <c:v>299.02210813320119</c:v>
                </c:pt>
                <c:pt idx="57">
                  <c:v>343.87542435318136</c:v>
                </c:pt>
                <c:pt idx="58">
                  <c:v>395.45673800615856</c:v>
                </c:pt>
                <c:pt idx="59">
                  <c:v>454.77524870708231</c:v>
                </c:pt>
              </c:numCache>
            </c:numRef>
          </c:xVal>
          <c:yVal>
            <c:numRef>
              <c:f>'T17'!$B$21:$B$80</c:f>
              <c:numCache>
                <c:formatCode>General</c:formatCode>
                <c:ptCount val="60"/>
                <c:pt idx="0">
                  <c:v>3973272.8689663396</c:v>
                </c:pt>
                <c:pt idx="1">
                  <c:v>1083.7341401005965</c:v>
                </c:pt>
                <c:pt idx="2">
                  <c:v>173.6842244272394</c:v>
                </c:pt>
                <c:pt idx="3">
                  <c:v>-10.102684401073128</c:v>
                </c:pt>
                <c:pt idx="4">
                  <c:v>-46.453123475058526</c:v>
                </c:pt>
                <c:pt idx="5">
                  <c:v>-42.031477176429618</c:v>
                </c:pt>
                <c:pt idx="6">
                  <c:v>-27.137109660820933</c:v>
                </c:pt>
                <c:pt idx="7">
                  <c:v>-11.674983508612568</c:v>
                </c:pt>
                <c:pt idx="8">
                  <c:v>1.2235330660121508</c:v>
                </c:pt>
                <c:pt idx="9">
                  <c:v>10.896662251008856</c:v>
                </c:pt>
                <c:pt idx="10">
                  <c:v>17.581329433222873</c:v>
                </c:pt>
                <c:pt idx="11">
                  <c:v>21.795683979242867</c:v>
                </c:pt>
                <c:pt idx="12">
                  <c:v>24.092382345070053</c:v>
                </c:pt>
                <c:pt idx="13">
                  <c:v>24.965598786404009</c:v>
                </c:pt>
                <c:pt idx="14">
                  <c:v>24.823461281369383</c:v>
                </c:pt>
                <c:pt idx="15">
                  <c:v>23.987855633143127</c:v>
                </c:pt>
                <c:pt idx="16">
                  <c:v>22.704678014823777</c:v>
                </c:pt>
                <c:pt idx="17">
                  <c:v>21.156990228846816</c:v>
                </c:pt>
                <c:pt idx="18">
                  <c:v>19.477830227224469</c:v>
                </c:pt>
                <c:pt idx="19">
                  <c:v>17.761428898230601</c:v>
                </c:pt>
                <c:pt idx="20">
                  <c:v>16.072504340739741</c:v>
                </c:pt>
                <c:pt idx="21">
                  <c:v>14.45370942732988</c:v>
                </c:pt>
                <c:pt idx="22">
                  <c:v>12.931465492541761</c:v>
                </c:pt>
                <c:pt idx="23">
                  <c:v>11.520455202652554</c:v>
                </c:pt>
                <c:pt idx="24">
                  <c:v>10.227035552747122</c:v>
                </c:pt>
                <c:pt idx="25">
                  <c:v>9.0517992320909268</c:v>
                </c:pt>
                <c:pt idx="26">
                  <c:v>7.9914745865009085</c:v>
                </c:pt>
                <c:pt idx="27">
                  <c:v>7.0403180595884702</c:v>
                </c:pt>
                <c:pt idx="28">
                  <c:v>6.191121110200295</c:v>
                </c:pt>
                <c:pt idx="29">
                  <c:v>5.4359269293263965</c:v>
                </c:pt>
                <c:pt idx="30">
                  <c:v>4.7665306128282348</c:v>
                </c:pt>
                <c:pt idx="31">
                  <c:v>4.1748191925032492</c:v>
                </c:pt>
                <c:pt idx="32">
                  <c:v>3.6529943822564945</c:v>
                </c:pt>
                <c:pt idx="33">
                  <c:v>3.1937103749421794</c:v>
                </c:pt>
                <c:pt idx="34">
                  <c:v>2.790150922460557</c:v>
                </c:pt>
                <c:pt idx="35">
                  <c:v>2.4360637348992937</c:v>
                </c:pt>
                <c:pt idx="36">
                  <c:v>2.1257655244175289</c:v>
                </c:pt>
                <c:pt idx="37">
                  <c:v>1.8541274594902004</c:v>
                </c:pt>
                <c:pt idx="38">
                  <c:v>1.6165481186903912</c:v>
                </c:pt>
                <c:pt idx="39">
                  <c:v>1.4089190319011455</c:v>
                </c:pt>
                <c:pt idx="40">
                  <c:v>1.2275864088711608</c:v>
                </c:pt>
                <c:pt idx="41">
                  <c:v>1.0693115555463424</c:v>
                </c:pt>
                <c:pt idx="42">
                  <c:v>0.93123167188269262</c:v>
                </c:pt>
                <c:pt idx="43">
                  <c:v>0.81082213777692858</c:v>
                </c:pt>
                <c:pt idx="44">
                  <c:v>0.70586097075437082</c:v>
                </c:pt>
                <c:pt idx="45">
                  <c:v>0.6143958380186515</c:v>
                </c:pt>
                <c:pt idx="46">
                  <c:v>0.53471379460617641</c:v>
                </c:pt>
                <c:pt idx="47">
                  <c:v>0.46531377478774688</c:v>
                </c:pt>
                <c:pt idx="48">
                  <c:v>0.40488176759770445</c:v>
                </c:pt>
                <c:pt idx="49">
                  <c:v>0.35226854606570379</c:v>
                </c:pt>
                <c:pt idx="50">
                  <c:v>0.30646978342828401</c:v>
                </c:pt>
                <c:pt idx="51">
                  <c:v>0.26660837094420947</c:v>
                </c:pt>
                <c:pt idx="52">
                  <c:v>0.23191874551035827</c:v>
                </c:pt>
                <c:pt idx="53">
                  <c:v>0.20173303711124679</c:v>
                </c:pt>
                <c:pt idx="54">
                  <c:v>0.17546885335981927</c:v>
                </c:pt>
                <c:pt idx="55">
                  <c:v>0.15261852893342079</c:v>
                </c:pt>
                <c:pt idx="56">
                  <c:v>0.13273968010948958</c:v>
                </c:pt>
                <c:pt idx="57">
                  <c:v>0.11544691783467891</c:v>
                </c:pt>
                <c:pt idx="58">
                  <c:v>0.10040458611673543</c:v>
                </c:pt>
                <c:pt idx="59">
                  <c:v>8.7320405544012381E-2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'T17'!$B$15</c:f>
              <c:numCache>
                <c:formatCode>0.000</c:formatCode>
                <c:ptCount val="1"/>
                <c:pt idx="0">
                  <c:v>0.17490868126908923</c:v>
                </c:pt>
              </c:numCache>
            </c:numRef>
          </c:xVal>
          <c:yVal>
            <c:numRef>
              <c:f>'T17'!$I$3</c:f>
              <c:numCache>
                <c:formatCode>General</c:formatCode>
                <c:ptCount val="1"/>
                <c:pt idx="0">
                  <c:v>15.546672704686031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'T17'!$B$16</c:f>
              <c:numCache>
                <c:formatCode>0.000</c:formatCode>
                <c:ptCount val="1"/>
                <c:pt idx="0">
                  <c:v>2.041521578691778</c:v>
                </c:pt>
              </c:numCache>
            </c:numRef>
          </c:xVal>
          <c:yVal>
            <c:numRef>
              <c:f>'T17'!$I$3</c:f>
              <c:numCache>
                <c:formatCode>General</c:formatCode>
                <c:ptCount val="1"/>
                <c:pt idx="0">
                  <c:v>15.546672704686031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'T17'!$B$18</c:f>
              <c:numCache>
                <c:formatCode>0.000</c:formatCode>
                <c:ptCount val="1"/>
                <c:pt idx="0">
                  <c:v>0.45952813207117682</c:v>
                </c:pt>
              </c:numCache>
            </c:numRef>
          </c:xVal>
          <c:yVal>
            <c:numRef>
              <c:f>'T17'!$I$3</c:f>
              <c:numCache>
                <c:formatCode>General</c:formatCode>
                <c:ptCount val="1"/>
                <c:pt idx="0">
                  <c:v>15.546672704686031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824256"/>
        <c:axId val="149826560"/>
      </c:scatterChart>
      <c:valAx>
        <c:axId val="149824256"/>
        <c:scaling>
          <c:logBase val="10"/>
          <c:orientation val="minMax"/>
          <c:max val="1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Volume, V [l/mol]</a:t>
                </a:r>
              </a:p>
            </c:rich>
          </c:tx>
          <c:layout>
            <c:manualLayout>
              <c:xMode val="edge"/>
              <c:yMode val="edge"/>
              <c:x val="0.42443214357743608"/>
              <c:y val="0.89205968783718603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9826560"/>
        <c:crossesAt val="-1000000"/>
        <c:crossBetween val="midCat"/>
        <c:minorUnit val="10"/>
      </c:valAx>
      <c:valAx>
        <c:axId val="149826560"/>
        <c:scaling>
          <c:orientation val="minMax"/>
          <c:max val="70"/>
          <c:min val="-3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Pressure, P [bar]</a:t>
                </a:r>
              </a:p>
            </c:rich>
          </c:tx>
          <c:layout>
            <c:manualLayout>
              <c:xMode val="edge"/>
              <c:yMode val="edge"/>
              <c:x val="5.3830418209821158E-2"/>
              <c:y val="0.295316563325095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9824256"/>
        <c:crossesAt val="1E-3"/>
        <c:crossBetween val="midCat"/>
        <c:majorUnit val="10"/>
        <c:minorUnit val="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ZA"/>
              <a:t>(V</a:t>
            </a:r>
            <a:r>
              <a:rPr lang="en-ZA" baseline="-25000"/>
              <a:t>H</a:t>
            </a:r>
            <a:r>
              <a:rPr lang="en-ZA"/>
              <a:t>, P</a:t>
            </a:r>
            <a:r>
              <a:rPr lang="en-ZA" baseline="-25000"/>
              <a:t>H</a:t>
            </a:r>
            <a:r>
              <a:rPr lang="en-ZA"/>
              <a:t>)</a:t>
            </a:r>
          </a:p>
        </c:rich>
      </c:tx>
      <c:layout>
        <c:manualLayout>
          <c:xMode val="edge"/>
          <c:yMode val="edge"/>
          <c:x val="0.43630147579826339"/>
          <c:y val="0.152343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357821110057579"/>
          <c:y val="4.6875E-2"/>
          <c:w val="0.80279451979497329"/>
          <c:h val="0.79492187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'T18'!$A$21:$A$80</c:f>
              <c:numCache>
                <c:formatCode>0.000</c:formatCode>
                <c:ptCount val="60"/>
                <c:pt idx="0">
                  <c:v>0.11929554873417722</c:v>
                </c:pt>
                <c:pt idx="1">
                  <c:v>0.1371898810443038</c:v>
                </c:pt>
                <c:pt idx="2">
                  <c:v>0.15776836320094936</c:v>
                </c:pt>
                <c:pt idx="3">
                  <c:v>0.18143361768109176</c:v>
                </c:pt>
                <c:pt idx="4">
                  <c:v>0.20864866033325549</c:v>
                </c:pt>
                <c:pt idx="5">
                  <c:v>0.23994595938324378</c:v>
                </c:pt>
                <c:pt idx="6">
                  <c:v>0.27593785329073034</c:v>
                </c:pt>
                <c:pt idx="7">
                  <c:v>0.31732853128433985</c:v>
                </c:pt>
                <c:pt idx="8">
                  <c:v>0.36492781097699079</c:v>
                </c:pt>
                <c:pt idx="9">
                  <c:v>0.41966698262353935</c:v>
                </c:pt>
                <c:pt idx="10">
                  <c:v>0.48261703001707024</c:v>
                </c:pt>
                <c:pt idx="11">
                  <c:v>0.55500958451963078</c:v>
                </c:pt>
                <c:pt idx="12">
                  <c:v>0.6382610221975753</c:v>
                </c:pt>
                <c:pt idx="13">
                  <c:v>0.73400017552721153</c:v>
                </c:pt>
                <c:pt idx="14">
                  <c:v>0.8441002018562932</c:v>
                </c:pt>
                <c:pt idx="15">
                  <c:v>0.97071523213473709</c:v>
                </c:pt>
                <c:pt idx="16">
                  <c:v>1.1163225169549476</c:v>
                </c:pt>
                <c:pt idx="17">
                  <c:v>1.2837708944981896</c:v>
                </c:pt>
                <c:pt idx="18">
                  <c:v>1.476336528672918</c:v>
                </c:pt>
                <c:pt idx="19">
                  <c:v>1.6977870079738555</c:v>
                </c:pt>
                <c:pt idx="20">
                  <c:v>1.9524550591699337</c:v>
                </c:pt>
                <c:pt idx="21">
                  <c:v>2.2453233180454237</c:v>
                </c:pt>
                <c:pt idx="22">
                  <c:v>2.5821218157522372</c:v>
                </c:pt>
                <c:pt idx="23">
                  <c:v>2.9694400881150727</c:v>
                </c:pt>
                <c:pt idx="24">
                  <c:v>3.4148561013323331</c:v>
                </c:pt>
                <c:pt idx="25">
                  <c:v>3.9270845165321826</c:v>
                </c:pt>
                <c:pt idx="26">
                  <c:v>4.5161471940120093</c:v>
                </c:pt>
                <c:pt idx="27">
                  <c:v>5.1935692731138099</c:v>
                </c:pt>
                <c:pt idx="28">
                  <c:v>5.9726046640808805</c:v>
                </c:pt>
                <c:pt idx="29">
                  <c:v>6.8684953636930119</c:v>
                </c:pt>
                <c:pt idx="30">
                  <c:v>7.8987696682469632</c:v>
                </c:pt>
                <c:pt idx="31">
                  <c:v>9.0835851184840077</c:v>
                </c:pt>
                <c:pt idx="32">
                  <c:v>10.446122886256608</c:v>
                </c:pt>
                <c:pt idx="33">
                  <c:v>12.013041319195098</c:v>
                </c:pt>
                <c:pt idx="34">
                  <c:v>13.814997517074362</c:v>
                </c:pt>
                <c:pt idx="35">
                  <c:v>15.887247144635515</c:v>
                </c:pt>
                <c:pt idx="36">
                  <c:v>18.270334216330841</c:v>
                </c:pt>
                <c:pt idx="37">
                  <c:v>21.010884348780465</c:v>
                </c:pt>
                <c:pt idx="38">
                  <c:v>24.162517001097534</c:v>
                </c:pt>
                <c:pt idx="39">
                  <c:v>27.786894551262161</c:v>
                </c:pt>
                <c:pt idx="40">
                  <c:v>31.954928733951483</c:v>
                </c:pt>
                <c:pt idx="41">
                  <c:v>36.748168044044206</c:v>
                </c:pt>
                <c:pt idx="42">
                  <c:v>42.260393250650836</c:v>
                </c:pt>
                <c:pt idx="43">
                  <c:v>48.59945223824846</c:v>
                </c:pt>
                <c:pt idx="44">
                  <c:v>55.889370073985724</c:v>
                </c:pt>
                <c:pt idx="45">
                  <c:v>64.272775585083579</c:v>
                </c:pt>
                <c:pt idx="46">
                  <c:v>73.913691922846112</c:v>
                </c:pt>
                <c:pt idx="47">
                  <c:v>85.000745711273026</c:v>
                </c:pt>
                <c:pt idx="48">
                  <c:v>97.750857567963976</c:v>
                </c:pt>
                <c:pt idx="49">
                  <c:v>112.41348620315857</c:v>
                </c:pt>
                <c:pt idx="50">
                  <c:v>129.27550913363234</c:v>
                </c:pt>
                <c:pt idx="51">
                  <c:v>148.66683550367719</c:v>
                </c:pt>
                <c:pt idx="52">
                  <c:v>170.96686082922875</c:v>
                </c:pt>
                <c:pt idx="53">
                  <c:v>196.61188995361306</c:v>
                </c:pt>
                <c:pt idx="54">
                  <c:v>226.10367344665499</c:v>
                </c:pt>
                <c:pt idx="55">
                  <c:v>260.01922446365325</c:v>
                </c:pt>
                <c:pt idx="56">
                  <c:v>299.02210813320119</c:v>
                </c:pt>
                <c:pt idx="57">
                  <c:v>343.87542435318136</c:v>
                </c:pt>
                <c:pt idx="58">
                  <c:v>395.45673800615856</c:v>
                </c:pt>
                <c:pt idx="59">
                  <c:v>454.77524870708231</c:v>
                </c:pt>
              </c:numCache>
            </c:numRef>
          </c:xVal>
          <c:yVal>
            <c:numRef>
              <c:f>'T18'!$B$21:$B$80</c:f>
              <c:numCache>
                <c:formatCode>General</c:formatCode>
                <c:ptCount val="60"/>
                <c:pt idx="0">
                  <c:v>4137665.7257436458</c:v>
                </c:pt>
                <c:pt idx="1">
                  <c:v>1207.8857803238961</c:v>
                </c:pt>
                <c:pt idx="2">
                  <c:v>240.85904837324924</c:v>
                </c:pt>
                <c:pt idx="3">
                  <c:v>34.843128255667544</c:v>
                </c:pt>
                <c:pt idx="4">
                  <c:v>-14.072525073152939</c:v>
                </c:pt>
                <c:pt idx="5">
                  <c:v>-17.832653857615661</c:v>
                </c:pt>
                <c:pt idx="6">
                  <c:v>-8.6472713192010993</c:v>
                </c:pt>
                <c:pt idx="7">
                  <c:v>2.671698266198109</c:v>
                </c:pt>
                <c:pt idx="8">
                  <c:v>12.487297607342425</c:v>
                </c:pt>
                <c:pt idx="9">
                  <c:v>19.825990487563921</c:v>
                </c:pt>
                <c:pt idx="10">
                  <c:v>24.719455236563263</c:v>
                </c:pt>
                <c:pt idx="11">
                  <c:v>27.54466200837599</c:v>
                </c:pt>
                <c:pt idx="12">
                  <c:v>28.754166818149951</c:v>
                </c:pt>
                <c:pt idx="13">
                  <c:v>28.769607924494785</c:v>
                </c:pt>
                <c:pt idx="14">
                  <c:v>27.945690583240811</c:v>
                </c:pt>
                <c:pt idx="15">
                  <c:v>26.564454549275361</c:v>
                </c:pt>
                <c:pt idx="16">
                  <c:v>24.841770205474166</c:v>
                </c:pt>
                <c:pt idx="17">
                  <c:v>22.937876830970236</c:v>
                </c:pt>
                <c:pt idx="18">
                  <c:v>20.968332690693636</c:v>
                </c:pt>
                <c:pt idx="19">
                  <c:v>19.013888339982572</c:v>
                </c:pt>
                <c:pt idx="20">
                  <c:v>17.128798640174793</c:v>
                </c:pt>
                <c:pt idx="21">
                  <c:v>15.347544949177232</c:v>
                </c:pt>
                <c:pt idx="22">
                  <c:v>13.690128687001534</c:v>
                </c:pt>
                <c:pt idx="23">
                  <c:v>12.166159175932499</c:v>
                </c:pt>
                <c:pt idx="24">
                  <c:v>10.777961027934488</c:v>
                </c:pt>
                <c:pt idx="25">
                  <c:v>9.5229036250917662</c:v>
                </c:pt>
                <c:pt idx="26">
                  <c:v>8.3951242221294677</c:v>
                </c:pt>
                <c:pt idx="27">
                  <c:v>7.3867848284726714</c:v>
                </c:pt>
                <c:pt idx="28">
                  <c:v>6.4889747227640386</c:v>
                </c:pt>
                <c:pt idx="29">
                  <c:v>5.692346379659373</c:v>
                </c:pt>
                <c:pt idx="30">
                  <c:v>4.9875528265803339</c:v>
                </c:pt>
                <c:pt idx="31">
                  <c:v>4.3655385985568902</c:v>
                </c:pt>
                <c:pt idx="32">
                  <c:v>3.8177239547432431</c:v>
                </c:pt>
                <c:pt idx="33">
                  <c:v>3.3361122747545879</c:v>
                </c:pt>
                <c:pt idx="34">
                  <c:v>2.9133430304934236</c:v>
                </c:pt>
                <c:pt idx="35">
                  <c:v>2.5427069683928045</c:v>
                </c:pt>
                <c:pt idx="36">
                  <c:v>2.218135755623484</c:v>
                </c:pt>
                <c:pt idx="37">
                  <c:v>1.9341750323424463</c:v>
                </c:pt>
                <c:pt idx="38">
                  <c:v>1.6859473242469252</c:v>
                </c:pt>
                <c:pt idx="39">
                  <c:v>1.4691094119701216</c:v>
                </c:pt>
                <c:pt idx="40">
                  <c:v>1.2798073754740094</c:v>
                </c:pt>
                <c:pt idx="41">
                  <c:v>1.1146315160429348</c:v>
                </c:pt>
                <c:pt idx="42">
                  <c:v>0.97057261623770386</c:v>
                </c:pt>
                <c:pt idx="43">
                  <c:v>0.84498046080704148</c:v>
                </c:pt>
                <c:pt idx="44">
                  <c:v>0.73552515700617105</c:v>
                </c:pt>
                <c:pt idx="45">
                  <c:v>0.64016152158861173</c:v>
                </c:pt>
                <c:pt idx="46">
                  <c:v>0.55709661414074507</c:v>
                </c:pt>
                <c:pt idx="47">
                  <c:v>0.48476037003355299</c:v>
                </c:pt>
                <c:pt idx="48">
                  <c:v>0.42177920431048593</c:v>
                </c:pt>
                <c:pt idx="49">
                  <c:v>0.36695240781778005</c:v>
                </c:pt>
                <c:pt idx="50">
                  <c:v>0.31923112954032329</c:v>
                </c:pt>
                <c:pt idx="51">
                  <c:v>0.27769972758760508</c:v>
                </c:pt>
                <c:pt idx="52">
                  <c:v>0.24155927055934767</c:v>
                </c:pt>
                <c:pt idx="53">
                  <c:v>0.21011297745288193</c:v>
                </c:pt>
                <c:pt idx="54">
                  <c:v>0.18275339521554215</c:v>
                </c:pt>
                <c:pt idx="55">
                  <c:v>0.1589511266121679</c:v>
                </c:pt>
                <c:pt idx="56">
                  <c:v>0.13824493594538587</c:v>
                </c:pt>
                <c:pt idx="57">
                  <c:v>0.12023307542019301</c:v>
                </c:pt>
                <c:pt idx="58">
                  <c:v>0.10456568996954183</c:v>
                </c:pt>
                <c:pt idx="59">
                  <c:v>9.0938172756215019E-2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'T18'!$B$15</c:f>
              <c:numCache>
                <c:formatCode>0.000</c:formatCode>
                <c:ptCount val="1"/>
                <c:pt idx="0">
                  <c:v>0.18561435472003968</c:v>
                </c:pt>
              </c:numCache>
            </c:numRef>
          </c:xVal>
          <c:yVal>
            <c:numRef>
              <c:f>'T18'!$I$3</c:f>
              <c:numCache>
                <c:formatCode>General</c:formatCode>
                <c:ptCount val="1"/>
                <c:pt idx="0">
                  <c:v>20.976510874317992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'T18'!$B$16</c:f>
              <c:numCache>
                <c:formatCode>0.000</c:formatCode>
                <c:ptCount val="1"/>
                <c:pt idx="0">
                  <c:v>1.4754815179520717</c:v>
                </c:pt>
              </c:numCache>
            </c:numRef>
          </c:xVal>
          <c:yVal>
            <c:numRef>
              <c:f>'T18'!$I$3</c:f>
              <c:numCache>
                <c:formatCode>General</c:formatCode>
                <c:ptCount val="1"/>
                <c:pt idx="0">
                  <c:v>20.976510874317992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'T18'!$B$18</c:f>
              <c:numCache>
                <c:formatCode>0.000</c:formatCode>
                <c:ptCount val="1"/>
                <c:pt idx="0">
                  <c:v>0.43140899678524214</c:v>
                </c:pt>
              </c:numCache>
            </c:numRef>
          </c:xVal>
          <c:yVal>
            <c:numRef>
              <c:f>'T18'!$I$3</c:f>
              <c:numCache>
                <c:formatCode>General</c:formatCode>
                <c:ptCount val="1"/>
                <c:pt idx="0">
                  <c:v>20.976510874317992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874560"/>
        <c:axId val="149877120"/>
      </c:scatterChart>
      <c:valAx>
        <c:axId val="149874560"/>
        <c:scaling>
          <c:logBase val="10"/>
          <c:orientation val="minMax"/>
          <c:max val="1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ZA" b="1"/>
                  <a:t>Volume, V [l/mol]</a:t>
                </a:r>
              </a:p>
            </c:rich>
          </c:tx>
          <c:layout>
            <c:manualLayout>
              <c:xMode val="edge"/>
              <c:yMode val="edge"/>
              <c:x val="0.42233994310920558"/>
              <c:y val="0.91796875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49877120"/>
        <c:crossesAt val="-1000000"/>
        <c:crossBetween val="midCat"/>
        <c:minorUnit val="10"/>
      </c:valAx>
      <c:valAx>
        <c:axId val="149877120"/>
        <c:scaling>
          <c:orientation val="minMax"/>
          <c:max val="50"/>
          <c:min val="-30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ZA" b="1"/>
                  <a:t>Pressure, P [bar]</a:t>
                </a:r>
              </a:p>
            </c:rich>
          </c:tx>
          <c:layout>
            <c:manualLayout>
              <c:xMode val="edge"/>
              <c:yMode val="edge"/>
              <c:x val="8.7260034904013961E-3"/>
              <c:y val="0.2597656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49874560"/>
        <c:crossesAt val="1E-3"/>
        <c:crossBetween val="midCat"/>
        <c:majorUnit val="10"/>
        <c:minorUnit val="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Times New Roman" pitchFamily="18" charset="0"/>
          <a:ea typeface="Arial"/>
          <a:cs typeface="Times New Roman" pitchFamily="18" charset="0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ZA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19</a:t>
            </a: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ZA"/>
          </a:p>
        </c:rich>
      </c:tx>
      <c:layout>
        <c:manualLayout>
          <c:xMode val="edge"/>
          <c:yMode val="edge"/>
          <c:x val="0.68674833464391671"/>
          <c:y val="0.17864103075844409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068306562787405"/>
          <c:y val="4.4660257689611023E-2"/>
          <c:w val="0.78313406582201039"/>
          <c:h val="0.774758383398034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'T19'!$A$21:$A$154</c:f>
              <c:numCache>
                <c:formatCode>0.000</c:formatCode>
                <c:ptCount val="134"/>
                <c:pt idx="0">
                  <c:v>0.11929554873417722</c:v>
                </c:pt>
                <c:pt idx="1">
                  <c:v>0.12347089293987341</c:v>
                </c:pt>
                <c:pt idx="2">
                  <c:v>0.12779237419276898</c:v>
                </c:pt>
                <c:pt idx="3">
                  <c:v>0.13226510728951588</c:v>
                </c:pt>
                <c:pt idx="4">
                  <c:v>0.13689438604464893</c:v>
                </c:pt>
                <c:pt idx="5">
                  <c:v>0.14168568955621164</c:v>
                </c:pt>
                <c:pt idx="6">
                  <c:v>0.14664468869067904</c:v>
                </c:pt>
                <c:pt idx="7">
                  <c:v>0.1517772527948528</c:v>
                </c:pt>
                <c:pt idx="8">
                  <c:v>0.15708945664267263</c:v>
                </c:pt>
                <c:pt idx="9">
                  <c:v>0.16258758762516615</c:v>
                </c:pt>
                <c:pt idx="10">
                  <c:v>0.16827815319204695</c:v>
                </c:pt>
                <c:pt idx="11">
                  <c:v>0.17416788855376858</c:v>
                </c:pt>
                <c:pt idx="12">
                  <c:v>0.18026376465315047</c:v>
                </c:pt>
                <c:pt idx="13">
                  <c:v>0.18657299641601072</c:v>
                </c:pt>
                <c:pt idx="14">
                  <c:v>0.19310305129057106</c:v>
                </c:pt>
                <c:pt idx="15">
                  <c:v>0.19986165808574102</c:v>
                </c:pt>
                <c:pt idx="16">
                  <c:v>0.20685681611874193</c:v>
                </c:pt>
                <c:pt idx="17">
                  <c:v>0.21409680468289788</c:v>
                </c:pt>
                <c:pt idx="18">
                  <c:v>0.22159019284679929</c:v>
                </c:pt>
                <c:pt idx="19">
                  <c:v>0.22934584959643725</c:v>
                </c:pt>
                <c:pt idx="20">
                  <c:v>0.23737295433231254</c:v>
                </c:pt>
                <c:pt idx="21">
                  <c:v>0.24568100773394347</c:v>
                </c:pt>
                <c:pt idx="22">
                  <c:v>0.25427984300463147</c:v>
                </c:pt>
                <c:pt idx="23">
                  <c:v>0.26317963750979356</c:v>
                </c:pt>
                <c:pt idx="24">
                  <c:v>0.27239092482263633</c:v>
                </c:pt>
                <c:pt idx="25">
                  <c:v>0.28192460719142859</c:v>
                </c:pt>
                <c:pt idx="26">
                  <c:v>0.29179196844312855</c:v>
                </c:pt>
                <c:pt idx="27">
                  <c:v>0.302004687338638</c:v>
                </c:pt>
                <c:pt idx="28">
                  <c:v>0.31257485139549029</c:v>
                </c:pt>
                <c:pt idx="29">
                  <c:v>0.32351497119433242</c:v>
                </c:pt>
                <c:pt idx="30">
                  <c:v>0.33483799518613405</c:v>
                </c:pt>
                <c:pt idx="31">
                  <c:v>0.34655732501764874</c:v>
                </c:pt>
                <c:pt idx="32">
                  <c:v>0.3586868313932664</c:v>
                </c:pt>
                <c:pt idx="33">
                  <c:v>0.37124087049203069</c:v>
                </c:pt>
                <c:pt idx="34">
                  <c:v>0.38423430095925176</c:v>
                </c:pt>
                <c:pt idx="35">
                  <c:v>0.39768250149282552</c:v>
                </c:pt>
                <c:pt idx="36">
                  <c:v>0.41160138904507437</c:v>
                </c:pt>
                <c:pt idx="37">
                  <c:v>0.42600743766165194</c:v>
                </c:pt>
                <c:pt idx="38">
                  <c:v>0.44091769797980973</c:v>
                </c:pt>
                <c:pt idx="39">
                  <c:v>0.45634981740910302</c:v>
                </c:pt>
                <c:pt idx="40">
                  <c:v>0.47232206101842161</c:v>
                </c:pt>
                <c:pt idx="41">
                  <c:v>0.48885333315406632</c:v>
                </c:pt>
                <c:pt idx="42">
                  <c:v>0.50596319981445859</c:v>
                </c:pt>
                <c:pt idx="43">
                  <c:v>0.52367191180796457</c:v>
                </c:pt>
                <c:pt idx="44">
                  <c:v>0.54200042872124332</c:v>
                </c:pt>
                <c:pt idx="45">
                  <c:v>0.56097044372648674</c:v>
                </c:pt>
                <c:pt idx="46">
                  <c:v>0.5806044092569137</c:v>
                </c:pt>
                <c:pt idx="47">
                  <c:v>0.60092556358090565</c:v>
                </c:pt>
                <c:pt idx="48">
                  <c:v>0.62195795830623735</c:v>
                </c:pt>
                <c:pt idx="49">
                  <c:v>0.64372648684695566</c:v>
                </c:pt>
                <c:pt idx="50">
                  <c:v>0.66625691388659902</c:v>
                </c:pt>
                <c:pt idx="51">
                  <c:v>0.68957590587262996</c:v>
                </c:pt>
                <c:pt idx="52">
                  <c:v>0.71371106257817196</c:v>
                </c:pt>
                <c:pt idx="53">
                  <c:v>0.73869094976840788</c:v>
                </c:pt>
                <c:pt idx="54">
                  <c:v>0.76454513301030214</c:v>
                </c:pt>
                <c:pt idx="55">
                  <c:v>0.79130421266566264</c:v>
                </c:pt>
                <c:pt idx="56">
                  <c:v>0.81899986010896075</c:v>
                </c:pt>
                <c:pt idx="57">
                  <c:v>0.84766485521277435</c:v>
                </c:pt>
                <c:pt idx="58">
                  <c:v>0.87733312514522144</c:v>
                </c:pt>
                <c:pt idx="59">
                  <c:v>0.90803978452530409</c:v>
                </c:pt>
                <c:pt idx="60">
                  <c:v>0.93982117698368961</c:v>
                </c:pt>
                <c:pt idx="61">
                  <c:v>0.97271491817811873</c:v>
                </c:pt>
                <c:pt idx="62">
                  <c:v>1.0067599403143528</c:v>
                </c:pt>
                <c:pt idx="63">
                  <c:v>1.0419965382253551</c:v>
                </c:pt>
                <c:pt idx="64">
                  <c:v>1.0784664170632425</c:v>
                </c:pt>
                <c:pt idx="65">
                  <c:v>1.1162127416604559</c:v>
                </c:pt>
              </c:numCache>
            </c:numRef>
          </c:xVal>
          <c:yVal>
            <c:numRef>
              <c:f>'T19'!$B$21:$B$154</c:f>
              <c:numCache>
                <c:formatCode>General</c:formatCode>
                <c:ptCount val="134"/>
                <c:pt idx="0">
                  <c:v>4308855.0943687735</c:v>
                </c:pt>
                <c:pt idx="1">
                  <c:v>8976.4379231585954</c:v>
                </c:pt>
                <c:pt idx="2">
                  <c:v>3832.6917746017198</c:v>
                </c:pt>
                <c:pt idx="3">
                  <c:v>2168.7255963372113</c:v>
                </c:pt>
                <c:pt idx="4">
                  <c:v>1372.3008951539</c:v>
                </c:pt>
                <c:pt idx="5">
                  <c:v>920.23678688831797</c:v>
                </c:pt>
                <c:pt idx="6">
                  <c:v>638.2155900567974</c:v>
                </c:pt>
                <c:pt idx="7">
                  <c:v>451.66592071567209</c:v>
                </c:pt>
                <c:pt idx="8">
                  <c:v>323.42766889730848</c:v>
                </c:pt>
                <c:pt idx="9">
                  <c:v>232.96330711464833</c:v>
                </c:pt>
                <c:pt idx="10">
                  <c:v>168.04012048521238</c:v>
                </c:pt>
                <c:pt idx="11">
                  <c:v>120.94902215361726</c:v>
                </c:pt>
                <c:pt idx="12">
                  <c:v>86.614105037270861</c:v>
                </c:pt>
                <c:pt idx="13">
                  <c:v>61.574993695276937</c:v>
                </c:pt>
                <c:pt idx="14">
                  <c:v>43.405639440145968</c:v>
                </c:pt>
                <c:pt idx="15">
                  <c:v>30.365890026971318</c:v>
                </c:pt>
                <c:pt idx="16">
                  <c:v>21.183986114060971</c:v>
                </c:pt>
                <c:pt idx="17">
                  <c:v>14.916059968805493</c:v>
                </c:pt>
                <c:pt idx="18">
                  <c:v>10.852676649662607</c:v>
                </c:pt>
                <c:pt idx="19">
                  <c:v>8.455072270196105</c:v>
                </c:pt>
                <c:pt idx="20">
                  <c:v>7.3106824516135385</c:v>
                </c:pt>
                <c:pt idx="21">
                  <c:v>7.1015191869303091</c:v>
                </c:pt>
                <c:pt idx="22">
                  <c:v>7.5812974672656859</c:v>
                </c:pt>
                <c:pt idx="23">
                  <c:v>8.5586393023174239</c:v>
                </c:pt>
                <c:pt idx="24">
                  <c:v>9.8845741878646365</c:v>
                </c:pt>
                <c:pt idx="25">
                  <c:v>11.443125560952213</c:v>
                </c:pt>
                <c:pt idx="26">
                  <c:v>13.144145766201182</c:v>
                </c:pt>
                <c:pt idx="27">
                  <c:v>14.917810681281081</c:v>
                </c:pt>
                <c:pt idx="28">
                  <c:v>16.710353828766639</c:v>
                </c:pt>
                <c:pt idx="29">
                  <c:v>18.48073610316391</c:v>
                </c:pt>
                <c:pt idx="30">
                  <c:v>20.198028626040141</c:v>
                </c:pt>
                <c:pt idx="31">
                  <c:v>21.839343973894792</c:v>
                </c:pt>
                <c:pt idx="32">
                  <c:v>23.388192495441817</c:v>
                </c:pt>
                <c:pt idx="33">
                  <c:v>24.833170575892581</c:v>
                </c:pt>
                <c:pt idx="34">
                  <c:v>26.166909849643488</c:v>
                </c:pt>
                <c:pt idx="35">
                  <c:v>27.38523279562569</c:v>
                </c:pt>
                <c:pt idx="36">
                  <c:v>28.486472459005018</c:v>
                </c:pt>
                <c:pt idx="37">
                  <c:v>29.470923344437196</c:v>
                </c:pt>
                <c:pt idx="38">
                  <c:v>30.340397612223516</c:v>
                </c:pt>
                <c:pt idx="39">
                  <c:v>31.097866148411669</c:v>
                </c:pt>
                <c:pt idx="40">
                  <c:v>31.747168285570989</c:v>
                </c:pt>
                <c:pt idx="41">
                  <c:v>32.292777224355831</c:v>
                </c:pt>
                <c:pt idx="42">
                  <c:v>32.739610769703042</c:v>
                </c:pt>
                <c:pt idx="43">
                  <c:v>33.092879015230558</c:v>
                </c:pt>
                <c:pt idx="44">
                  <c:v>33.357962209305398</c:v>
                </c:pt>
                <c:pt idx="45">
                  <c:v>33.540313310120929</c:v>
                </c:pt>
                <c:pt idx="46">
                  <c:v>33.645380756294628</c:v>
                </c:pt>
                <c:pt idx="47">
                  <c:v>33.678547798570428</c:v>
                </c:pt>
                <c:pt idx="48">
                  <c:v>33.645085399240017</c:v>
                </c:pt>
                <c:pt idx="49">
                  <c:v>33.550116241478861</c:v>
                </c:pt>
                <c:pt idx="50">
                  <c:v>33.398587826316714</c:v>
                </c:pt>
                <c:pt idx="51">
                  <c:v>33.195252990327411</c:v>
                </c:pt>
                <c:pt idx="52">
                  <c:v>32.944656467992061</c:v>
                </c:pt>
                <c:pt idx="53">
                  <c:v>32.651126361463255</c:v>
                </c:pt>
                <c:pt idx="54">
                  <c:v>32.318769576985034</c:v>
                </c:pt>
                <c:pt idx="55">
                  <c:v>31.951470449376856</c:v>
                </c:pt>
                <c:pt idx="56">
                  <c:v>31.552891910074564</c:v>
                </c:pt>
                <c:pt idx="57">
                  <c:v>31.12647866531681</c:v>
                </c:pt>
                <c:pt idx="58">
                  <c:v>30.675461943276336</c:v>
                </c:pt>
                <c:pt idx="59">
                  <c:v>30.202865445587669</c:v>
                </c:pt>
                <c:pt idx="60">
                  <c:v>29.711512202526645</c:v>
                </c:pt>
                <c:pt idx="61">
                  <c:v>29.204032084262412</c:v>
                </c:pt>
                <c:pt idx="62">
                  <c:v>28.682869764940971</c:v>
                </c:pt>
                <c:pt idx="63">
                  <c:v>28.150292973358429</c:v>
                </c:pt>
                <c:pt idx="64">
                  <c:v>27.608400894866516</c:v>
                </c:pt>
                <c:pt idx="65">
                  <c:v>27.059132614935944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'T19'!$B$15</c:f>
              <c:numCache>
                <c:formatCode>0.000</c:formatCode>
                <c:ptCount val="1"/>
                <c:pt idx="0">
                  <c:v>0.20140965729662019</c:v>
                </c:pt>
              </c:numCache>
            </c:numRef>
          </c:xVal>
          <c:yVal>
            <c:numRef>
              <c:f>'T19'!$I$3</c:f>
              <c:numCache>
                <c:formatCode>General</c:formatCode>
                <c:ptCount val="1"/>
                <c:pt idx="0">
                  <c:v>28.00886735613841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'T19'!$B$16</c:f>
              <c:numCache>
                <c:formatCode>0.000</c:formatCode>
                <c:ptCount val="1"/>
                <c:pt idx="0">
                  <c:v>1.0514486356817634</c:v>
                </c:pt>
              </c:numCache>
            </c:numRef>
          </c:xVal>
          <c:yVal>
            <c:numRef>
              <c:f>'T19'!$I$3</c:f>
              <c:numCache>
                <c:formatCode>General</c:formatCode>
                <c:ptCount val="1"/>
                <c:pt idx="0">
                  <c:v>28.00886735613841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'T19'!$B$18</c:f>
              <c:numCache>
                <c:formatCode>0.000</c:formatCode>
                <c:ptCount val="1"/>
                <c:pt idx="0">
                  <c:v>0.40532251047186363</c:v>
                </c:pt>
              </c:numCache>
            </c:numRef>
          </c:xVal>
          <c:yVal>
            <c:numRef>
              <c:f>'T19'!$I$3</c:f>
              <c:numCache>
                <c:formatCode>General</c:formatCode>
                <c:ptCount val="1"/>
                <c:pt idx="0">
                  <c:v>28.00886735613841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26336"/>
        <c:axId val="164541184"/>
      </c:scatterChart>
      <c:valAx>
        <c:axId val="164526336"/>
        <c:scaling>
          <c:logBase val="10"/>
          <c:orientation val="minMax"/>
          <c:max val="1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Volume, V [l/mol]</a:t>
                </a:r>
              </a:p>
            </c:rich>
          </c:tx>
          <c:layout>
            <c:manualLayout>
              <c:xMode val="edge"/>
              <c:yMode val="edge"/>
              <c:x val="0.4236956099703697"/>
              <c:y val="0.89708865446088226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541184"/>
        <c:crossesAt val="-1000000"/>
        <c:crossBetween val="midCat"/>
        <c:minorUnit val="10"/>
      </c:valAx>
      <c:valAx>
        <c:axId val="164541184"/>
        <c:scaling>
          <c:orientation val="minMax"/>
          <c:max val="6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Pressure, P [bar]</a:t>
                </a:r>
              </a:p>
            </c:rich>
          </c:tx>
          <c:layout>
            <c:manualLayout>
              <c:xMode val="edge"/>
              <c:yMode val="edge"/>
              <c:x val="4.2168757390415944E-2"/>
              <c:y val="0.295146050818298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526336"/>
        <c:crossesAt val="1E-3"/>
        <c:crossBetween val="midCat"/>
        <c:majorUnit val="20"/>
        <c:minorUnit val="1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ZA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20</a:t>
            </a: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ZA"/>
          </a:p>
        </c:rich>
      </c:tx>
      <c:layout>
        <c:manualLayout>
          <c:xMode val="edge"/>
          <c:yMode val="edge"/>
          <c:x val="0.59782672153821492"/>
          <c:y val="0.66353055525716098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956539738174825"/>
          <c:y val="4.9411849859575814E-2"/>
          <c:w val="0.76087037286681902"/>
          <c:h val="0.7411777478936372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'T20'!$A$21:$A$122</c:f>
              <c:numCache>
                <c:formatCode>0.000</c:formatCode>
                <c:ptCount val="102"/>
                <c:pt idx="0">
                  <c:v>0.11929554873417722</c:v>
                </c:pt>
                <c:pt idx="1">
                  <c:v>0.12287441519620254</c:v>
                </c:pt>
                <c:pt idx="2">
                  <c:v>0.12656064765208863</c:v>
                </c:pt>
                <c:pt idx="3">
                  <c:v>0.1303574670816513</c:v>
                </c:pt>
                <c:pt idx="4">
                  <c:v>0.13426819109410085</c:v>
                </c:pt>
                <c:pt idx="5">
                  <c:v>0.13829623682692388</c:v>
                </c:pt>
                <c:pt idx="6">
                  <c:v>0.14244512393173159</c:v>
                </c:pt>
                <c:pt idx="7">
                  <c:v>0.14671847764968354</c:v>
                </c:pt>
                <c:pt idx="8">
                  <c:v>0.15112003197917406</c:v>
                </c:pt>
                <c:pt idx="9">
                  <c:v>0.15565363293854928</c:v>
                </c:pt>
                <c:pt idx="10">
                  <c:v>0.16032324192670577</c:v>
                </c:pt>
                <c:pt idx="11">
                  <c:v>0.16513293918450694</c:v>
                </c:pt>
                <c:pt idx="12">
                  <c:v>0.17008692736004216</c:v>
                </c:pt>
                <c:pt idx="13">
                  <c:v>0.17518953518084343</c:v>
                </c:pt>
                <c:pt idx="14">
                  <c:v>0.18044522123626874</c:v>
                </c:pt>
                <c:pt idx="15">
                  <c:v>0.1858585778733568</c:v>
                </c:pt>
                <c:pt idx="16">
                  <c:v>0.19143433520955752</c:v>
                </c:pt>
                <c:pt idx="17">
                  <c:v>0.19717736526584426</c:v>
                </c:pt>
                <c:pt idx="18">
                  <c:v>0.2030926862238196</c:v>
                </c:pt>
                <c:pt idx="19">
                  <c:v>0.20918546681053418</c:v>
                </c:pt>
                <c:pt idx="20">
                  <c:v>0.21546103081485021</c:v>
                </c:pt>
                <c:pt idx="21">
                  <c:v>0.22192486173929574</c:v>
                </c:pt>
                <c:pt idx="22">
                  <c:v>0.22858260759147461</c:v>
                </c:pt>
                <c:pt idx="23">
                  <c:v>0.23544008581921885</c:v>
                </c:pt>
                <c:pt idx="24">
                  <c:v>0.24250328839379542</c:v>
                </c:pt>
                <c:pt idx="25">
                  <c:v>0.24977838704560928</c:v>
                </c:pt>
                <c:pt idx="26">
                  <c:v>0.25727173865697756</c:v>
                </c:pt>
                <c:pt idx="27">
                  <c:v>0.26498989081668689</c:v>
                </c:pt>
                <c:pt idx="28">
                  <c:v>0.27293958754118752</c:v>
                </c:pt>
                <c:pt idx="29">
                  <c:v>0.28112777516742316</c:v>
                </c:pt>
                <c:pt idx="30">
                  <c:v>0.28956160842244588</c:v>
                </c:pt>
                <c:pt idx="31">
                  <c:v>0.29824845667511929</c:v>
                </c:pt>
                <c:pt idx="32">
                  <c:v>0.30719591037537286</c:v>
                </c:pt>
                <c:pt idx="33">
                  <c:v>0.31641178768663403</c:v>
                </c:pt>
                <c:pt idx="34">
                  <c:v>0.32590414131723305</c:v>
                </c:pt>
                <c:pt idx="35">
                  <c:v>0.33568126555675004</c:v>
                </c:pt>
                <c:pt idx="36">
                  <c:v>0.34575170352345252</c:v>
                </c:pt>
                <c:pt idx="37">
                  <c:v>0.35612425462915609</c:v>
                </c:pt>
                <c:pt idx="38">
                  <c:v>0.3668079822680308</c:v>
                </c:pt>
                <c:pt idx="39">
                  <c:v>0.37781222173607171</c:v>
                </c:pt>
                <c:pt idx="40">
                  <c:v>0.38914658838815386</c:v>
                </c:pt>
                <c:pt idx="41">
                  <c:v>0.40082098603979849</c:v>
                </c:pt>
                <c:pt idx="42">
                  <c:v>0.41284561562099248</c:v>
                </c:pt>
                <c:pt idx="43">
                  <c:v>0.42523098408962229</c:v>
                </c:pt>
                <c:pt idx="44">
                  <c:v>0.43798791361231099</c:v>
                </c:pt>
                <c:pt idx="45">
                  <c:v>0.45112755102068031</c:v>
                </c:pt>
                <c:pt idx="46">
                  <c:v>0.46466137755130071</c:v>
                </c:pt>
                <c:pt idx="47">
                  <c:v>0.47860121887783974</c:v>
                </c:pt>
                <c:pt idx="48">
                  <c:v>0.49295925544417496</c:v>
                </c:pt>
                <c:pt idx="49">
                  <c:v>0.50774803310750027</c:v>
                </c:pt>
                <c:pt idx="50">
                  <c:v>0.52298047410072535</c:v>
                </c:pt>
                <c:pt idx="51">
                  <c:v>0.53866988832374707</c:v>
                </c:pt>
                <c:pt idx="52">
                  <c:v>0.55482998497345948</c:v>
                </c:pt>
                <c:pt idx="53">
                  <c:v>0.57147488452266326</c:v>
                </c:pt>
                <c:pt idx="54">
                  <c:v>0.58861913105834318</c:v>
                </c:pt>
                <c:pt idx="55">
                  <c:v>0.60627770499009348</c:v>
                </c:pt>
                <c:pt idx="56">
                  <c:v>0.62446603613979634</c:v>
                </c:pt>
                <c:pt idx="57">
                  <c:v>0.64320001722399023</c:v>
                </c:pt>
                <c:pt idx="58">
                  <c:v>0.66249601774070999</c:v>
                </c:pt>
                <c:pt idx="59">
                  <c:v>0.68237089827293129</c:v>
                </c:pt>
                <c:pt idx="60">
                  <c:v>0.70284202522111927</c:v>
                </c:pt>
                <c:pt idx="61">
                  <c:v>0.72392728597775291</c:v>
                </c:pt>
                <c:pt idx="62">
                  <c:v>0.74564510455708555</c:v>
                </c:pt>
                <c:pt idx="63">
                  <c:v>0.76801445769379817</c:v>
                </c:pt>
                <c:pt idx="64">
                  <c:v>0.79105489142461216</c:v>
                </c:pt>
                <c:pt idx="65">
                  <c:v>0.81478653816735058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0</c:v>
                </c:pt>
                <c:pt idx="78" formatCode="General">
                  <c:v>0</c:v>
                </c:pt>
                <c:pt idx="79" formatCode="General">
                  <c:v>0</c:v>
                </c:pt>
                <c:pt idx="80" formatCode="General">
                  <c:v>0</c:v>
                </c:pt>
                <c:pt idx="81" formatCode="General">
                  <c:v>0</c:v>
                </c:pt>
                <c:pt idx="82" formatCode="General">
                  <c:v>0</c:v>
                </c:pt>
                <c:pt idx="83" formatCode="General">
                  <c:v>0</c:v>
                </c:pt>
                <c:pt idx="84" formatCode="General">
                  <c:v>0</c:v>
                </c:pt>
                <c:pt idx="85" formatCode="General">
                  <c:v>0</c:v>
                </c:pt>
                <c:pt idx="86" formatCode="General">
                  <c:v>0</c:v>
                </c:pt>
                <c:pt idx="87" formatCode="General">
                  <c:v>0</c:v>
                </c:pt>
                <c:pt idx="88" formatCode="General">
                  <c:v>0</c:v>
                </c:pt>
                <c:pt idx="89" formatCode="General">
                  <c:v>0</c:v>
                </c:pt>
                <c:pt idx="90" formatCode="General">
                  <c:v>0</c:v>
                </c:pt>
                <c:pt idx="91" formatCode="General">
                  <c:v>0</c:v>
                </c:pt>
                <c:pt idx="92" formatCode="General">
                  <c:v>0</c:v>
                </c:pt>
                <c:pt idx="93" formatCode="General">
                  <c:v>0</c:v>
                </c:pt>
                <c:pt idx="94" formatCode="General">
                  <c:v>0</c:v>
                </c:pt>
                <c:pt idx="95" formatCode="General">
                  <c:v>0</c:v>
                </c:pt>
                <c:pt idx="96" formatCode="General">
                  <c:v>0</c:v>
                </c:pt>
                <c:pt idx="97" formatCode="General">
                  <c:v>0</c:v>
                </c:pt>
                <c:pt idx="98" formatCode="General">
                  <c:v>0</c:v>
                </c:pt>
                <c:pt idx="99" formatCode="General">
                  <c:v>0</c:v>
                </c:pt>
                <c:pt idx="100" formatCode="General">
                  <c:v>0</c:v>
                </c:pt>
                <c:pt idx="101" formatCode="General">
                  <c:v>0</c:v>
                </c:pt>
              </c:numCache>
            </c:numRef>
          </c:xVal>
          <c:yVal>
            <c:numRef>
              <c:f>'T20'!$B$21:$B$122</c:f>
              <c:numCache>
                <c:formatCode>General</c:formatCode>
                <c:ptCount val="102"/>
                <c:pt idx="0">
                  <c:v>4487122.6106732022</c:v>
                </c:pt>
                <c:pt idx="1">
                  <c:v>11214.489464479198</c:v>
                </c:pt>
                <c:pt idx="2">
                  <c:v>4951.6187706603387</c:v>
                </c:pt>
                <c:pt idx="3">
                  <c:v>2905.8168838577835</c:v>
                </c:pt>
                <c:pt idx="4">
                  <c:v>1913.5758999913712</c:v>
                </c:pt>
                <c:pt idx="5">
                  <c:v>1340.9409183186526</c:v>
                </c:pt>
                <c:pt idx="6">
                  <c:v>976.53421753050134</c:v>
                </c:pt>
                <c:pt idx="7">
                  <c:v>729.82796858503173</c:v>
                </c:pt>
                <c:pt idx="8">
                  <c:v>555.63274510399674</c:v>
                </c:pt>
                <c:pt idx="9">
                  <c:v>428.9116046898684</c:v>
                </c:pt>
                <c:pt idx="10">
                  <c:v>334.70180294889548</c:v>
                </c:pt>
                <c:pt idx="11">
                  <c:v>263.5326477383789</c:v>
                </c:pt>
                <c:pt idx="12">
                  <c:v>209.13415017545455</c:v>
                </c:pt>
                <c:pt idx="13">
                  <c:v>167.2032189478312</c:v>
                </c:pt>
                <c:pt idx="14">
                  <c:v>134.69871901770188</c:v>
                </c:pt>
                <c:pt idx="15">
                  <c:v>109.41862548088022</c:v>
                </c:pt>
                <c:pt idx="16">
                  <c:v>89.735866872560365</c:v>
                </c:pt>
                <c:pt idx="17">
                  <c:v>74.427516482629215</c:v>
                </c:pt>
                <c:pt idx="18">
                  <c:v>62.561026910655713</c:v>
                </c:pt>
                <c:pt idx="19">
                  <c:v>53.416487562556647</c:v>
                </c:pt>
                <c:pt idx="20">
                  <c:v>46.432292192514872</c:v>
                </c:pt>
                <c:pt idx="21">
                  <c:v>41.166408280228062</c:v>
                </c:pt>
                <c:pt idx="22">
                  <c:v>37.268279393488193</c:v>
                </c:pt>
                <c:pt idx="23">
                  <c:v>34.458120105523193</c:v>
                </c:pt>
                <c:pt idx="24">
                  <c:v>32.511443354119471</c:v>
                </c:pt>
                <c:pt idx="25">
                  <c:v>31.247351557909788</c:v>
                </c:pt>
                <c:pt idx="26">
                  <c:v>30.519574902022249</c:v>
                </c:pt>
                <c:pt idx="27">
                  <c:v>30.209541603592697</c:v>
                </c:pt>
                <c:pt idx="28">
                  <c:v>30.220969483858717</c:v>
                </c:pt>
                <c:pt idx="29">
                  <c:v>30.475609212893868</c:v>
                </c:pt>
                <c:pt idx="30">
                  <c:v>30.909868313248481</c:v>
                </c:pt>
                <c:pt idx="31">
                  <c:v>31.472115060635225</c:v>
                </c:pt>
                <c:pt idx="32">
                  <c:v>32.120511762035129</c:v>
                </c:pt>
                <c:pt idx="33">
                  <c:v>32.821263496900173</c:v>
                </c:pt>
                <c:pt idx="34">
                  <c:v>33.547195315948848</c:v>
                </c:pt>
                <c:pt idx="35">
                  <c:v>34.276590875086953</c:v>
                </c:pt>
                <c:pt idx="36">
                  <c:v>34.992240463343094</c:v>
                </c:pt>
                <c:pt idx="37">
                  <c:v>35.680657715495144</c:v>
                </c:pt>
                <c:pt idx="38">
                  <c:v>36.331432942984577</c:v>
                </c:pt>
                <c:pt idx="39">
                  <c:v>36.936697660504272</c:v>
                </c:pt>
                <c:pt idx="40">
                  <c:v>37.490680030356145</c:v>
                </c:pt>
                <c:pt idx="41">
                  <c:v>37.989334958182226</c:v>
                </c:pt>
                <c:pt idx="42">
                  <c:v>38.430035722030716</c:v>
                </c:pt>
                <c:pt idx="43">
                  <c:v>38.8113165028659</c:v>
                </c:pt>
                <c:pt idx="44">
                  <c:v>39.132657159282573</c:v>
                </c:pt>
                <c:pt idx="45">
                  <c:v>39.394303166184272</c:v>
                </c:pt>
                <c:pt idx="46">
                  <c:v>39.59711490315545</c:v>
                </c:pt>
                <c:pt idx="47">
                  <c:v>39.742441499527416</c:v>
                </c:pt>
                <c:pt idx="48">
                  <c:v>39.832015270838255</c:v>
                </c:pt>
                <c:pt idx="49">
                  <c:v>39.867863455148544</c:v>
                </c:pt>
                <c:pt idx="50">
                  <c:v>39.852234508413133</c:v>
                </c:pt>
                <c:pt idx="51">
                  <c:v>39.787536670056042</c:v>
                </c:pt>
                <c:pt idx="52">
                  <c:v>39.676286882154137</c:v>
                </c:pt>
                <c:pt idx="53">
                  <c:v>39.521068453335744</c:v>
                </c:pt>
                <c:pt idx="54">
                  <c:v>39.32449611368542</c:v>
                </c:pt>
                <c:pt idx="55">
                  <c:v>39.089187319243358</c:v>
                </c:pt>
                <c:pt idx="56">
                  <c:v>38.817738841832025</c:v>
                </c:pt>
                <c:pt idx="57">
                  <c:v>38.51270782816453</c:v>
                </c:pt>
                <c:pt idx="58">
                  <c:v>38.176596636542499</c:v>
                </c:pt>
                <c:pt idx="59">
                  <c:v>37.811840864034387</c:v>
                </c:pt>
                <c:pt idx="60">
                  <c:v>37.420800065188466</c:v>
                </c:pt>
                <c:pt idx="61">
                  <c:v>37.005750737817678</c:v>
                </c:pt>
                <c:pt idx="62">
                  <c:v>36.568881214445923</c:v>
                </c:pt>
                <c:pt idx="63">
                  <c:v>36.112288151484549</c:v>
                </c:pt>
                <c:pt idx="64">
                  <c:v>35.637974353645482</c:v>
                </c:pt>
                <c:pt idx="65">
                  <c:v>35.1478477097655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'T20'!$B$15</c:f>
              <c:numCache>
                <c:formatCode>0.000</c:formatCode>
                <c:ptCount val="1"/>
                <c:pt idx="0">
                  <c:v>0.22893271681419078</c:v>
                </c:pt>
              </c:numCache>
            </c:numRef>
          </c:xVal>
          <c:yVal>
            <c:numRef>
              <c:f>'T20'!$I$3</c:f>
              <c:numCache>
                <c:formatCode>General</c:formatCode>
                <c:ptCount val="1"/>
                <c:pt idx="0">
                  <c:v>37.098209498714525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'T20'!$B$16</c:f>
              <c:numCache>
                <c:formatCode>0.000</c:formatCode>
                <c:ptCount val="1"/>
                <c:pt idx="0">
                  <c:v>0.71927521987358511</c:v>
                </c:pt>
              </c:numCache>
            </c:numRef>
          </c:xVal>
          <c:yVal>
            <c:numRef>
              <c:f>'T20'!$I$3</c:f>
              <c:numCache>
                <c:formatCode>General</c:formatCode>
                <c:ptCount val="1"/>
                <c:pt idx="0">
                  <c:v>37.098209498714525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'T20'!$B$18</c:f>
              <c:numCache>
                <c:formatCode>0.000</c:formatCode>
                <c:ptCount val="1"/>
                <c:pt idx="0">
                  <c:v>0.38097253553943167</c:v>
                </c:pt>
              </c:numCache>
            </c:numRef>
          </c:xVal>
          <c:yVal>
            <c:numRef>
              <c:f>'T20'!$I$3</c:f>
              <c:numCache>
                <c:formatCode>General</c:formatCode>
                <c:ptCount val="1"/>
                <c:pt idx="0">
                  <c:v>37.098209498714525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965184"/>
        <c:axId val="165967744"/>
      </c:scatterChart>
      <c:valAx>
        <c:axId val="165965184"/>
        <c:scaling>
          <c:logBase val="10"/>
          <c:orientation val="minMax"/>
          <c:max val="1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Volume, V [l/mol]</a:t>
                </a:r>
              </a:p>
            </c:rich>
          </c:tx>
          <c:layout>
            <c:manualLayout>
              <c:xMode val="edge"/>
              <c:yMode val="edge"/>
              <c:x val="0.40652217064598617"/>
              <c:y val="0.87529562608391442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967744"/>
        <c:crossesAt val="-1000000"/>
        <c:crossBetween val="midCat"/>
        <c:minorUnit val="10"/>
      </c:valAx>
      <c:valAx>
        <c:axId val="165967744"/>
        <c:scaling>
          <c:orientation val="minMax"/>
          <c:max val="40"/>
          <c:min val="3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Pressure, P [bar]</a:t>
                </a:r>
              </a:p>
            </c:rich>
          </c:tx>
          <c:layout>
            <c:manualLayout>
              <c:xMode val="edge"/>
              <c:yMode val="edge"/>
              <c:x val="3.2608730265720816E-2"/>
              <c:y val="0.263529865917737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965184"/>
        <c:crossesAt val="1E-3"/>
        <c:crossBetween val="midCat"/>
        <c:majorUnit val="5"/>
        <c:minorUnit val="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ZA" sz="8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21</a:t>
            </a:r>
            <a:r>
              <a:rPr lang="en-ZA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ZA"/>
          </a:p>
        </c:rich>
      </c:tx>
      <c:layout>
        <c:manualLayout>
          <c:xMode val="edge"/>
          <c:yMode val="edge"/>
          <c:x val="0.6244748253538378"/>
          <c:y val="0.6105288261876077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5190649277336"/>
          <c:y val="4.4210708103240556E-2"/>
          <c:w val="0.74050899898377387"/>
          <c:h val="0.7663189404561696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'T21'!$A$21:$A$103</c:f>
              <c:numCache>
                <c:formatCode>0.000</c:formatCode>
                <c:ptCount val="83"/>
                <c:pt idx="0">
                  <c:v>0.22</c:v>
                </c:pt>
                <c:pt idx="1">
                  <c:v>0.22264</c:v>
                </c:pt>
                <c:pt idx="2">
                  <c:v>0.22531168000000001</c:v>
                </c:pt>
                <c:pt idx="3">
                  <c:v>0.22801542016000001</c:v>
                </c:pt>
                <c:pt idx="4">
                  <c:v>0.23075160520192001</c:v>
                </c:pt>
                <c:pt idx="5">
                  <c:v>0.23352062446434305</c:v>
                </c:pt>
                <c:pt idx="6">
                  <c:v>0.23632287195791515</c:v>
                </c:pt>
                <c:pt idx="7">
                  <c:v>0.23915874642141013</c:v>
                </c:pt>
                <c:pt idx="8">
                  <c:v>0.24202865137846705</c:v>
                </c:pt>
                <c:pt idx="9">
                  <c:v>0.24493299519500866</c:v>
                </c:pt>
                <c:pt idx="10">
                  <c:v>0.24787219113734876</c:v>
                </c:pt>
                <c:pt idx="11">
                  <c:v>0.25084665743099693</c:v>
                </c:pt>
                <c:pt idx="12">
                  <c:v>0.2538568173201689</c:v>
                </c:pt>
                <c:pt idx="13">
                  <c:v>0.25690309912801096</c:v>
                </c:pt>
                <c:pt idx="14">
                  <c:v>0.25998593631754707</c:v>
                </c:pt>
                <c:pt idx="15">
                  <c:v>0.26310576755335763</c:v>
                </c:pt>
                <c:pt idx="16">
                  <c:v>0.26626303676399793</c:v>
                </c:pt>
                <c:pt idx="17">
                  <c:v>0.2694581932051659</c:v>
                </c:pt>
                <c:pt idx="18">
                  <c:v>0.27269169152362788</c:v>
                </c:pt>
                <c:pt idx="19">
                  <c:v>0.27596399182191139</c:v>
                </c:pt>
                <c:pt idx="20">
                  <c:v>0.27927555972377432</c:v>
                </c:pt>
                <c:pt idx="21">
                  <c:v>0.28262686644045965</c:v>
                </c:pt>
                <c:pt idx="22">
                  <c:v>0.28601838883774516</c:v>
                </c:pt>
                <c:pt idx="23">
                  <c:v>0.28945060950379808</c:v>
                </c:pt>
                <c:pt idx="24">
                  <c:v>0.29292401681784369</c:v>
                </c:pt>
                <c:pt idx="25">
                  <c:v>0.29643910501965781</c:v>
                </c:pt>
                <c:pt idx="26">
                  <c:v>0.29999637427989373</c:v>
                </c:pt>
                <c:pt idx="27">
                  <c:v>0.30359633077125248</c:v>
                </c:pt>
                <c:pt idx="28">
                  <c:v>0.30723948674050749</c:v>
                </c:pt>
                <c:pt idx="29">
                  <c:v>0.31092636058139361</c:v>
                </c:pt>
                <c:pt idx="30">
                  <c:v>0.31465747690837031</c:v>
                </c:pt>
                <c:pt idx="31">
                  <c:v>0.31843336663127075</c:v>
                </c:pt>
                <c:pt idx="32">
                  <c:v>0.32225456703084598</c:v>
                </c:pt>
                <c:pt idx="33">
                  <c:v>0.32612162183521615</c:v>
                </c:pt>
                <c:pt idx="34">
                  <c:v>0.33003508129723874</c:v>
                </c:pt>
                <c:pt idx="35">
                  <c:v>0.33399550227280561</c:v>
                </c:pt>
                <c:pt idx="36">
                  <c:v>0.33800344830007928</c:v>
                </c:pt>
                <c:pt idx="37">
                  <c:v>0.34205948967968025</c:v>
                </c:pt>
                <c:pt idx="38">
                  <c:v>0.34616420355583644</c:v>
                </c:pt>
                <c:pt idx="39">
                  <c:v>0.35031817399850645</c:v>
                </c:pt>
                <c:pt idx="40">
                  <c:v>0.35452199208648855</c:v>
                </c:pt>
                <c:pt idx="41">
                  <c:v>0.3587762559915264</c:v>
                </c:pt>
                <c:pt idx="42">
                  <c:v>0.3630815710634247</c:v>
                </c:pt>
                <c:pt idx="43">
                  <c:v>0.3674385499161858</c:v>
                </c:pt>
                <c:pt idx="44">
                  <c:v>0.37184781251518001</c:v>
                </c:pt>
                <c:pt idx="45">
                  <c:v>0.37630998626536216</c:v>
                </c:pt>
                <c:pt idx="46">
                  <c:v>0.3808257061005465</c:v>
                </c:pt>
                <c:pt idx="47">
                  <c:v>0.38539561457375304</c:v>
                </c:pt>
                <c:pt idx="48">
                  <c:v>0.39002036194863809</c:v>
                </c:pt>
                <c:pt idx="49">
                  <c:v>0.39470060629202175</c:v>
                </c:pt>
                <c:pt idx="50">
                  <c:v>0.39943701356752603</c:v>
                </c:pt>
                <c:pt idx="51">
                  <c:v>0.40423025773033633</c:v>
                </c:pt>
                <c:pt idx="52">
                  <c:v>0.40908102082310038</c:v>
                </c:pt>
                <c:pt idx="53">
                  <c:v>0.41398999307297757</c:v>
                </c:pt>
                <c:pt idx="54">
                  <c:v>0.41895787298985332</c:v>
                </c:pt>
                <c:pt idx="55">
                  <c:v>0.42398536746573157</c:v>
                </c:pt>
                <c:pt idx="56">
                  <c:v>0.42907319187532034</c:v>
                </c:pt>
                <c:pt idx="57">
                  <c:v>0.43422207017782416</c:v>
                </c:pt>
                <c:pt idx="58">
                  <c:v>0.43943273501995805</c:v>
                </c:pt>
                <c:pt idx="59">
                  <c:v>0.44470592784019758</c:v>
                </c:pt>
                <c:pt idx="60">
                  <c:v>0.45004239897427994</c:v>
                </c:pt>
                <c:pt idx="61">
                  <c:v>0.45544290776197133</c:v>
                </c:pt>
                <c:pt idx="62">
                  <c:v>0.460908222655115</c:v>
                </c:pt>
                <c:pt idx="63">
                  <c:v>0.4664391213269764</c:v>
                </c:pt>
                <c:pt idx="64">
                  <c:v>0.47203639078290011</c:v>
                </c:pt>
                <c:pt idx="65">
                  <c:v>0.47770082747229492</c:v>
                </c:pt>
              </c:numCache>
            </c:numRef>
          </c:xVal>
          <c:yVal>
            <c:numRef>
              <c:f>'T21'!$B$21:$B$103</c:f>
              <c:numCache>
                <c:formatCode>General</c:formatCode>
                <c:ptCount val="83"/>
                <c:pt idx="0">
                  <c:v>71.957620225604188</c:v>
                </c:pt>
                <c:pt idx="1">
                  <c:v>69.351359879252854</c:v>
                </c:pt>
                <c:pt idx="2">
                  <c:v>66.985118072439946</c:v>
                </c:pt>
                <c:pt idx="3">
                  <c:v>64.838749841771715</c:v>
                </c:pt>
                <c:pt idx="4">
                  <c:v>62.893815877601668</c:v>
                </c:pt>
                <c:pt idx="5">
                  <c:v>61.133423224027794</c:v>
                </c:pt>
                <c:pt idx="6">
                  <c:v>59.542082885880589</c:v>
                </c:pt>
                <c:pt idx="7">
                  <c:v>58.105582306738434</c:v>
                </c:pt>
                <c:pt idx="8">
                  <c:v>56.810870956784967</c:v>
                </c:pt>
                <c:pt idx="9">
                  <c:v>55.64595750309207</c:v>
                </c:pt>
                <c:pt idx="10">
                  <c:v>54.599817234360565</c:v>
                </c:pt>
                <c:pt idx="11">
                  <c:v>53.662308582793919</c:v>
                </c:pt>
                <c:pt idx="12">
                  <c:v>52.824097732157099</c:v>
                </c:pt>
                <c:pt idx="13">
                  <c:v>52.07659042696789</c:v>
                </c:pt>
                <c:pt idx="14">
                  <c:v>51.411870206305359</c:v>
                </c:pt>
                <c:pt idx="15">
                  <c:v>50.822642379528588</c:v>
                </c:pt>
                <c:pt idx="16">
                  <c:v>50.302183142461111</c:v>
                </c:pt>
                <c:pt idx="17">
                  <c:v>49.844293303143239</c:v>
                </c:pt>
                <c:pt idx="18">
                  <c:v>49.443256147649151</c:v>
                </c:pt>
                <c:pt idx="19">
                  <c:v>49.09379902998797</c:v>
                </c:pt>
                <c:pt idx="20">
                  <c:v>48.791058316879933</c:v>
                </c:pt>
                <c:pt idx="21">
                  <c:v>48.530547359144329</c:v>
                </c:pt>
                <c:pt idx="22">
                  <c:v>48.308127197351062</c:v>
                </c:pt>
                <c:pt idx="23">
                  <c:v>48.119979740953895</c:v>
                </c:pt>
                <c:pt idx="24">
                  <c:v>47.962583187911953</c:v>
                </c:pt>
                <c:pt idx="25">
                  <c:v>47.832689476316006</c:v>
                </c:pt>
                <c:pt idx="26">
                  <c:v>47.727303581192352</c:v>
                </c:pt>
                <c:pt idx="27">
                  <c:v>47.643664488818757</c:v>
                </c:pt>
                <c:pt idx="28">
                  <c:v>47.579227697875538</c:v>
                </c:pt>
                <c:pt idx="29">
                  <c:v>47.531649111835542</c:v>
                </c:pt>
                <c:pt idx="30">
                  <c:v>47.498770200408693</c:v>
                </c:pt>
                <c:pt idx="31">
                  <c:v>47.478604319795849</c:v>
                </c:pt>
                <c:pt idx="32">
                  <c:v>47.46932409216064</c:v>
                </c:pt>
                <c:pt idx="33">
                  <c:v>47.469249754237168</c:v>
                </c:pt>
                <c:pt idx="34">
                  <c:v>47.476838393498873</c:v>
                </c:pt>
                <c:pt idx="35">
                  <c:v>47.490673997932028</c:v>
                </c:pt>
                <c:pt idx="36">
                  <c:v>47.509458252288752</c:v>
                </c:pt>
                <c:pt idx="37">
                  <c:v>47.532002019826798</c:v>
                </c:pt>
                <c:pt idx="38">
                  <c:v>47.557217454059668</c:v>
                </c:pt>
                <c:pt idx="39">
                  <c:v>47.58411069000087</c:v>
                </c:pt>
                <c:pt idx="40">
                  <c:v>47.611775068862244</c:v>
                </c:pt>
                <c:pt idx="41">
                  <c:v>47.639384854197758</c:v>
                </c:pt>
                <c:pt idx="42">
                  <c:v>47.666189401133309</c:v>
                </c:pt>
                <c:pt idx="43">
                  <c:v>47.691507743615006</c:v>
                </c:pt>
                <c:pt idx="44">
                  <c:v>47.714723567595065</c:v>
                </c:pt>
                <c:pt idx="45">
                  <c:v>47.735280540775875</c:v>
                </c:pt>
                <c:pt idx="46">
                  <c:v>47.752677971987033</c:v>
                </c:pt>
                <c:pt idx="47">
                  <c:v>47.766466775495886</c:v>
                </c:pt>
                <c:pt idx="48">
                  <c:v>47.776245717577041</c:v>
                </c:pt>
                <c:pt idx="49">
                  <c:v>47.781657924507854</c:v>
                </c:pt>
                <c:pt idx="50">
                  <c:v>47.782387632833746</c:v>
                </c:pt>
                <c:pt idx="51">
                  <c:v>47.778157164276564</c:v>
                </c:pt>
                <c:pt idx="52">
                  <c:v>47.768724109052712</c:v>
                </c:pt>
                <c:pt idx="53">
                  <c:v>47.753878702643249</c:v>
                </c:pt>
                <c:pt idx="54">
                  <c:v>47.733441382219972</c:v>
                </c:pt>
                <c:pt idx="55">
                  <c:v>47.707260509997724</c:v>
                </c:pt>
                <c:pt idx="56">
                  <c:v>47.675210251757072</c:v>
                </c:pt>
                <c:pt idx="57">
                  <c:v>47.637188599674573</c:v>
                </c:pt>
                <c:pt idx="58">
                  <c:v>47.593115529416679</c:v>
                </c:pt>
                <c:pt idx="59">
                  <c:v>47.542931282204592</c:v>
                </c:pt>
                <c:pt idx="60">
                  <c:v>47.486594763247012</c:v>
                </c:pt>
                <c:pt idx="61">
                  <c:v>47.424082048572494</c:v>
                </c:pt>
                <c:pt idx="62">
                  <c:v>47.355384992875095</c:v>
                </c:pt>
                <c:pt idx="63">
                  <c:v>47.280509931524833</c:v>
                </c:pt>
                <c:pt idx="64">
                  <c:v>47.19947647038758</c:v>
                </c:pt>
                <c:pt idx="65">
                  <c:v>47.112316357554988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'T21'!$B$15</c:f>
              <c:numCache>
                <c:formatCode>0.000</c:formatCode>
                <c:ptCount val="1"/>
                <c:pt idx="0">
                  <c:v>0.30339147603475525</c:v>
                </c:pt>
              </c:numCache>
            </c:numRef>
          </c:xVal>
          <c:yVal>
            <c:numRef>
              <c:f>'T21'!$I$3</c:f>
              <c:numCache>
                <c:formatCode>General</c:formatCode>
                <c:ptCount val="1"/>
                <c:pt idx="0">
                  <c:v>47.647861753356409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'T21'!$B$16</c:f>
              <c:numCache>
                <c:formatCode>0.000</c:formatCode>
                <c:ptCount val="1"/>
                <c:pt idx="0">
                  <c:v>0.43285019074197167</c:v>
                </c:pt>
              </c:numCache>
            </c:numRef>
          </c:xVal>
          <c:yVal>
            <c:numRef>
              <c:f>'T21'!$I$3</c:f>
              <c:numCache>
                <c:formatCode>General</c:formatCode>
                <c:ptCount val="1"/>
                <c:pt idx="0">
                  <c:v>47.647861753356409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'T21'!$B$18</c:f>
              <c:numCache>
                <c:formatCode>0.000</c:formatCode>
                <c:ptCount val="1"/>
                <c:pt idx="0">
                  <c:v>0.36011307867619119</c:v>
                </c:pt>
              </c:numCache>
            </c:numRef>
          </c:xVal>
          <c:yVal>
            <c:numRef>
              <c:f>'T21'!$I$3</c:f>
              <c:numCache>
                <c:formatCode>General</c:formatCode>
                <c:ptCount val="1"/>
                <c:pt idx="0">
                  <c:v>47.647861753356409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36992"/>
        <c:axId val="166051840"/>
      </c:scatterChart>
      <c:valAx>
        <c:axId val="166036992"/>
        <c:scaling>
          <c:logBase val="10"/>
          <c:orientation val="minMax"/>
          <c:max val="1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Volume, V [l/mol]</a:t>
                </a:r>
              </a:p>
            </c:rich>
          </c:tx>
          <c:layout>
            <c:manualLayout>
              <c:xMode val="edge"/>
              <c:yMode val="edge"/>
              <c:x val="0.4451492842893911"/>
              <c:y val="0.88631943387925116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051840"/>
        <c:crossesAt val="-1000000"/>
        <c:crossBetween val="midCat"/>
        <c:minorUnit val="10"/>
      </c:valAx>
      <c:valAx>
        <c:axId val="166051840"/>
        <c:scaling>
          <c:orientation val="minMax"/>
          <c:max val="48"/>
          <c:min val="47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Pressure, P [bar]</a:t>
                </a:r>
              </a:p>
            </c:rich>
          </c:tx>
          <c:layout>
            <c:manualLayout>
              <c:xMode val="edge"/>
              <c:yMode val="edge"/>
              <c:x val="5.4852518443242508E-2"/>
              <c:y val="0.288422238578283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036992"/>
        <c:crossesAt val="1E-3"/>
        <c:crossBetween val="midCat"/>
        <c:majorUnit val="0.2"/>
        <c:min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ZA" sz="115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 = T</a:t>
            </a:r>
            <a:r>
              <a:rPr lang="en-ZA" sz="115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C</a:t>
            </a:r>
            <a:r>
              <a:rPr lang="en-ZA" sz="115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isotherm</a:t>
            </a:r>
            <a:endParaRPr lang="en-ZA"/>
          </a:p>
        </c:rich>
      </c:tx>
      <c:layout>
        <c:manualLayout>
          <c:xMode val="edge"/>
          <c:yMode val="edge"/>
          <c:x val="0.59970390607828139"/>
          <c:y val="0.12423336142952841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857188270321034"/>
          <c:y val="4.1411120476509473E-2"/>
          <c:w val="0.77232339269138472"/>
          <c:h val="0.7975475054735157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Tc!$A$21:$A$116</c:f>
              <c:numCache>
                <c:formatCode>General</c:formatCode>
                <c:ptCount val="96"/>
                <c:pt idx="0">
                  <c:v>0.12047840422151899</c:v>
                </c:pt>
                <c:pt idx="1">
                  <c:v>0.12650232443259496</c:v>
                </c:pt>
                <c:pt idx="2">
                  <c:v>0.13282744065422472</c:v>
                </c:pt>
                <c:pt idx="3">
                  <c:v>0.13946881268693595</c:v>
                </c:pt>
                <c:pt idx="4">
                  <c:v>0.14644225332128274</c:v>
                </c:pt>
                <c:pt idx="5">
                  <c:v>0.15376436598734688</c:v>
                </c:pt>
                <c:pt idx="6">
                  <c:v>0.16145258428671425</c:v>
                </c:pt>
                <c:pt idx="7">
                  <c:v>0.16952521350104996</c:v>
                </c:pt>
                <c:pt idx="8">
                  <c:v>0.17800147417610246</c:v>
                </c:pt>
                <c:pt idx="9">
                  <c:v>0.18690154788490759</c:v>
                </c:pt>
                <c:pt idx="10">
                  <c:v>0.19624662527915299</c:v>
                </c:pt>
                <c:pt idx="11">
                  <c:v>0.20605895654311066</c:v>
                </c:pt>
                <c:pt idx="12">
                  <c:v>0.2163619043702662</c:v>
                </c:pt>
                <c:pt idx="13">
                  <c:v>0.22717999958877952</c:v>
                </c:pt>
                <c:pt idx="14">
                  <c:v>0.23172359958055511</c:v>
                </c:pt>
                <c:pt idx="15">
                  <c:v>0.23635807157216621</c:v>
                </c:pt>
                <c:pt idx="16">
                  <c:v>0.24108523300360954</c:v>
                </c:pt>
                <c:pt idx="17">
                  <c:v>0.24590693766368174</c:v>
                </c:pt>
                <c:pt idx="18">
                  <c:v>0.25082507641695539</c:v>
                </c:pt>
                <c:pt idx="19">
                  <c:v>0.2558415779452945</c:v>
                </c:pt>
                <c:pt idx="20">
                  <c:v>0.26095840950420041</c:v>
                </c:pt>
                <c:pt idx="21">
                  <c:v>0.26617757769428441</c:v>
                </c:pt>
                <c:pt idx="22">
                  <c:v>0.2715011292481701</c:v>
                </c:pt>
                <c:pt idx="23">
                  <c:v>0.27693115183313349</c:v>
                </c:pt>
                <c:pt idx="24">
                  <c:v>0.28246977486979619</c:v>
                </c:pt>
                <c:pt idx="25">
                  <c:v>0.29659326361328603</c:v>
                </c:pt>
                <c:pt idx="26">
                  <c:v>0.31142292679395034</c:v>
                </c:pt>
                <c:pt idx="27">
                  <c:v>0.32699407313364787</c:v>
                </c:pt>
                <c:pt idx="28">
                  <c:v>0.34334377679033029</c:v>
                </c:pt>
                <c:pt idx="29">
                  <c:v>0.3605109656298468</c:v>
                </c:pt>
                <c:pt idx="30">
                  <c:v>0.37853651391133913</c:v>
                </c:pt>
                <c:pt idx="31">
                  <c:v>0.39746333960690611</c:v>
                </c:pt>
                <c:pt idx="32">
                  <c:v>0.41733650658725141</c:v>
                </c:pt>
                <c:pt idx="33">
                  <c:v>0.43820333191661398</c:v>
                </c:pt>
                <c:pt idx="34">
                  <c:v>0.46011349851244471</c:v>
                </c:pt>
                <c:pt idx="35">
                  <c:v>0.48311917343806698</c:v>
                </c:pt>
                <c:pt idx="36">
                  <c:v>0.50727513210997033</c:v>
                </c:pt>
                <c:pt idx="37">
                  <c:v>0.53263888871546883</c:v>
                </c:pt>
                <c:pt idx="38">
                  <c:v>0.55927083315124226</c:v>
                </c:pt>
                <c:pt idx="39">
                  <c:v>0.58723437480880436</c:v>
                </c:pt>
                <c:pt idx="40">
                  <c:v>0.61659609354924461</c:v>
                </c:pt>
                <c:pt idx="41">
                  <c:v>0.64742589822670682</c:v>
                </c:pt>
                <c:pt idx="42">
                  <c:v>0.67979719313804221</c:v>
                </c:pt>
                <c:pt idx="43">
                  <c:v>0.71378705279494437</c:v>
                </c:pt>
                <c:pt idx="44">
                  <c:v>0.74947640543469163</c:v>
                </c:pt>
                <c:pt idx="45">
                  <c:v>0.78695022570642625</c:v>
                </c:pt>
                <c:pt idx="46">
                  <c:v>0.82629773699174758</c:v>
                </c:pt>
                <c:pt idx="47">
                  <c:v>0.86761262384133497</c:v>
                </c:pt>
                <c:pt idx="48">
                  <c:v>0.91099325503340178</c:v>
                </c:pt>
                <c:pt idx="49">
                  <c:v>0.95654291778507194</c:v>
                </c:pt>
                <c:pt idx="50">
                  <c:v>1.0043700636743256</c:v>
                </c:pt>
                <c:pt idx="51">
                  <c:v>1.0545885668580419</c:v>
                </c:pt>
                <c:pt idx="52">
                  <c:v>1.107317995200944</c:v>
                </c:pt>
                <c:pt idx="53">
                  <c:v>1.1626838949609912</c:v>
                </c:pt>
                <c:pt idx="54">
                  <c:v>1.2208180897090408</c:v>
                </c:pt>
                <c:pt idx="55">
                  <c:v>1.2818589941944929</c:v>
                </c:pt>
                <c:pt idx="56">
                  <c:v>1.3459519439042176</c:v>
                </c:pt>
                <c:pt idx="57">
                  <c:v>1.4132495410994286</c:v>
                </c:pt>
                <c:pt idx="58">
                  <c:v>1.4839120181544001</c:v>
                </c:pt>
                <c:pt idx="59">
                  <c:v>1.5581076190621201</c:v>
                </c:pt>
                <c:pt idx="60">
                  <c:v>1.6360130000152262</c:v>
                </c:pt>
                <c:pt idx="61">
                  <c:v>1.7178136500159875</c:v>
                </c:pt>
                <c:pt idx="62">
                  <c:v>1.803704332516787</c:v>
                </c:pt>
                <c:pt idx="63">
                  <c:v>1.8938895491426264</c:v>
                </c:pt>
                <c:pt idx="64">
                  <c:v>1.9885840265997579</c:v>
                </c:pt>
                <c:pt idx="65">
                  <c:v>2.0880132279297459</c:v>
                </c:pt>
                <c:pt idx="66">
                  <c:v>2.1924138893262333</c:v>
                </c:pt>
                <c:pt idx="67">
                  <c:v>2.3020345837925449</c:v>
                </c:pt>
                <c:pt idx="68">
                  <c:v>2.4171363129821724</c:v>
                </c:pt>
                <c:pt idx="69">
                  <c:v>2.5379931286312809</c:v>
                </c:pt>
                <c:pt idx="70">
                  <c:v>2.664892785062845</c:v>
                </c:pt>
                <c:pt idx="71">
                  <c:v>2.7981374243159873</c:v>
                </c:pt>
                <c:pt idx="72">
                  <c:v>2.9380442955317867</c:v>
                </c:pt>
                <c:pt idx="73">
                  <c:v>3.084946510308376</c:v>
                </c:pt>
                <c:pt idx="74">
                  <c:v>3.2391938358237948</c:v>
                </c:pt>
                <c:pt idx="75">
                  <c:v>3.4011535276149849</c:v>
                </c:pt>
                <c:pt idx="76">
                  <c:v>3.5712112039957344</c:v>
                </c:pt>
                <c:pt idx="77">
                  <c:v>3.7497717641955215</c:v>
                </c:pt>
                <c:pt idx="78">
                  <c:v>3.9372603524052976</c:v>
                </c:pt>
                <c:pt idx="79">
                  <c:v>4.1341233700255628</c:v>
                </c:pt>
                <c:pt idx="80">
                  <c:v>4.3408295385268412</c:v>
                </c:pt>
                <c:pt idx="81">
                  <c:v>4.5578710154531832</c:v>
                </c:pt>
                <c:pt idx="82">
                  <c:v>4.7857645662258426</c:v>
                </c:pt>
                <c:pt idx="83">
                  <c:v>5.0250527945371353</c:v>
                </c:pt>
                <c:pt idx="84">
                  <c:v>5.2763054342639926</c:v>
                </c:pt>
                <c:pt idx="85">
                  <c:v>5.5401207059771922</c:v>
                </c:pt>
                <c:pt idx="86">
                  <c:v>5.8171267412760521</c:v>
                </c:pt>
                <c:pt idx="87">
                  <c:v>6.1079830783398545</c:v>
                </c:pt>
                <c:pt idx="88">
                  <c:v>6.4133822322568479</c:v>
                </c:pt>
                <c:pt idx="89">
                  <c:v>6.734051343869691</c:v>
                </c:pt>
                <c:pt idx="90">
                  <c:v>7.0707539110631759</c:v>
                </c:pt>
                <c:pt idx="91">
                  <c:v>7.4242916066163351</c:v>
                </c:pt>
                <c:pt idx="92">
                  <c:v>7.7955061869471525</c:v>
                </c:pt>
                <c:pt idx="93">
                  <c:v>8.1852814962945111</c:v>
                </c:pt>
                <c:pt idx="94">
                  <c:v>8.5945455711092364</c:v>
                </c:pt>
                <c:pt idx="95">
                  <c:v>9.0242728496646993</c:v>
                </c:pt>
              </c:numCache>
            </c:numRef>
          </c:xVal>
          <c:yVal>
            <c:numRef>
              <c:f>Tc!$B$21:$B$116</c:f>
              <c:numCache>
                <c:formatCode>General</c:formatCode>
                <c:ptCount val="96"/>
                <c:pt idx="0">
                  <c:v>37887.597686501365</c:v>
                </c:pt>
                <c:pt idx="1">
                  <c:v>5300.8191005915069</c:v>
                </c:pt>
                <c:pt idx="2">
                  <c:v>2385.0211514109019</c:v>
                </c:pt>
                <c:pt idx="3">
                  <c:v>1348.4267683156963</c:v>
                </c:pt>
                <c:pt idx="4">
                  <c:v>843.69710046041689</c:v>
                </c:pt>
                <c:pt idx="5">
                  <c:v>559.76102002698576</c:v>
                </c:pt>
                <c:pt idx="6">
                  <c:v>386.58362791028497</c:v>
                </c:pt>
                <c:pt idx="7">
                  <c:v>275.58624726769546</c:v>
                </c:pt>
                <c:pt idx="8">
                  <c:v>202.15379265691067</c:v>
                </c:pt>
                <c:pt idx="9">
                  <c:v>152.587140093427</c:v>
                </c:pt>
                <c:pt idx="10">
                  <c:v>118.73062633755529</c:v>
                </c:pt>
                <c:pt idx="11">
                  <c:v>95.479107774686199</c:v>
                </c:pt>
                <c:pt idx="12">
                  <c:v>79.512659137376616</c:v>
                </c:pt>
                <c:pt idx="13">
                  <c:v>68.607881467236879</c:v>
                </c:pt>
                <c:pt idx="14">
                  <c:v>65.259894926199848</c:v>
                </c:pt>
                <c:pt idx="15">
                  <c:v>62.411869902535251</c:v>
                </c:pt>
                <c:pt idx="16">
                  <c:v>59.996433251859273</c:v>
                </c:pt>
                <c:pt idx="17">
                  <c:v>57.955094840277887</c:v>
                </c:pt>
                <c:pt idx="18">
                  <c:v>56.23698593664583</c:v>
                </c:pt>
                <c:pt idx="19">
                  <c:v>54.797797817839779</c:v>
                </c:pt>
                <c:pt idx="20">
                  <c:v>53.598884962328633</c:v>
                </c:pt>
                <c:pt idx="21">
                  <c:v>52.606504246405969</c:v>
                </c:pt>
                <c:pt idx="22">
                  <c:v>51.791167070845916</c:v>
                </c:pt>
                <c:pt idx="23">
                  <c:v>51.127085692158396</c:v>
                </c:pt>
                <c:pt idx="24">
                  <c:v>50.591698480152154</c:v>
                </c:pt>
                <c:pt idx="25">
                  <c:v>49.702057027211595</c:v>
                </c:pt>
                <c:pt idx="26">
                  <c:v>49.243151696985585</c:v>
                </c:pt>
                <c:pt idx="27">
                  <c:v>49.044830756866652</c:v>
                </c:pt>
                <c:pt idx="28">
                  <c:v>48.985668385598366</c:v>
                </c:pt>
                <c:pt idx="29">
                  <c:v>48.979970784164308</c:v>
                </c:pt>
                <c:pt idx="30">
                  <c:v>48.968339260025132</c:v>
                </c:pt>
                <c:pt idx="31">
                  <c:v>48.910751888851316</c:v>
                </c:pt>
                <c:pt idx="32">
                  <c:v>48.781452086492067</c:v>
                </c:pt>
                <c:pt idx="33">
                  <c:v>48.56514856755939</c:v>
                </c:pt>
                <c:pt idx="34">
                  <c:v>48.254176726280967</c:v>
                </c:pt>
                <c:pt idx="35">
                  <c:v>47.846371099429831</c:v>
                </c:pt>
                <c:pt idx="36">
                  <c:v>47.343467767511832</c:v>
                </c:pt>
                <c:pt idx="37">
                  <c:v>46.749904261761841</c:v>
                </c:pt>
                <c:pt idx="38">
                  <c:v>46.071919257890734</c:v>
                </c:pt>
                <c:pt idx="39">
                  <c:v>45.31687935379221</c:v>
                </c:pt>
                <c:pt idx="40">
                  <c:v>44.492778441644447</c:v>
                </c:pt>
                <c:pt idx="41">
                  <c:v>43.607868569413512</c:v>
                </c:pt>
                <c:pt idx="42">
                  <c:v>42.670391106947029</c:v>
                </c:pt>
                <c:pt idx="43">
                  <c:v>41.688384441563031</c:v>
                </c:pt>
                <c:pt idx="44">
                  <c:v>40.669550001706298</c:v>
                </c:pt>
                <c:pt idx="45">
                  <c:v>39.62116262661138</c:v>
                </c:pt>
                <c:pt idx="46">
                  <c:v>38.55001451241624</c:v>
                </c:pt>
                <c:pt idx="47">
                  <c:v>37.462384423656701</c:v>
                </c:pt>
                <c:pt idx="48">
                  <c:v>36.364025749081684</c:v>
                </c:pt>
                <c:pt idx="49">
                  <c:v>35.260168439499232</c:v>
                </c:pt>
                <c:pt idx="50">
                  <c:v>34.155530995137262</c:v>
                </c:pt>
                <c:pt idx="51">
                  <c:v>33.054339547484744</c:v>
                </c:pt>
                <c:pt idx="52">
                  <c:v>31.960351763672293</c:v>
                </c:pt>
                <c:pt idx="53">
                  <c:v>30.876883834135132</c:v>
                </c:pt>
                <c:pt idx="54">
                  <c:v>29.806839220158437</c:v>
                </c:pt>
                <c:pt idx="55">
                  <c:v>28.752738162713577</c:v>
                </c:pt>
                <c:pt idx="56">
                  <c:v>27.716747207633954</c:v>
                </c:pt>
                <c:pt idx="57">
                  <c:v>26.700708200051285</c:v>
                </c:pt>
                <c:pt idx="58">
                  <c:v>25.706166355092911</c:v>
                </c:pt>
                <c:pt idx="59">
                  <c:v>24.734397131477291</c:v>
                </c:pt>
                <c:pt idx="60">
                  <c:v>23.78643172715876</c:v>
                </c:pt>
                <c:pt idx="61">
                  <c:v>22.863081087315422</c:v>
                </c:pt>
                <c:pt idx="62">
                  <c:v>21.964958369273756</c:v>
                </c:pt>
                <c:pt idx="63">
                  <c:v>21.092499849996472</c:v>
                </c:pt>
                <c:pt idx="64">
                  <c:v>20.245984292352524</c:v>
                </c:pt>
                <c:pt idx="65">
                  <c:v>19.42555080878067</c:v>
                </c:pt>
                <c:pt idx="66">
                  <c:v>18.631215276926643</c:v>
                </c:pt>
                <c:pt idx="67">
                  <c:v>17.862885372789094</c:v>
                </c:pt>
                <c:pt idx="68">
                  <c:v>17.120374293970457</c:v>
                </c:pt>
                <c:pt idx="69">
                  <c:v>16.403413249685329</c:v>
                </c:pt>
                <c:pt idx="70">
                  <c:v>15.711662795936554</c:v>
                </c:pt>
                <c:pt idx="71">
                  <c:v>15.044723094287157</c:v>
                </c:pt>
                <c:pt idx="72">
                  <c:v>14.402143171378052</c:v>
                </c:pt>
                <c:pt idx="73">
                  <c:v>13.783429254116307</c:v>
                </c:pt>
                <c:pt idx="74">
                  <c:v>13.188052252562347</c:v>
                </c:pt>
                <c:pt idx="75">
                  <c:v>12.615454459192451</c:v>
                </c:pt>
                <c:pt idx="76">
                  <c:v>12.065055529573224</c:v>
                </c:pt>
                <c:pt idx="77">
                  <c:v>11.536257805688177</c:v>
                </c:pt>
                <c:pt idx="78">
                  <c:v>11.028451039302329</c:v>
                </c:pt>
                <c:pt idx="79">
                  <c:v>10.541016568914888</c:v>
                </c:pt>
                <c:pt idx="80">
                  <c:v>10.073331000088968</c:v>
                </c:pt>
                <c:pt idx="81">
                  <c:v>9.6247694353019817</c:v>
                </c:pt>
                <c:pt idx="82">
                  <c:v>9.1947082959601669</c:v>
                </c:pt>
                <c:pt idx="83">
                  <c:v>8.7825277758849989</c:v>
                </c:pt>
                <c:pt idx="84">
                  <c:v>8.3876139624204491</c:v>
                </c:pt>
                <c:pt idx="85">
                  <c:v>8.0093606583345895</c:v>
                </c:pt>
                <c:pt idx="86">
                  <c:v>7.6471709348987567</c:v>
                </c:pt>
                <c:pt idx="87">
                  <c:v>7.3004584439213325</c:v>
                </c:pt>
                <c:pt idx="88">
                  <c:v>6.9686485140869259</c:v>
                </c:pt>
                <c:pt idx="89">
                  <c:v>6.6511790547001235</c:v>
                </c:pt>
                <c:pt idx="90">
                  <c:v>6.3475012878485551</c:v>
                </c:pt>
                <c:pt idx="91">
                  <c:v>6.0570803280752488</c:v>
                </c:pt>
                <c:pt idx="92">
                  <c:v>5.7793956268766475</c:v>
                </c:pt>
                <c:pt idx="93">
                  <c:v>5.5139412977113889</c:v>
                </c:pt>
                <c:pt idx="94">
                  <c:v>5.2602263357074692</c:v>
                </c:pt>
                <c:pt idx="95">
                  <c:v>5.0177747448828836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Tc!$B$15</c:f>
              <c:numCache>
                <c:formatCode>0.000</c:formatCode>
                <c:ptCount val="1"/>
                <c:pt idx="0">
                  <c:v>0.35785664620253166</c:v>
                </c:pt>
              </c:numCache>
            </c:numRef>
          </c:xVal>
          <c:yVal>
            <c:numRef>
              <c:f>Tc!$I$3</c:f>
              <c:numCache>
                <c:formatCode>General</c:formatCode>
                <c:ptCount val="1"/>
                <c:pt idx="0">
                  <c:v>48.98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Tc!$B$16</c:f>
              <c:numCache>
                <c:formatCode>0.000</c:formatCode>
                <c:ptCount val="1"/>
                <c:pt idx="0">
                  <c:v>0.35785664620253166</c:v>
                </c:pt>
              </c:numCache>
            </c:numRef>
          </c:xVal>
          <c:yVal>
            <c:numRef>
              <c:f>Tc!$I$3</c:f>
              <c:numCache>
                <c:formatCode>General</c:formatCode>
                <c:ptCount val="1"/>
                <c:pt idx="0">
                  <c:v>48.98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9CC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Tc!$B$18</c:f>
              <c:numCache>
                <c:formatCode>0.000</c:formatCode>
                <c:ptCount val="1"/>
                <c:pt idx="0">
                  <c:v>0.35785664620253166</c:v>
                </c:pt>
              </c:numCache>
            </c:numRef>
          </c:xVal>
          <c:yVal>
            <c:numRef>
              <c:f>Tc!$I$3</c:f>
              <c:numCache>
                <c:formatCode>General</c:formatCode>
                <c:ptCount val="1"/>
                <c:pt idx="0">
                  <c:v>48.98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19136"/>
        <c:axId val="166229888"/>
      </c:scatterChart>
      <c:valAx>
        <c:axId val="166219136"/>
        <c:scaling>
          <c:orientation val="minMax"/>
          <c:max val="0.5"/>
          <c:min val="0.2"/>
        </c:scaling>
        <c:delete val="0"/>
        <c:axPos val="b"/>
        <c:title>
          <c:tx>
            <c:rich>
              <a:bodyPr/>
              <a:lstStyle/>
              <a:p>
                <a:pPr>
                  <a:defRPr sz="1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Volume, V [l/mol]</a:t>
                </a:r>
              </a:p>
            </c:rich>
          </c:tx>
          <c:layout>
            <c:manualLayout>
              <c:xMode val="edge"/>
              <c:yMode val="edge"/>
              <c:x val="0.42113202337507105"/>
              <c:y val="0.92024712170021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229888"/>
        <c:crossesAt val="-1000000"/>
        <c:crossBetween val="midCat"/>
        <c:majorUnit val="0.05"/>
        <c:minorUnit val="0.01"/>
      </c:valAx>
      <c:valAx>
        <c:axId val="166229888"/>
        <c:scaling>
          <c:orientation val="minMax"/>
          <c:max val="48"/>
          <c:min val="46"/>
        </c:scaling>
        <c:delete val="0"/>
        <c:axPos val="l"/>
        <c:title>
          <c:tx>
            <c:rich>
              <a:bodyPr/>
              <a:lstStyle/>
              <a:p>
                <a:pPr>
                  <a:defRPr sz="1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Pressure, P [bar]</a:t>
                </a:r>
              </a:p>
            </c:rich>
          </c:tx>
          <c:layout>
            <c:manualLayout>
              <c:xMode val="edge"/>
              <c:yMode val="edge"/>
              <c:x val="2.0833386315374541E-2"/>
              <c:y val="0.292945333741233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219136"/>
        <c:crossesAt val="0"/>
        <c:crossBetween val="midCat"/>
        <c:majorUnit val="0.2"/>
        <c:min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ZA" sz="1175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T = 1,5 T</a:t>
            </a:r>
            <a:r>
              <a:rPr lang="en-ZA" sz="1175" b="0" i="0" u="none" strike="noStrike" baseline="-25000">
                <a:solidFill>
                  <a:srgbClr val="000000"/>
                </a:solidFill>
                <a:latin typeface="Times New Roman"/>
                <a:cs typeface="Times New Roman"/>
              </a:rPr>
              <a:t>C</a:t>
            </a:r>
            <a:r>
              <a:rPr lang="en-ZA" sz="1175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 isotherm</a:t>
            </a:r>
            <a:endParaRPr lang="en-ZA"/>
          </a:p>
        </c:rich>
      </c:tx>
      <c:layout>
        <c:manualLayout>
          <c:xMode val="edge"/>
          <c:yMode val="edge"/>
          <c:x val="0.48316518175126172"/>
          <c:y val="0.1016396696966883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232332781071119"/>
          <c:y val="4.7541135825870343E-2"/>
          <c:w val="0.71548850956197285"/>
          <c:h val="0.7655762217476361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333399"/>
              </a:solidFill>
              <a:prstDash val="solid"/>
            </a:ln>
          </c:spPr>
          <c:marker>
            <c:symbol val="none"/>
          </c:marker>
          <c:xVal>
            <c:numRef>
              <c:f>'1.5 Tc'!$A$21:$A$141</c:f>
              <c:numCache>
                <c:formatCode>General</c:formatCode>
                <c:ptCount val="121"/>
                <c:pt idx="0">
                  <c:v>0.02</c:v>
                </c:pt>
                <c:pt idx="1">
                  <c:v>2.2000000000000002E-2</c:v>
                </c:pt>
                <c:pt idx="2">
                  <c:v>2.4200000000000003E-2</c:v>
                </c:pt>
                <c:pt idx="3">
                  <c:v>2.6620000000000005E-2</c:v>
                </c:pt>
                <c:pt idx="4">
                  <c:v>2.9282000000000006E-2</c:v>
                </c:pt>
                <c:pt idx="5">
                  <c:v>3.2210200000000008E-2</c:v>
                </c:pt>
                <c:pt idx="6">
                  <c:v>3.5431220000000013E-2</c:v>
                </c:pt>
                <c:pt idx="7">
                  <c:v>3.8974342000000016E-2</c:v>
                </c:pt>
                <c:pt idx="8">
                  <c:v>4.2871776200000024E-2</c:v>
                </c:pt>
                <c:pt idx="9">
                  <c:v>4.715895382000003E-2</c:v>
                </c:pt>
                <c:pt idx="10">
                  <c:v>5.1874849202000035E-2</c:v>
                </c:pt>
                <c:pt idx="11">
                  <c:v>5.7062334122200041E-2</c:v>
                </c:pt>
                <c:pt idx="12">
                  <c:v>6.2768567534420047E-2</c:v>
                </c:pt>
                <c:pt idx="13">
                  <c:v>6.9045424287862062E-2</c:v>
                </c:pt>
                <c:pt idx="14">
                  <c:v>7.5949966716648276E-2</c:v>
                </c:pt>
                <c:pt idx="15">
                  <c:v>8.3544963388313104E-2</c:v>
                </c:pt>
                <c:pt idx="16">
                  <c:v>9.1899459727144417E-2</c:v>
                </c:pt>
                <c:pt idx="17">
                  <c:v>0.10108940569985887</c:v>
                </c:pt>
                <c:pt idx="18">
                  <c:v>0.11119834626984477</c:v>
                </c:pt>
                <c:pt idx="19">
                  <c:v>0.12231818089682926</c:v>
                </c:pt>
                <c:pt idx="20">
                  <c:v>0.13454999898651221</c:v>
                </c:pt>
                <c:pt idx="21">
                  <c:v>0.14800499888516344</c:v>
                </c:pt>
                <c:pt idx="22">
                  <c:v>0.16280549877367981</c:v>
                </c:pt>
                <c:pt idx="23">
                  <c:v>0.1790860486510478</c:v>
                </c:pt>
                <c:pt idx="24">
                  <c:v>0.19699465351615258</c:v>
                </c:pt>
                <c:pt idx="25">
                  <c:v>0.21669411886776785</c:v>
                </c:pt>
                <c:pt idx="26">
                  <c:v>0.23836353075454464</c:v>
                </c:pt>
                <c:pt idx="27">
                  <c:v>0.26219988382999915</c:v>
                </c:pt>
                <c:pt idx="28">
                  <c:v>0.28841987221299908</c:v>
                </c:pt>
                <c:pt idx="29">
                  <c:v>0.31726185943429902</c:v>
                </c:pt>
                <c:pt idx="30">
                  <c:v>0.34898804537772893</c:v>
                </c:pt>
                <c:pt idx="31">
                  <c:v>0.38388684991550187</c:v>
                </c:pt>
                <c:pt idx="32">
                  <c:v>0.42227553490705211</c:v>
                </c:pt>
                <c:pt idx="33">
                  <c:v>0.46450308839775734</c:v>
                </c:pt>
                <c:pt idx="34">
                  <c:v>0.51095339723753308</c:v>
                </c:pt>
                <c:pt idx="35">
                  <c:v>0.56204873696128643</c:v>
                </c:pt>
                <c:pt idx="36">
                  <c:v>0.61825361065741513</c:v>
                </c:pt>
                <c:pt idx="37">
                  <c:v>0.68007897172315668</c:v>
                </c:pt>
                <c:pt idx="38">
                  <c:v>0.74808686889547238</c:v>
                </c:pt>
                <c:pt idx="39">
                  <c:v>0.82289555578501972</c:v>
                </c:pt>
                <c:pt idx="40">
                  <c:v>0.90518511136352175</c:v>
                </c:pt>
                <c:pt idx="41">
                  <c:v>0.99570362249987399</c:v>
                </c:pt>
                <c:pt idx="42">
                  <c:v>1.0952739847498614</c:v>
                </c:pt>
                <c:pt idx="43">
                  <c:v>1.2048013832248476</c:v>
                </c:pt>
                <c:pt idx="44">
                  <c:v>1.3252815215473326</c:v>
                </c:pt>
                <c:pt idx="45">
                  <c:v>1.457809673702066</c:v>
                </c:pt>
                <c:pt idx="46">
                  <c:v>1.6035906410722727</c:v>
                </c:pt>
                <c:pt idx="47">
                  <c:v>1.7639497051795001</c:v>
                </c:pt>
                <c:pt idx="48">
                  <c:v>1.9403446756974503</c:v>
                </c:pt>
                <c:pt idx="49">
                  <c:v>2.1343791432671955</c:v>
                </c:pt>
                <c:pt idx="50">
                  <c:v>2.347817057593915</c:v>
                </c:pt>
                <c:pt idx="51">
                  <c:v>2.5825987633533067</c:v>
                </c:pt>
                <c:pt idx="52">
                  <c:v>2.8408586396886375</c:v>
                </c:pt>
                <c:pt idx="53">
                  <c:v>3.1249445036575016</c:v>
                </c:pt>
                <c:pt idx="54">
                  <c:v>3.4374389540232522</c:v>
                </c:pt>
                <c:pt idx="55">
                  <c:v>3.7811828494255777</c:v>
                </c:pt>
                <c:pt idx="56">
                  <c:v>4.1593011343681354</c:v>
                </c:pt>
                <c:pt idx="57">
                  <c:v>4.5752312478049495</c:v>
                </c:pt>
                <c:pt idx="58">
                  <c:v>5.0327543725854449</c:v>
                </c:pt>
                <c:pt idx="59">
                  <c:v>5.5360298098439902</c:v>
                </c:pt>
                <c:pt idx="60">
                  <c:v>6.0896327908283894</c:v>
                </c:pt>
                <c:pt idx="61">
                  <c:v>6.698596069911229</c:v>
                </c:pt>
                <c:pt idx="62">
                  <c:v>7.3684556769023528</c:v>
                </c:pt>
                <c:pt idx="63">
                  <c:v>8.1053012445925887</c:v>
                </c:pt>
                <c:pt idx="64">
                  <c:v>8.9158313690518476</c:v>
                </c:pt>
                <c:pt idx="65">
                  <c:v>9.8074145059570323</c:v>
                </c:pt>
                <c:pt idx="66">
                  <c:v>10.788155956552737</c:v>
                </c:pt>
                <c:pt idx="67">
                  <c:v>11.866971552208012</c:v>
                </c:pt>
                <c:pt idx="68">
                  <c:v>13.053668707428814</c:v>
                </c:pt>
                <c:pt idx="69">
                  <c:v>14.359035578171698</c:v>
                </c:pt>
                <c:pt idx="70">
                  <c:v>15.794939135988869</c:v>
                </c:pt>
                <c:pt idx="71">
                  <c:v>17.374433049587758</c:v>
                </c:pt>
                <c:pt idx="72">
                  <c:v>19.111876354546535</c:v>
                </c:pt>
                <c:pt idx="73">
                  <c:v>21.023063990001191</c:v>
                </c:pt>
                <c:pt idx="74">
                  <c:v>23.125370389001311</c:v>
                </c:pt>
                <c:pt idx="75">
                  <c:v>25.437907427901443</c:v>
                </c:pt>
                <c:pt idx="76">
                  <c:v>27.98169817069159</c:v>
                </c:pt>
                <c:pt idx="77">
                  <c:v>30.779867987760753</c:v>
                </c:pt>
                <c:pt idx="78">
                  <c:v>33.857854786536834</c:v>
                </c:pt>
                <c:pt idx="79">
                  <c:v>37.243640265190521</c:v>
                </c:pt>
                <c:pt idx="80">
                  <c:v>40.968004291709576</c:v>
                </c:pt>
                <c:pt idx="81">
                  <c:v>45.064804720880538</c:v>
                </c:pt>
                <c:pt idx="82">
                  <c:v>49.571285192968595</c:v>
                </c:pt>
                <c:pt idx="83">
                  <c:v>54.528413712265461</c:v>
                </c:pt>
                <c:pt idx="84">
                  <c:v>59.981255083492009</c:v>
                </c:pt>
                <c:pt idx="85">
                  <c:v>65.97938059184122</c:v>
                </c:pt>
                <c:pt idx="86">
                  <c:v>72.577318651025351</c:v>
                </c:pt>
                <c:pt idx="87">
                  <c:v>79.835050516127893</c:v>
                </c:pt>
                <c:pt idx="88">
                  <c:v>87.818555567740688</c:v>
                </c:pt>
                <c:pt idx="89">
                  <c:v>96.600411124514764</c:v>
                </c:pt>
                <c:pt idx="90">
                  <c:v>106.26045223696624</c:v>
                </c:pt>
                <c:pt idx="91">
                  <c:v>116.88649746066288</c:v>
                </c:pt>
                <c:pt idx="92">
                  <c:v>128.57514720672918</c:v>
                </c:pt>
                <c:pt idx="93">
                  <c:v>141.43266192740211</c:v>
                </c:pt>
                <c:pt idx="94">
                  <c:v>155.57592812014232</c:v>
                </c:pt>
                <c:pt idx="95">
                  <c:v>171.13352093215656</c:v>
                </c:pt>
                <c:pt idx="96">
                  <c:v>188.24687302537222</c:v>
                </c:pt>
                <c:pt idx="97">
                  <c:v>207.07156032790945</c:v>
                </c:pt>
                <c:pt idx="98">
                  <c:v>227.77871636070043</c:v>
                </c:pt>
                <c:pt idx="99">
                  <c:v>250.5565879967705</c:v>
                </c:pt>
                <c:pt idx="100">
                  <c:v>275.61224679644755</c:v>
                </c:pt>
                <c:pt idx="101">
                  <c:v>303.17347147609235</c:v>
                </c:pt>
                <c:pt idx="102">
                  <c:v>333.49081862370161</c:v>
                </c:pt>
                <c:pt idx="103">
                  <c:v>366.83990048607183</c:v>
                </c:pt>
                <c:pt idx="104">
                  <c:v>403.52389053467903</c:v>
                </c:pt>
                <c:pt idx="105">
                  <c:v>443.87627958814699</c:v>
                </c:pt>
                <c:pt idx="106">
                  <c:v>488.26390754696172</c:v>
                </c:pt>
                <c:pt idx="107">
                  <c:v>537.09029830165798</c:v>
                </c:pt>
                <c:pt idx="108">
                  <c:v>590.79932813182381</c:v>
                </c:pt>
                <c:pt idx="109">
                  <c:v>649.87926094500619</c:v>
                </c:pt>
                <c:pt idx="110">
                  <c:v>714.86718703950692</c:v>
                </c:pt>
                <c:pt idx="111">
                  <c:v>786.35390574345763</c:v>
                </c:pt>
                <c:pt idx="112">
                  <c:v>864.98929631780345</c:v>
                </c:pt>
                <c:pt idx="113">
                  <c:v>951.48822594958392</c:v>
                </c:pt>
                <c:pt idx="114">
                  <c:v>1046.6370485445425</c:v>
                </c:pt>
                <c:pt idx="115">
                  <c:v>1151.3007533989969</c:v>
                </c:pt>
              </c:numCache>
            </c:numRef>
          </c:xVal>
          <c:yVal>
            <c:numRef>
              <c:f>'1.5 Tc'!$B$21:$B$141</c:f>
              <c:numCache>
                <c:formatCode>General</c:formatCode>
                <c:ptCount val="121"/>
                <c:pt idx="0">
                  <c:v>-1524.350400608465</c:v>
                </c:pt>
                <c:pt idx="1">
                  <c:v>-1512.7308496156561</c:v>
                </c:pt>
                <c:pt idx="2">
                  <c:v>-1502.0754539609979</c:v>
                </c:pt>
                <c:pt idx="3">
                  <c:v>-1492.8713472831132</c:v>
                </c:pt>
                <c:pt idx="4">
                  <c:v>-1485.7399210904246</c:v>
                </c:pt>
                <c:pt idx="5">
                  <c:v>-1481.4791309822717</c:v>
                </c:pt>
                <c:pt idx="6">
                  <c:v>-1481.1249364311818</c:v>
                </c:pt>
                <c:pt idx="7">
                  <c:v>-1486.0435227546761</c:v>
                </c:pt>
                <c:pt idx="8">
                  <c:v>-1498.0747186074213</c:v>
                </c:pt>
                <c:pt idx="9">
                  <c:v>-1519.763878446284</c:v>
                </c:pt>
                <c:pt idx="10">
                  <c:v>-1554.7536973375295</c:v>
                </c:pt>
                <c:pt idx="11">
                  <c:v>-1608.4813679475615</c:v>
                </c:pt>
                <c:pt idx="12">
                  <c:v>-1689.4991622877767</c:v>
                </c:pt>
                <c:pt idx="13">
                  <c:v>-1812.1800204094789</c:v>
                </c:pt>
                <c:pt idx="14">
                  <c:v>-2002.8558279960562</c:v>
                </c:pt>
                <c:pt idx="15">
                  <c:v>-2315.8197714423768</c:v>
                </c:pt>
                <c:pt idx="16">
                  <c:v>-2884.424720909572</c:v>
                </c:pt>
                <c:pt idx="17">
                  <c:v>-4148.7451984217123</c:v>
                </c:pt>
                <c:pt idx="18">
                  <c:v>-8937.7238263663403</c:v>
                </c:pt>
                <c:pt idx="19">
                  <c:v>22876.555791478324</c:v>
                </c:pt>
                <c:pt idx="20">
                  <c:v>4375.1122590528284</c:v>
                </c:pt>
                <c:pt idx="21">
                  <c:v>2246.065655215702</c:v>
                </c:pt>
                <c:pt idx="22">
                  <c:v>1437.0253235590797</c:v>
                </c:pt>
                <c:pt idx="23">
                  <c:v>1017.9874514607762</c:v>
                </c:pt>
                <c:pt idx="24">
                  <c:v>765.72877032026747</c:v>
                </c:pt>
                <c:pt idx="25">
                  <c:v>599.60930852299032</c:v>
                </c:pt>
                <c:pt idx="26">
                  <c:v>483.43261718629793</c:v>
                </c:pt>
                <c:pt idx="27">
                  <c:v>398.56219306283293</c:v>
                </c:pt>
                <c:pt idx="28">
                  <c:v>334.44849216540041</c:v>
                </c:pt>
                <c:pt idx="29">
                  <c:v>284.69198343453525</c:v>
                </c:pt>
                <c:pt idx="30">
                  <c:v>245.20185182581855</c:v>
                </c:pt>
                <c:pt idx="31">
                  <c:v>213.25434577382021</c:v>
                </c:pt>
                <c:pt idx="32">
                  <c:v>186.97618012325773</c:v>
                </c:pt>
                <c:pt idx="33">
                  <c:v>165.04459994339734</c:v>
                </c:pt>
                <c:pt idx="34">
                  <c:v>146.50493007985403</c:v>
                </c:pt>
                <c:pt idx="35">
                  <c:v>130.65520363441613</c:v>
                </c:pt>
                <c:pt idx="36">
                  <c:v>116.97080008819421</c:v>
                </c:pt>
                <c:pt idx="37">
                  <c:v>105.05385789253465</c:v>
                </c:pt>
                <c:pt idx="38">
                  <c:v>94.598530994879809</c:v>
                </c:pt>
                <c:pt idx="39">
                  <c:v>85.366664384990344</c:v>
                </c:pt>
                <c:pt idx="40">
                  <c:v>77.170487743139802</c:v>
                </c:pt>
                <c:pt idx="41">
                  <c:v>69.860134691093904</c:v>
                </c:pt>
                <c:pt idx="42">
                  <c:v>63.314538747908244</c:v>
                </c:pt>
                <c:pt idx="43">
                  <c:v>57.434727368116882</c:v>
                </c:pt>
                <c:pt idx="44">
                  <c:v>52.138840347243615</c:v>
                </c:pt>
                <c:pt idx="45">
                  <c:v>47.358401076283208</c:v>
                </c:pt>
                <c:pt idx="46">
                  <c:v>43.035505959818785</c:v>
                </c:pt>
                <c:pt idx="47">
                  <c:v>39.120691599307413</c:v>
                </c:pt>
                <c:pt idx="48">
                  <c:v>35.571305351523364</c:v>
                </c:pt>
                <c:pt idx="49">
                  <c:v>32.350251721573237</c:v>
                </c:pt>
                <c:pt idx="50">
                  <c:v>29.425020691375018</c:v>
                </c:pt>
                <c:pt idx="51">
                  <c:v>26.766928478448257</c:v>
                </c:pt>
                <c:pt idx="52">
                  <c:v>24.350519050693649</c:v>
                </c:pt>
                <c:pt idx="53">
                  <c:v>22.153087841054102</c:v>
                </c:pt>
                <c:pt idx="54">
                  <c:v>20.154298806874987</c:v>
                </c:pt>
                <c:pt idx="55">
                  <c:v>18.335873181532534</c:v>
                </c:pt>
                <c:pt idx="56">
                  <c:v>16.681333630388188</c:v>
                </c:pt>
                <c:pt idx="57">
                  <c:v>15.175791527934569</c:v>
                </c:pt>
                <c:pt idx="58">
                  <c:v>13.805768068109341</c:v>
                </c:pt>
                <c:pt idx="59">
                  <c:v>12.559042162838518</c:v>
                </c:pt>
                <c:pt idx="60">
                  <c:v>11.424519765655848</c:v>
                </c:pt>
                <c:pt idx="61">
                  <c:v>10.392120519479834</c:v>
                </c:pt>
                <c:pt idx="62">
                  <c:v>9.4526785759840557</c:v>
                </c:pt>
                <c:pt idx="63">
                  <c:v>8.5978551474097067</c:v>
                </c:pt>
                <c:pt idx="64">
                  <c:v>7.8200608891941306</c:v>
                </c:pt>
                <c:pt idx="65">
                  <c:v>7.1123866176340345</c:v>
                </c:pt>
                <c:pt idx="66">
                  <c:v>6.4685411740716576</c:v>
                </c:pt>
                <c:pt idx="67">
                  <c:v>5.8827954805723106</c:v>
                </c:pt>
                <c:pt idx="68">
                  <c:v>5.3499320103024619</c:v>
                </c:pt>
                <c:pt idx="69">
                  <c:v>4.8651990326920771</c:v>
                </c:pt>
                <c:pt idx="70">
                  <c:v>4.4242690993406448</c:v>
                </c:pt>
                <c:pt idx="71">
                  <c:v>4.0232013192433564</c:v>
                </c:pt>
                <c:pt idx="72">
                  <c:v>3.6584070370461448</c:v>
                </c:pt>
                <c:pt idx="73">
                  <c:v>3.3266185799881769</c:v>
                </c:pt>
                <c:pt idx="74">
                  <c:v>3.0248607811627046</c:v>
                </c:pt>
                <c:pt idx="75">
                  <c:v>2.7504250211068837</c:v>
                </c:pt>
                <c:pt idx="76">
                  <c:v>2.5008455582935984</c:v>
                </c:pt>
                <c:pt idx="77">
                  <c:v>2.2738779431650893</c:v>
                </c:pt>
                <c:pt idx="78">
                  <c:v>2.0674793309043351</c:v>
                </c:pt>
                <c:pt idx="79">
                  <c:v>1.8797905259213501</c:v>
                </c:pt>
                <c:pt idx="80">
                  <c:v>1.7091196065887484</c:v>
                </c:pt>
                <c:pt idx="81">
                  <c:v>1.5539269925088517</c:v>
                </c:pt>
                <c:pt idx="82">
                  <c:v>1.4128118288471732</c:v>
                </c:pt>
                <c:pt idx="83">
                  <c:v>1.2844995732640561</c:v>
                </c:pt>
                <c:pt idx="84">
                  <c:v>1.1678306809025534</c:v>
                </c:pt>
                <c:pt idx="85">
                  <c:v>1.0617502918907895</c:v>
                </c:pt>
                <c:pt idx="86">
                  <c:v>0.96529883400577976</c:v>
                </c:pt>
                <c:pt idx="87">
                  <c:v>0.87760346061537897</c:v>
                </c:pt>
                <c:pt idx="88">
                  <c:v>0.79787025084171137</c:v>
                </c:pt>
                <c:pt idx="89">
                  <c:v>0.72537710513655129</c:v>
                </c:pt>
                <c:pt idx="90">
                  <c:v>0.65946727518079618</c:v>
                </c:pt>
                <c:pt idx="91">
                  <c:v>0.59954347226318205</c:v>
                </c:pt>
                <c:pt idx="92">
                  <c:v>0.54506250309893722</c:v>
                </c:pt>
                <c:pt idx="93">
                  <c:v>0.49553038645370717</c:v>
                </c:pt>
                <c:pt idx="94">
                  <c:v>0.45049790797481726</c:v>
                </c:pt>
                <c:pt idx="95">
                  <c:v>0.40955657433059783</c:v>
                </c:pt>
                <c:pt idx="96">
                  <c:v>0.37233493114637028</c:v>
                </c:pt>
                <c:pt idx="97">
                  <c:v>0.33849521232778834</c:v>
                </c:pt>
                <c:pt idx="98">
                  <c:v>0.30773029120154061</c:v>
                </c:pt>
                <c:pt idx="99">
                  <c:v>0.27976090650117785</c:v>
                </c:pt>
                <c:pt idx="100">
                  <c:v>0.25433313860160295</c:v>
                </c:pt>
                <c:pt idx="101">
                  <c:v>0.23121611357765434</c:v>
                </c:pt>
                <c:pt idx="102">
                  <c:v>0.21019991464694329</c:v>
                </c:pt>
                <c:pt idx="103">
                  <c:v>0.19109368237010296</c:v>
                </c:pt>
                <c:pt idx="104">
                  <c:v>0.17372388663715532</c:v>
                </c:pt>
                <c:pt idx="105">
                  <c:v>0.15793275497992998</c:v>
                </c:pt>
                <c:pt idx="106">
                  <c:v>0.14357684312953764</c:v>
                </c:pt>
                <c:pt idx="107">
                  <c:v>0.1305257349959677</c:v>
                </c:pt>
                <c:pt idx="108">
                  <c:v>0.11866086039424854</c:v>
                </c:pt>
                <c:pt idx="109">
                  <c:v>0.10787441988773898</c:v>
                </c:pt>
                <c:pt idx="110">
                  <c:v>9.8068407072713193E-2</c:v>
                </c:pt>
                <c:pt idx="111">
                  <c:v>8.9153719497446299E-2</c:v>
                </c:pt>
                <c:pt idx="112">
                  <c:v>8.1049350200834383E-2</c:v>
                </c:pt>
                <c:pt idx="113">
                  <c:v>7.3681652576915599E-2</c:v>
                </c:pt>
                <c:pt idx="114">
                  <c:v>6.698367192865283E-2</c:v>
                </c:pt>
                <c:pt idx="115">
                  <c:v>6.0894537672639401E-2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'1.5 Tc'!$B$16:$B$17</c:f>
              <c:numCache>
                <c:formatCode>0.000</c:formatCode>
                <c:ptCount val="2"/>
                <c:pt idx="0">
                  <c:v>0</c:v>
                </c:pt>
              </c:numCache>
            </c:numRef>
          </c:xVal>
          <c:yVal>
            <c:numRef>
              <c:f>'1.5 Tc'!$F$20:$F$21</c:f>
              <c:numCache>
                <c:formatCode>General</c:formatCode>
                <c:ptCount val="2"/>
              </c:numCache>
            </c:numRef>
          </c:y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'1.5 Tc'!$A$21:$A$136</c:f>
              <c:numCache>
                <c:formatCode>General</c:formatCode>
                <c:ptCount val="116"/>
                <c:pt idx="0">
                  <c:v>0.02</c:v>
                </c:pt>
                <c:pt idx="1">
                  <c:v>2.2000000000000002E-2</c:v>
                </c:pt>
                <c:pt idx="2">
                  <c:v>2.4200000000000003E-2</c:v>
                </c:pt>
                <c:pt idx="3">
                  <c:v>2.6620000000000005E-2</c:v>
                </c:pt>
                <c:pt idx="4">
                  <c:v>2.9282000000000006E-2</c:v>
                </c:pt>
                <c:pt idx="5">
                  <c:v>3.2210200000000008E-2</c:v>
                </c:pt>
                <c:pt idx="6">
                  <c:v>3.5431220000000013E-2</c:v>
                </c:pt>
                <c:pt idx="7">
                  <c:v>3.8974342000000016E-2</c:v>
                </c:pt>
                <c:pt idx="8">
                  <c:v>4.2871776200000024E-2</c:v>
                </c:pt>
                <c:pt idx="9">
                  <c:v>4.715895382000003E-2</c:v>
                </c:pt>
                <c:pt idx="10">
                  <c:v>5.1874849202000035E-2</c:v>
                </c:pt>
                <c:pt idx="11">
                  <c:v>5.7062334122200041E-2</c:v>
                </c:pt>
                <c:pt idx="12">
                  <c:v>6.2768567534420047E-2</c:v>
                </c:pt>
                <c:pt idx="13">
                  <c:v>6.9045424287862062E-2</c:v>
                </c:pt>
                <c:pt idx="14">
                  <c:v>7.5949966716648276E-2</c:v>
                </c:pt>
                <c:pt idx="15">
                  <c:v>8.3544963388313104E-2</c:v>
                </c:pt>
                <c:pt idx="16">
                  <c:v>9.1899459727144417E-2</c:v>
                </c:pt>
                <c:pt idx="17">
                  <c:v>0.10108940569985887</c:v>
                </c:pt>
                <c:pt idx="18">
                  <c:v>0.11119834626984477</c:v>
                </c:pt>
                <c:pt idx="19">
                  <c:v>0.12231818089682926</c:v>
                </c:pt>
                <c:pt idx="20">
                  <c:v>0.13454999898651221</c:v>
                </c:pt>
                <c:pt idx="21">
                  <c:v>0.14800499888516344</c:v>
                </c:pt>
                <c:pt idx="22">
                  <c:v>0.16280549877367981</c:v>
                </c:pt>
                <c:pt idx="23">
                  <c:v>0.1790860486510478</c:v>
                </c:pt>
                <c:pt idx="24">
                  <c:v>0.19699465351615258</c:v>
                </c:pt>
                <c:pt idx="25">
                  <c:v>0.21669411886776785</c:v>
                </c:pt>
                <c:pt idx="26">
                  <c:v>0.23836353075454464</c:v>
                </c:pt>
                <c:pt idx="27">
                  <c:v>0.26219988382999915</c:v>
                </c:pt>
                <c:pt idx="28">
                  <c:v>0.28841987221299908</c:v>
                </c:pt>
                <c:pt idx="29">
                  <c:v>0.31726185943429902</c:v>
                </c:pt>
                <c:pt idx="30">
                  <c:v>0.34898804537772893</c:v>
                </c:pt>
                <c:pt idx="31">
                  <c:v>0.38388684991550187</c:v>
                </c:pt>
                <c:pt idx="32">
                  <c:v>0.42227553490705211</c:v>
                </c:pt>
                <c:pt idx="33">
                  <c:v>0.46450308839775734</c:v>
                </c:pt>
                <c:pt idx="34">
                  <c:v>0.51095339723753308</c:v>
                </c:pt>
                <c:pt idx="35">
                  <c:v>0.56204873696128643</c:v>
                </c:pt>
                <c:pt idx="36">
                  <c:v>0.61825361065741513</c:v>
                </c:pt>
                <c:pt idx="37">
                  <c:v>0.68007897172315668</c:v>
                </c:pt>
                <c:pt idx="38">
                  <c:v>0.74808686889547238</c:v>
                </c:pt>
                <c:pt idx="39">
                  <c:v>0.82289555578501972</c:v>
                </c:pt>
                <c:pt idx="40">
                  <c:v>0.90518511136352175</c:v>
                </c:pt>
                <c:pt idx="41">
                  <c:v>0.99570362249987399</c:v>
                </c:pt>
                <c:pt idx="42">
                  <c:v>1.0952739847498614</c:v>
                </c:pt>
                <c:pt idx="43">
                  <c:v>1.2048013832248476</c:v>
                </c:pt>
                <c:pt idx="44">
                  <c:v>1.3252815215473326</c:v>
                </c:pt>
                <c:pt idx="45">
                  <c:v>1.457809673702066</c:v>
                </c:pt>
                <c:pt idx="46">
                  <c:v>1.6035906410722727</c:v>
                </c:pt>
                <c:pt idx="47">
                  <c:v>1.7639497051795001</c:v>
                </c:pt>
                <c:pt idx="48">
                  <c:v>1.9403446756974503</c:v>
                </c:pt>
                <c:pt idx="49">
                  <c:v>2.1343791432671955</c:v>
                </c:pt>
                <c:pt idx="50">
                  <c:v>2.347817057593915</c:v>
                </c:pt>
                <c:pt idx="51">
                  <c:v>2.5825987633533067</c:v>
                </c:pt>
                <c:pt idx="52">
                  <c:v>2.8408586396886375</c:v>
                </c:pt>
                <c:pt idx="53">
                  <c:v>3.1249445036575016</c:v>
                </c:pt>
                <c:pt idx="54">
                  <c:v>3.4374389540232522</c:v>
                </c:pt>
                <c:pt idx="55">
                  <c:v>3.7811828494255777</c:v>
                </c:pt>
                <c:pt idx="56">
                  <c:v>4.1593011343681354</c:v>
                </c:pt>
                <c:pt idx="57">
                  <c:v>4.5752312478049495</c:v>
                </c:pt>
                <c:pt idx="58">
                  <c:v>5.0327543725854449</c:v>
                </c:pt>
                <c:pt idx="59">
                  <c:v>5.5360298098439902</c:v>
                </c:pt>
                <c:pt idx="60">
                  <c:v>6.0896327908283894</c:v>
                </c:pt>
                <c:pt idx="61">
                  <c:v>6.698596069911229</c:v>
                </c:pt>
                <c:pt idx="62">
                  <c:v>7.3684556769023528</c:v>
                </c:pt>
                <c:pt idx="63">
                  <c:v>8.1053012445925887</c:v>
                </c:pt>
                <c:pt idx="64">
                  <c:v>8.9158313690518476</c:v>
                </c:pt>
                <c:pt idx="65">
                  <c:v>9.8074145059570323</c:v>
                </c:pt>
                <c:pt idx="66">
                  <c:v>10.788155956552737</c:v>
                </c:pt>
                <c:pt idx="67">
                  <c:v>11.866971552208012</c:v>
                </c:pt>
                <c:pt idx="68">
                  <c:v>13.053668707428814</c:v>
                </c:pt>
                <c:pt idx="69">
                  <c:v>14.359035578171698</c:v>
                </c:pt>
                <c:pt idx="70">
                  <c:v>15.794939135988869</c:v>
                </c:pt>
                <c:pt idx="71">
                  <c:v>17.374433049587758</c:v>
                </c:pt>
                <c:pt idx="72">
                  <c:v>19.111876354546535</c:v>
                </c:pt>
                <c:pt idx="73">
                  <c:v>21.023063990001191</c:v>
                </c:pt>
                <c:pt idx="74">
                  <c:v>23.125370389001311</c:v>
                </c:pt>
                <c:pt idx="75">
                  <c:v>25.437907427901443</c:v>
                </c:pt>
                <c:pt idx="76">
                  <c:v>27.98169817069159</c:v>
                </c:pt>
                <c:pt idx="77">
                  <c:v>30.779867987760753</c:v>
                </c:pt>
                <c:pt idx="78">
                  <c:v>33.857854786536834</c:v>
                </c:pt>
                <c:pt idx="79">
                  <c:v>37.243640265190521</c:v>
                </c:pt>
                <c:pt idx="80">
                  <c:v>40.968004291709576</c:v>
                </c:pt>
                <c:pt idx="81">
                  <c:v>45.064804720880538</c:v>
                </c:pt>
                <c:pt idx="82">
                  <c:v>49.571285192968595</c:v>
                </c:pt>
                <c:pt idx="83">
                  <c:v>54.528413712265461</c:v>
                </c:pt>
                <c:pt idx="84">
                  <c:v>59.981255083492009</c:v>
                </c:pt>
                <c:pt idx="85">
                  <c:v>65.97938059184122</c:v>
                </c:pt>
                <c:pt idx="86">
                  <c:v>72.577318651025351</c:v>
                </c:pt>
                <c:pt idx="87">
                  <c:v>79.835050516127893</c:v>
                </c:pt>
                <c:pt idx="88">
                  <c:v>87.818555567740688</c:v>
                </c:pt>
                <c:pt idx="89">
                  <c:v>96.600411124514764</c:v>
                </c:pt>
                <c:pt idx="90">
                  <c:v>106.26045223696624</c:v>
                </c:pt>
                <c:pt idx="91">
                  <c:v>116.88649746066288</c:v>
                </c:pt>
                <c:pt idx="92">
                  <c:v>128.57514720672918</c:v>
                </c:pt>
                <c:pt idx="93">
                  <c:v>141.43266192740211</c:v>
                </c:pt>
                <c:pt idx="94">
                  <c:v>155.57592812014232</c:v>
                </c:pt>
                <c:pt idx="95">
                  <c:v>171.13352093215656</c:v>
                </c:pt>
                <c:pt idx="96">
                  <c:v>188.24687302537222</c:v>
                </c:pt>
                <c:pt idx="97">
                  <c:v>207.07156032790945</c:v>
                </c:pt>
                <c:pt idx="98">
                  <c:v>227.77871636070043</c:v>
                </c:pt>
                <c:pt idx="99">
                  <c:v>250.5565879967705</c:v>
                </c:pt>
                <c:pt idx="100">
                  <c:v>275.61224679644755</c:v>
                </c:pt>
                <c:pt idx="101">
                  <c:v>303.17347147609235</c:v>
                </c:pt>
                <c:pt idx="102">
                  <c:v>333.49081862370161</c:v>
                </c:pt>
                <c:pt idx="103">
                  <c:v>366.83990048607183</c:v>
                </c:pt>
                <c:pt idx="104">
                  <c:v>403.52389053467903</c:v>
                </c:pt>
                <c:pt idx="105">
                  <c:v>443.87627958814699</c:v>
                </c:pt>
                <c:pt idx="106">
                  <c:v>488.26390754696172</c:v>
                </c:pt>
                <c:pt idx="107">
                  <c:v>537.09029830165798</c:v>
                </c:pt>
                <c:pt idx="108">
                  <c:v>590.79932813182381</c:v>
                </c:pt>
                <c:pt idx="109">
                  <c:v>649.87926094500619</c:v>
                </c:pt>
                <c:pt idx="110">
                  <c:v>714.86718703950692</c:v>
                </c:pt>
                <c:pt idx="111">
                  <c:v>786.35390574345763</c:v>
                </c:pt>
                <c:pt idx="112">
                  <c:v>864.98929631780345</c:v>
                </c:pt>
                <c:pt idx="113">
                  <c:v>951.48822594958392</c:v>
                </c:pt>
                <c:pt idx="114">
                  <c:v>1046.6370485445425</c:v>
                </c:pt>
                <c:pt idx="115">
                  <c:v>1151.3007533989969</c:v>
                </c:pt>
              </c:numCache>
            </c:numRef>
          </c:xVal>
          <c:yVal>
            <c:numRef>
              <c:f>'1.5 Tc'!$C$21:$C$136</c:f>
              <c:numCache>
                <c:formatCode>General</c:formatCode>
                <c:ptCount val="116"/>
                <c:pt idx="0">
                  <c:v>3505.5637062000001</c:v>
                </c:pt>
                <c:pt idx="1">
                  <c:v>3186.8760965454544</c:v>
                </c:pt>
                <c:pt idx="2">
                  <c:v>2897.1600877685951</c:v>
                </c:pt>
                <c:pt idx="3">
                  <c:v>2633.7818979714498</c:v>
                </c:pt>
                <c:pt idx="4">
                  <c:v>2394.347179974045</c:v>
                </c:pt>
                <c:pt idx="5">
                  <c:v>2176.6792545218591</c:v>
                </c:pt>
                <c:pt idx="6">
                  <c:v>1978.7993222925988</c:v>
                </c:pt>
                <c:pt idx="7">
                  <c:v>1798.9084748114535</c:v>
                </c:pt>
                <c:pt idx="8">
                  <c:v>1635.3713407376847</c:v>
                </c:pt>
                <c:pt idx="9">
                  <c:v>1486.7012188524407</c:v>
                </c:pt>
                <c:pt idx="10">
                  <c:v>1351.5465625931276</c:v>
                </c:pt>
                <c:pt idx="11">
                  <c:v>1228.6786932664797</c:v>
                </c:pt>
                <c:pt idx="12">
                  <c:v>1116.9806302422542</c:v>
                </c:pt>
                <c:pt idx="13">
                  <c:v>1015.4369365838674</c:v>
                </c:pt>
                <c:pt idx="14">
                  <c:v>923.12448780351565</c:v>
                </c:pt>
                <c:pt idx="15">
                  <c:v>839.20407982137783</c:v>
                </c:pt>
                <c:pt idx="16">
                  <c:v>762.91279983761615</c:v>
                </c:pt>
                <c:pt idx="17">
                  <c:v>693.55709076146911</c:v>
                </c:pt>
                <c:pt idx="18">
                  <c:v>630.50644614679015</c:v>
                </c:pt>
                <c:pt idx="19">
                  <c:v>573.18767831526372</c:v>
                </c:pt>
                <c:pt idx="20">
                  <c:v>521.07970755933059</c:v>
                </c:pt>
                <c:pt idx="21">
                  <c:v>473.70882505393683</c:v>
                </c:pt>
                <c:pt idx="22">
                  <c:v>430.64438641266975</c:v>
                </c:pt>
                <c:pt idx="23">
                  <c:v>391.49489673879071</c:v>
                </c:pt>
                <c:pt idx="24">
                  <c:v>355.90445158071884</c:v>
                </c:pt>
                <c:pt idx="25">
                  <c:v>323.54950143701706</c:v>
                </c:pt>
                <c:pt idx="26">
                  <c:v>294.13591039728823</c:v>
                </c:pt>
                <c:pt idx="27">
                  <c:v>267.39628217935291</c:v>
                </c:pt>
                <c:pt idx="28">
                  <c:v>243.08752925395714</c:v>
                </c:pt>
                <c:pt idx="29">
                  <c:v>220.98866295814284</c:v>
                </c:pt>
                <c:pt idx="30">
                  <c:v>200.89878450740261</c:v>
                </c:pt>
                <c:pt idx="31">
                  <c:v>182.63525864309327</c:v>
                </c:pt>
                <c:pt idx="32">
                  <c:v>166.03205331190293</c:v>
                </c:pt>
                <c:pt idx="33">
                  <c:v>150.93823028354811</c:v>
                </c:pt>
                <c:pt idx="34">
                  <c:v>137.21657298504374</c:v>
                </c:pt>
                <c:pt idx="35">
                  <c:v>124.74233907731248</c:v>
                </c:pt>
                <c:pt idx="36">
                  <c:v>113.40212643392042</c:v>
                </c:pt>
                <c:pt idx="37">
                  <c:v>103.09284221265493</c:v>
                </c:pt>
                <c:pt idx="38">
                  <c:v>93.720765647868106</c:v>
                </c:pt>
                <c:pt idx="39">
                  <c:v>85.200696043516459</c:v>
                </c:pt>
                <c:pt idx="40">
                  <c:v>77.455178221378588</c:v>
                </c:pt>
                <c:pt idx="41">
                  <c:v>70.413798383071438</c:v>
                </c:pt>
                <c:pt idx="42">
                  <c:v>64.012543984610403</c:v>
                </c:pt>
                <c:pt idx="43">
                  <c:v>58.193221804191261</c:v>
                </c:pt>
                <c:pt idx="44">
                  <c:v>52.902928912901146</c:v>
                </c:pt>
                <c:pt idx="45">
                  <c:v>48.093571739001035</c:v>
                </c:pt>
                <c:pt idx="46">
                  <c:v>43.721428853637299</c:v>
                </c:pt>
                <c:pt idx="47">
                  <c:v>39.746753503306635</c:v>
                </c:pt>
                <c:pt idx="48">
                  <c:v>36.133412275733306</c:v>
                </c:pt>
                <c:pt idx="49">
                  <c:v>32.848556614303</c:v>
                </c:pt>
                <c:pt idx="50">
                  <c:v>29.862324194820907</c:v>
                </c:pt>
                <c:pt idx="51">
                  <c:v>27.147567449837187</c:v>
                </c:pt>
                <c:pt idx="52">
                  <c:v>24.679606772579259</c:v>
                </c:pt>
                <c:pt idx="53">
                  <c:v>22.436006156890233</c:v>
                </c:pt>
                <c:pt idx="54">
                  <c:v>20.396369233536571</c:v>
                </c:pt>
                <c:pt idx="55">
                  <c:v>18.54215384866961</c:v>
                </c:pt>
                <c:pt idx="56">
                  <c:v>16.856503498790556</c:v>
                </c:pt>
                <c:pt idx="57">
                  <c:v>15.324094089809593</c:v>
                </c:pt>
                <c:pt idx="58">
                  <c:v>13.930994627099631</c:v>
                </c:pt>
                <c:pt idx="59">
                  <c:v>12.664540570090571</c:v>
                </c:pt>
                <c:pt idx="60">
                  <c:v>11.513218700082337</c:v>
                </c:pt>
                <c:pt idx="61">
                  <c:v>10.466562454620306</c:v>
                </c:pt>
                <c:pt idx="62">
                  <c:v>9.5150567769275476</c:v>
                </c:pt>
                <c:pt idx="63">
                  <c:v>8.6500516153886799</c:v>
                </c:pt>
                <c:pt idx="64">
                  <c:v>7.8636832867169826</c:v>
                </c:pt>
                <c:pt idx="65">
                  <c:v>7.1488029879245287</c:v>
                </c:pt>
                <c:pt idx="66">
                  <c:v>6.4989118072041165</c:v>
                </c:pt>
                <c:pt idx="67">
                  <c:v>5.9081016429128326</c:v>
                </c:pt>
                <c:pt idx="68">
                  <c:v>5.3710014935571202</c:v>
                </c:pt>
                <c:pt idx="69">
                  <c:v>4.8827286305064721</c:v>
                </c:pt>
                <c:pt idx="70">
                  <c:v>4.4388442095513376</c:v>
                </c:pt>
                <c:pt idx="71">
                  <c:v>4.0353129177739433</c:v>
                </c:pt>
                <c:pt idx="72">
                  <c:v>3.6684662888854023</c:v>
                </c:pt>
                <c:pt idx="73">
                  <c:v>3.3349693535321836</c:v>
                </c:pt>
                <c:pt idx="74">
                  <c:v>3.0317903213928941</c:v>
                </c:pt>
                <c:pt idx="75">
                  <c:v>2.7561730194480858</c:v>
                </c:pt>
                <c:pt idx="76">
                  <c:v>2.5056118358618957</c:v>
                </c:pt>
                <c:pt idx="77">
                  <c:v>2.2778289416926323</c:v>
                </c:pt>
                <c:pt idx="78">
                  <c:v>2.0707535833569382</c:v>
                </c:pt>
                <c:pt idx="79">
                  <c:v>1.8825032575972163</c:v>
                </c:pt>
                <c:pt idx="80">
                  <c:v>1.7113665978156509</c:v>
                </c:pt>
                <c:pt idx="81">
                  <c:v>1.5557878161960459</c:v>
                </c:pt>
                <c:pt idx="82">
                  <c:v>1.4143525601782236</c:v>
                </c:pt>
                <c:pt idx="83">
                  <c:v>1.2857750547074758</c:v>
                </c:pt>
                <c:pt idx="84">
                  <c:v>1.1688864133704326</c:v>
                </c:pt>
                <c:pt idx="85">
                  <c:v>1.0626240121549386</c:v>
                </c:pt>
                <c:pt idx="86">
                  <c:v>0.96602182923176216</c:v>
                </c:pt>
                <c:pt idx="87">
                  <c:v>0.87820166293796564</c:v>
                </c:pt>
                <c:pt idx="88">
                  <c:v>0.79836514812542314</c:v>
                </c:pt>
                <c:pt idx="89">
                  <c:v>0.72578649829583919</c:v>
                </c:pt>
                <c:pt idx="90">
                  <c:v>0.65980590754167201</c:v>
                </c:pt>
                <c:pt idx="91">
                  <c:v>0.5998235523106108</c:v>
                </c:pt>
                <c:pt idx="92">
                  <c:v>0.54529413846419161</c:v>
                </c:pt>
                <c:pt idx="93">
                  <c:v>0.49572194405835596</c:v>
                </c:pt>
                <c:pt idx="94">
                  <c:v>0.45065631278032364</c:v>
                </c:pt>
                <c:pt idx="95">
                  <c:v>0.40968755707302146</c:v>
                </c:pt>
                <c:pt idx="96">
                  <c:v>0.37244323370274679</c:v>
                </c:pt>
                <c:pt idx="97">
                  <c:v>0.33858475791158793</c:v>
                </c:pt>
                <c:pt idx="98">
                  <c:v>0.3078043253741708</c:v>
                </c:pt>
                <c:pt idx="99">
                  <c:v>0.2798221139765189</c:v>
                </c:pt>
                <c:pt idx="100">
                  <c:v>0.25438373997865354</c:v>
                </c:pt>
                <c:pt idx="101">
                  <c:v>0.23125794543513956</c:v>
                </c:pt>
                <c:pt idx="102">
                  <c:v>0.21023449585012685</c:v>
                </c:pt>
                <c:pt idx="103">
                  <c:v>0.19112226895466072</c:v>
                </c:pt>
                <c:pt idx="104">
                  <c:v>0.17374751723150975</c:v>
                </c:pt>
                <c:pt idx="105">
                  <c:v>0.15795228839228156</c:v>
                </c:pt>
                <c:pt idx="106">
                  <c:v>0.14359298944752871</c:v>
                </c:pt>
                <c:pt idx="107">
                  <c:v>0.13053908131593517</c:v>
                </c:pt>
                <c:pt idx="108">
                  <c:v>0.11867189210539558</c:v>
                </c:pt>
                <c:pt idx="109">
                  <c:v>0.10788353827763235</c:v>
                </c:pt>
                <c:pt idx="110">
                  <c:v>9.8075943888756678E-2</c:v>
                </c:pt>
                <c:pt idx="111">
                  <c:v>8.9159948989778789E-2</c:v>
                </c:pt>
                <c:pt idx="112">
                  <c:v>8.1054499081617076E-2</c:v>
                </c:pt>
                <c:pt idx="113">
                  <c:v>7.3685908256015523E-2</c:v>
                </c:pt>
                <c:pt idx="114">
                  <c:v>6.6987189323650456E-2</c:v>
                </c:pt>
                <c:pt idx="115">
                  <c:v>6.0897444839682222E-2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304896"/>
        <c:axId val="90306816"/>
      </c:scatterChart>
      <c:valAx>
        <c:axId val="90304896"/>
        <c:scaling>
          <c:logBase val="10"/>
          <c:orientation val="minMax"/>
          <c:max val="10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Volume, V [</a:t>
                </a:r>
                <a:r>
                  <a:rPr lang="en-ZA" sz="1200" b="0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ZA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/mol]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0.43434361286350354"/>
              <c:y val="0.909838978736484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90306816"/>
        <c:crossesAt val="1E-8"/>
        <c:crossBetween val="midCat"/>
        <c:minorUnit val="10"/>
      </c:valAx>
      <c:valAx>
        <c:axId val="90306816"/>
        <c:scaling>
          <c:logBase val="10"/>
          <c:orientation val="minMax"/>
          <c:max val="10000"/>
          <c:min val="1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Pressure, P [bar]</a:t>
                </a:r>
              </a:p>
            </c:rich>
          </c:tx>
          <c:layout>
            <c:manualLayout>
              <c:xMode val="edge"/>
              <c:yMode val="edge"/>
              <c:x val="2.1885530880719171E-2"/>
              <c:y val="0.293443562511406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90304896"/>
        <c:crossesAt val="1E-3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0.51 Tc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5"/>
              <c:pt idx="0">
                <c:v>0.15751687100304879</c:v>
              </c:pt>
              <c:pt idx="1">
                <c:v>0.16066720842310978</c:v>
              </c:pt>
              <c:pt idx="2">
                <c:v>0.16388055259157197</c:v>
              </c:pt>
              <c:pt idx="3">
                <c:v>0.16715816364340341</c:v>
              </c:pt>
              <c:pt idx="4">
                <c:v>0.17050132691627148</c:v>
              </c:pt>
              <c:pt idx="5">
                <c:v>0.17391135345459691</c:v>
              </c:pt>
              <c:pt idx="6">
                <c:v>0.17738958052368886</c:v>
              </c:pt>
              <c:pt idx="7">
                <c:v>0.18093737213416264</c:v>
              </c:pt>
              <c:pt idx="8">
                <c:v>0.1845561195768459</c:v>
              </c:pt>
              <c:pt idx="9">
                <c:v>0.18824724196838283</c:v>
              </c:pt>
              <c:pt idx="10">
                <c:v>0.19201218680775048</c:v>
              </c:pt>
              <c:pt idx="11">
                <c:v>0.1958524305439055</c:v>
              </c:pt>
              <c:pt idx="12">
                <c:v>0.1997694791547836</c:v>
              </c:pt>
              <c:pt idx="13">
                <c:v>0.20376486873787927</c:v>
              </c:pt>
              <c:pt idx="14">
                <c:v>0.20784016611263686</c:v>
              </c:pt>
              <c:pt idx="15">
                <c:v>0.2119969694348896</c:v>
              </c:pt>
              <c:pt idx="16">
                <c:v>0.2162369088235874</c:v>
              </c:pt>
              <c:pt idx="17">
                <c:v>0.22056164700005915</c:v>
              </c:pt>
              <c:pt idx="18">
                <c:v>0.22497287994006032</c:v>
              </c:pt>
              <c:pt idx="19">
                <c:v>0.22947233753886154</c:v>
              </c:pt>
              <c:pt idx="20">
                <c:v>0.23406178428963878</c:v>
              </c:pt>
              <c:pt idx="21">
                <c:v>0.23874301997543157</c:v>
              </c:pt>
              <c:pt idx="22">
                <c:v>0.24351788037494021</c:v>
              </c:pt>
              <c:pt idx="23">
                <c:v>0.24838823798243903</c:v>
              </c:pt>
              <c:pt idx="24">
                <c:v>0.2533560027420878</c:v>
              </c:pt>
              <c:pt idx="25">
                <c:v>0.25842312279692958</c:v>
              </c:pt>
              <c:pt idx="26">
                <c:v>0.26359158525286819</c:v>
              </c:pt>
              <c:pt idx="27">
                <c:v>0.26886341695792554</c:v>
              </c:pt>
              <c:pt idx="28">
                <c:v>0.27424068529708406</c:v>
              </c:pt>
              <c:pt idx="29">
                <c:v>0.2879527195619383</c:v>
              </c:pt>
              <c:pt idx="30">
                <c:v>0.3023503555400352</c:v>
              </c:pt>
              <c:pt idx="31">
                <c:v>0.31746787331703696</c:v>
              </c:pt>
              <c:pt idx="32">
                <c:v>0.33334126698288885</c:v>
              </c:pt>
              <c:pt idx="33">
                <c:v>0.35000833033203332</c:v>
              </c:pt>
              <c:pt idx="34">
                <c:v>0.38500916336523666</c:v>
              </c:pt>
              <c:pt idx="35">
                <c:v>0.42351007970176036</c:v>
              </c:pt>
              <c:pt idx="36">
                <c:v>0.4658610876719364</c:v>
              </c:pt>
              <c:pt idx="37">
                <c:v>0.51244719643913006</c:v>
              </c:pt>
              <c:pt idx="38">
                <c:v>0.56369191608304314</c:v>
              </c:pt>
              <c:pt idx="39">
                <c:v>0.6764302992996517</c:v>
              </c:pt>
              <c:pt idx="40">
                <c:v>0.81171635915958207</c:v>
              </c:pt>
              <c:pt idx="41">
                <c:v>0.97405963099149839</c:v>
              </c:pt>
              <c:pt idx="42">
                <c:v>1.1688715571897981</c:v>
              </c:pt>
              <c:pt idx="43">
                <c:v>1.4026458686277576</c:v>
              </c:pt>
              <c:pt idx="44">
                <c:v>1.6831750423533092</c:v>
              </c:pt>
              <c:pt idx="45">
                <c:v>2.0198100508239709</c:v>
              </c:pt>
              <c:pt idx="46">
                <c:v>2.4237720609887652</c:v>
              </c:pt>
              <c:pt idx="47">
                <c:v>3.6356580914831476</c:v>
              </c:pt>
              <c:pt idx="48">
                <c:v>10.906974274449443</c:v>
              </c:pt>
              <c:pt idx="49">
                <c:v>16.360461411674166</c:v>
              </c:pt>
              <c:pt idx="50">
                <c:v>24.540692117511249</c:v>
              </c:pt>
              <c:pt idx="51">
                <c:v>36.811038176266877</c:v>
              </c:pt>
              <c:pt idx="52">
                <c:v>55.216557264400315</c:v>
              </c:pt>
              <c:pt idx="53">
                <c:v>110.43311452880063</c:v>
              </c:pt>
              <c:pt idx="54">
                <c:v>220.86622905760126</c:v>
              </c:pt>
              <c:pt idx="55">
                <c:v>441.73245811520252</c:v>
              </c:pt>
              <c:pt idx="56">
                <c:v>883.46491623040504</c:v>
              </c:pt>
              <c:pt idx="57">
                <c:v>1766.9298324608101</c:v>
              </c:pt>
              <c:pt idx="58">
                <c:v>3533.8596649216202</c:v>
              </c:pt>
              <c:pt idx="59">
                <c:v>7067.7193298432403</c:v>
              </c:pt>
              <c:pt idx="60">
                <c:v>14135.438659686481</c:v>
              </c:pt>
              <c:pt idx="61">
                <c:v>28270.877319372961</c:v>
              </c:pt>
              <c:pt idx="62">
                <c:v>56541.754638745922</c:v>
              </c:pt>
              <c:pt idx="63">
                <c:v>113083.50927749184</c:v>
              </c:pt>
              <c:pt idx="64">
                <c:v>226167.01855498369</c:v>
              </c:pt>
            </c:numLit>
          </c:xVal>
          <c:yVal>
            <c:numLit>
              <c:formatCode>General</c:formatCode>
              <c:ptCount val="65"/>
              <c:pt idx="0">
                <c:v>1883.6547444709506</c:v>
              </c:pt>
              <c:pt idx="1">
                <c:v>930.42461866927067</c:v>
              </c:pt>
              <c:pt idx="2">
                <c:v>428.90827900192266</c:v>
              </c:pt>
              <c:pt idx="3">
                <c:v>129.89893613437306</c:v>
              </c:pt>
              <c:pt idx="4">
                <c:v>-61.541504395987722</c:v>
              </c:pt>
              <c:pt idx="5">
                <c:v>-189.42894521990993</c:v>
              </c:pt>
              <c:pt idx="6">
                <c:v>-276.94122140281866</c:v>
              </c:pt>
              <c:pt idx="7">
                <c:v>-337.42901437132457</c:v>
              </c:pt>
              <c:pt idx="8">
                <c:v>-379.11299425596883</c:v>
              </c:pt>
              <c:pt idx="9">
                <c:v>-407.32248691146742</c:v>
              </c:pt>
              <c:pt idx="10">
                <c:v>-425.65641036229545</c:v>
              </c:pt>
              <c:pt idx="11">
                <c:v>-436.62680765982537</c:v>
              </c:pt>
              <c:pt idx="12">
                <c:v>-442.03538388131682</c:v>
              </c:pt>
              <c:pt idx="13">
                <c:v>-443.2039098609601</c:v>
              </c:pt>
              <c:pt idx="14">
                <c:v>-441.12062636070755</c:v>
              </c:pt>
              <c:pt idx="15">
                <c:v>-436.53631950241476</c:v>
              </c:pt>
              <c:pt idx="16">
                <c:v>-430.02914933964939</c:v>
              </c:pt>
              <c:pt idx="17">
                <c:v>-422.04947038044622</c:v>
              </c:pt>
              <c:pt idx="18">
                <c:v>-412.95148919245594</c:v>
              </c:pt>
              <c:pt idx="19">
                <c:v>-403.01605285895073</c:v>
              </c:pt>
              <c:pt idx="20">
                <c:v>-392.46733288178336</c:v>
              </c:pt>
              <c:pt idx="21">
                <c:v>-381.48522650016673</c:v>
              </c:pt>
              <c:pt idx="22">
                <c:v>-370.21470155178423</c:v>
              </c:pt>
              <c:pt idx="23">
                <c:v>-358.77292575789164</c:v>
              </c:pt>
              <c:pt idx="24">
                <c:v>-347.25476708729411</c:v>
              </c:pt>
              <c:pt idx="25">
                <c:v>-335.73708093959959</c:v>
              </c:pt>
              <c:pt idx="26">
                <c:v>-324.28208301640905</c:v>
              </c:pt>
              <c:pt idx="27">
                <c:v>-312.94002557794613</c:v>
              </c:pt>
              <c:pt idx="28">
                <c:v>-301.75133759304822</c:v>
              </c:pt>
              <c:pt idx="29">
                <c:v>-275.02878346957363</c:v>
              </c:pt>
              <c:pt idx="30">
                <c:v>-249.74659332411673</c:v>
              </c:pt>
              <c:pt idx="31">
                <c:v>-226.07372274004453</c:v>
              </c:pt>
              <c:pt idx="32">
                <c:v>-204.07596321163271</c:v>
              </c:pt>
              <c:pt idx="33">
                <c:v>-183.75305494382198</c:v>
              </c:pt>
              <c:pt idx="34">
                <c:v>-148.70057395003906</c:v>
              </c:pt>
              <c:pt idx="35">
                <c:v>-119.30925205459735</c:v>
              </c:pt>
              <c:pt idx="36">
                <c:v>-94.895299977986355</c:v>
              </c:pt>
              <c:pt idx="37">
                <c:v>-74.76413207126005</c:v>
              </c:pt>
              <c:pt idx="38">
                <c:v>-58.267045724371457</c:v>
              </c:pt>
              <c:pt idx="39">
                <c:v>-34.787173651593768</c:v>
              </c:pt>
              <c:pt idx="40">
                <c:v>-19.223372339964136</c:v>
              </c:pt>
              <c:pt idx="41">
                <c:v>-9.1349929958326257</c:v>
              </c:pt>
              <c:pt idx="42">
                <c:v>-2.7786013481666534</c:v>
              </c:pt>
              <c:pt idx="43">
                <c:v>1.0693667011366166</c:v>
              </c:pt>
              <c:pt idx="44">
                <c:v>3.2567898620855318</c:v>
              </c:pt>
              <c:pt idx="45">
                <c:v>4.3650045582344239</c:v>
              </c:pt>
              <c:pt idx="46">
                <c:v>4.7885579698569947</c:v>
              </c:pt>
              <c:pt idx="47">
                <c:v>4.4771013078366453</c:v>
              </c:pt>
              <c:pt idx="48">
                <c:v>2.066874481603433</c:v>
              </c:pt>
              <c:pt idx="49">
                <c:v>1.4419970996654099</c:v>
              </c:pt>
              <c:pt idx="50">
                <c:v>0.98983692077279417</c:v>
              </c:pt>
              <c:pt idx="51">
                <c:v>0.67256778771085446</c:v>
              </c:pt>
              <c:pt idx="52">
                <c:v>0.45401470284522966</c:v>
              </c:pt>
              <c:pt idx="53">
                <c:v>0.22982630593646292</c:v>
              </c:pt>
              <c:pt idx="54">
                <c:v>0.11561805335662982</c:v>
              </c:pt>
              <c:pt idx="55">
                <c:v>5.7985271947322038E-2</c:v>
              </c:pt>
              <c:pt idx="56">
                <c:v>2.903669980940362E-2</c:v>
              </c:pt>
              <c:pt idx="57">
                <c:v>1.4529366178261701E-2</c:v>
              </c:pt>
              <c:pt idx="58">
                <c:v>7.2674371968371653E-3</c:v>
              </c:pt>
              <c:pt idx="59">
                <c:v>3.6344071302589747E-3</c:v>
              </c:pt>
              <c:pt idx="60">
                <c:v>1.8173756987037663E-3</c:v>
              </c:pt>
              <c:pt idx="61">
                <c:v>9.0873088282222251E-4</c:v>
              </c:pt>
              <c:pt idx="62">
                <c:v>4.5437619978829218E-4</c:v>
              </c:pt>
              <c:pt idx="63">
                <c:v>2.2719078948964082E-4</c:v>
              </c:pt>
              <c:pt idx="64">
                <c:v>1.1359606714384401E-4</c:v>
              </c:pt>
            </c:numLit>
          </c:yVal>
          <c:smooth val="1"/>
        </c:ser>
        <c:ser>
          <c:idx val="1"/>
          <c:order val="1"/>
          <c:tx>
            <c:v>Tb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6"/>
              <c:pt idx="0">
                <c:v>0.15751687100304879</c:v>
              </c:pt>
              <c:pt idx="1">
                <c:v>0.16066720842310978</c:v>
              </c:pt>
              <c:pt idx="2">
                <c:v>0.16388055259157197</c:v>
              </c:pt>
              <c:pt idx="3">
                <c:v>0.16715816364340341</c:v>
              </c:pt>
              <c:pt idx="4">
                <c:v>0.17050132691627148</c:v>
              </c:pt>
              <c:pt idx="5">
                <c:v>0.17391135345459691</c:v>
              </c:pt>
              <c:pt idx="6">
                <c:v>0.17738958052368886</c:v>
              </c:pt>
              <c:pt idx="7">
                <c:v>0.1341249710049133</c:v>
              </c:pt>
              <c:pt idx="8">
                <c:v>0.13551535632495487</c:v>
              </c:pt>
              <c:pt idx="9">
                <c:v>0.13822566345145398</c:v>
              </c:pt>
              <c:pt idx="10">
                <c:v>0.14099017672048306</c:v>
              </c:pt>
              <c:pt idx="11">
                <c:v>0.14380998025489272</c:v>
              </c:pt>
              <c:pt idx="12">
                <c:v>0.14668617985999058</c:v>
              </c:pt>
              <c:pt idx="13">
                <c:v>0.1496199034571904</c:v>
              </c:pt>
              <c:pt idx="14">
                <c:v>0.1526123015263342</c:v>
              </c:pt>
              <c:pt idx="15">
                <c:v>0.15566454755686088</c:v>
              </c:pt>
              <c:pt idx="16">
                <c:v>0.15877783850799809</c:v>
              </c:pt>
              <c:pt idx="17">
                <c:v>0.16195339527815805</c:v>
              </c:pt>
              <c:pt idx="18">
                <c:v>0.16519246318372122</c:v>
              </c:pt>
              <c:pt idx="19">
                <c:v>0.16849631244739566</c:v>
              </c:pt>
              <c:pt idx="20">
                <c:v>0.17186623869634357</c:v>
              </c:pt>
              <c:pt idx="21">
                <c:v>0.17530356347027046</c:v>
              </c:pt>
              <c:pt idx="22">
                <c:v>0.17880963473967587</c:v>
              </c:pt>
              <c:pt idx="23">
                <c:v>0.18238582743446941</c:v>
              </c:pt>
              <c:pt idx="24">
                <c:v>0.1860335439831588</c:v>
              </c:pt>
              <c:pt idx="25">
                <c:v>0.18975421486282198</c:v>
              </c:pt>
              <c:pt idx="26">
                <c:v>0.19354929916007843</c:v>
              </c:pt>
              <c:pt idx="27">
                <c:v>0.19742028514328</c:v>
              </c:pt>
              <c:pt idx="28">
                <c:v>0.20136869084614561</c:v>
              </c:pt>
              <c:pt idx="29">
                <c:v>0.20539606466306853</c:v>
              </c:pt>
              <c:pt idx="30">
                <c:v>0.21566586789622197</c:v>
              </c:pt>
              <c:pt idx="31">
                <c:v>0.22644916129103307</c:v>
              </c:pt>
              <c:pt idx="32">
                <c:v>0.23777161935558475</c:v>
              </c:pt>
              <c:pt idx="33">
                <c:v>0.249660200323364</c:v>
              </c:pt>
              <c:pt idx="34">
                <c:v>0.2621432103395322</c:v>
              </c:pt>
              <c:pt idx="35">
                <c:v>0.28835753137348547</c:v>
              </c:pt>
              <c:pt idx="36">
                <c:v>0.31719328451083406</c:v>
              </c:pt>
              <c:pt idx="37">
                <c:v>0.3489126129619175</c:v>
              </c:pt>
              <c:pt idx="38">
                <c:v>0.3838038742581093</c:v>
              </c:pt>
              <c:pt idx="39">
                <c:v>0.42218426168392026</c:v>
              </c:pt>
              <c:pt idx="40">
                <c:v>0.50662111402070431</c:v>
              </c:pt>
              <c:pt idx="41">
                <c:v>0.60794533682484519</c:v>
              </c:pt>
              <c:pt idx="42">
                <c:v>0.72953440418981419</c:v>
              </c:pt>
              <c:pt idx="43">
                <c:v>0.87544128502777696</c:v>
              </c:pt>
              <c:pt idx="44">
                <c:v>1.0505295420333323</c:v>
              </c:pt>
              <c:pt idx="45">
                <c:v>1.2606354504399986</c:v>
              </c:pt>
              <c:pt idx="46">
                <c:v>1.5127625405279983</c:v>
              </c:pt>
              <c:pt idx="47">
                <c:v>1.8153150486335978</c:v>
              </c:pt>
              <c:pt idx="48">
                <c:v>2.7229725729503969</c:v>
              </c:pt>
              <c:pt idx="49">
                <c:v>4.0844588594255953</c:v>
              </c:pt>
              <c:pt idx="50">
                <c:v>6.1266882891383929</c:v>
              </c:pt>
              <c:pt idx="51">
                <c:v>9.1900324337075894</c:v>
              </c:pt>
              <c:pt idx="52">
                <c:v>13.785048650561384</c:v>
              </c:pt>
              <c:pt idx="53">
                <c:v>20.677572975842075</c:v>
              </c:pt>
              <c:pt idx="54">
                <c:v>41.35514595168415</c:v>
              </c:pt>
              <c:pt idx="55">
                <c:v>82.710291903368301</c:v>
              </c:pt>
              <c:pt idx="56">
                <c:v>165.4205838067366</c:v>
              </c:pt>
              <c:pt idx="57">
                <c:v>330.8411676134732</c:v>
              </c:pt>
              <c:pt idx="58">
                <c:v>661.68233522694641</c:v>
              </c:pt>
              <c:pt idx="59">
                <c:v>1323.3646704538928</c:v>
              </c:pt>
              <c:pt idx="60">
                <c:v>2646.7293409077856</c:v>
              </c:pt>
              <c:pt idx="61">
                <c:v>5293.4586818155713</c:v>
              </c:pt>
              <c:pt idx="62">
                <c:v>10586.917363631143</c:v>
              </c:pt>
              <c:pt idx="63">
                <c:v>21173.834727262285</c:v>
              </c:pt>
              <c:pt idx="64">
                <c:v>42347.66945452457</c:v>
              </c:pt>
              <c:pt idx="65">
                <c:v>84695.33890904914</c:v>
              </c:pt>
            </c:numLit>
          </c:xVal>
          <c:yVal>
            <c:numLit>
              <c:formatCode>General</c:formatCode>
              <c:ptCount val="66"/>
              <c:pt idx="0">
                <c:v>2866.5380524313778</c:v>
              </c:pt>
              <c:pt idx="1">
                <c:v>1662.0980151145493</c:v>
              </c:pt>
              <c:pt idx="2">
                <c:v>1019.5131614934553</c:v>
              </c:pt>
              <c:pt idx="3">
                <c:v>629.22006491504533</c:v>
              </c:pt>
              <c:pt idx="4">
                <c:v>373.26919928716251</c:v>
              </c:pt>
              <c:pt idx="5">
                <c:v>196.96117777959938</c:v>
              </c:pt>
              <c:pt idx="6">
                <c:v>71.480083859985456</c:v>
              </c:pt>
              <c:pt idx="7">
                <c:v>-3922.2236004073457</c:v>
              </c:pt>
              <c:pt idx="8">
                <c:v>-4075.693184718195</c:v>
              </c:pt>
              <c:pt idx="9">
                <c:v>-4508.7569813034861</c:v>
              </c:pt>
              <c:pt idx="10">
                <c:v>-5267.7495304310696</c:v>
              </c:pt>
              <c:pt idx="11">
                <c:v>-6806.8800315283952</c:v>
              </c:pt>
              <c:pt idx="12">
                <c:v>-11183.558200650175</c:v>
              </c:pt>
              <c:pt idx="13">
                <c:v>-82088.3492510941</c:v>
              </c:pt>
              <c:pt idx="14">
                <c:v>10812.846474150563</c:v>
              </c:pt>
              <c:pt idx="15">
                <c:v>4228.4571297445455</c:v>
              </c:pt>
              <c:pt idx="16">
                <c:v>2276.2197718974926</c:v>
              </c:pt>
              <c:pt idx="17">
                <c:v>1360.3945749522663</c:v>
              </c:pt>
              <c:pt idx="18">
                <c:v>840.83336076277408</c:v>
              </c:pt>
              <c:pt idx="19">
                <c:v>513.92096726413104</c:v>
              </c:pt>
              <c:pt idx="20">
                <c:v>294.69993058977724</c:v>
              </c:pt>
              <c:pt idx="21">
                <c:v>141.44868881101283</c:v>
              </c:pt>
              <c:pt idx="22">
                <c:v>31.298317786072293</c:v>
              </c:pt>
              <c:pt idx="23">
                <c:v>-49.322706274496738</c:v>
              </c:pt>
              <c:pt idx="24">
                <c:v>-108.96769213043139</c:v>
              </c:pt>
              <c:pt idx="25">
                <c:v>-153.28719941065035</c:v>
              </c:pt>
              <c:pt idx="26">
                <c:v>-186.15795851296673</c:v>
              </c:pt>
              <c:pt idx="27">
                <c:v>-210.32326954799618</c:v>
              </c:pt>
              <c:pt idx="28">
                <c:v>-227.77490615437119</c:v>
              </c:pt>
              <c:pt idx="29">
                <c:v>-239.99056907466758</c:v>
              </c:pt>
              <c:pt idx="30">
                <c:v>-254.24697198916883</c:v>
              </c:pt>
              <c:pt idx="31">
                <c:v>-253.99529465096654</c:v>
              </c:pt>
              <c:pt idx="32">
                <c:v>-245.43313204497588</c:v>
              </c:pt>
              <c:pt idx="33">
                <c:v>-232.19321594791663</c:v>
              </c:pt>
              <c:pt idx="34">
                <c:v>-216.48542556180152</c:v>
              </c:pt>
              <c:pt idx="35">
                <c:v>-183.44899239270597</c:v>
              </c:pt>
              <c:pt idx="36">
                <c:v>-151.36448052906778</c:v>
              </c:pt>
              <c:pt idx="37">
                <c:v>-122.40753039022918</c:v>
              </c:pt>
              <c:pt idx="38">
                <c:v>-97.26286733672805</c:v>
              </c:pt>
              <c:pt idx="39">
                <c:v>-75.941427202846242</c:v>
              </c:pt>
              <c:pt idx="40">
                <c:v>-44.673298108686453</c:v>
              </c:pt>
              <c:pt idx="41">
                <c:v>-23.48041383501868</c:v>
              </c:pt>
              <c:pt idx="42">
                <c:v>-9.6337927333820428</c:v>
              </c:pt>
              <c:pt idx="43">
                <c:v>-0.94011637662862091</c:v>
              </c:pt>
              <c:pt idx="44">
                <c:v>4.2354290654469056</c:v>
              </c:pt>
              <c:pt idx="45">
                <c:v>7.0652522257580177</c:v>
              </c:pt>
              <c:pt idx="46">
                <c:v>8.369910868605638</c:v>
              </c:pt>
              <c:pt idx="47">
                <c:v>8.7131867367997007</c:v>
              </c:pt>
              <c:pt idx="48">
                <c:v>7.7584133453030999</c:v>
              </c:pt>
              <c:pt idx="49">
                <c:v>6.0466631967567324</c:v>
              </c:pt>
              <c:pt idx="50">
                <c:v>4.4219236280686642</c:v>
              </c:pt>
              <c:pt idx="51">
                <c:v>3.1222701867936342</c:v>
              </c:pt>
              <c:pt idx="52">
                <c:v>2.1591700284492275</c:v>
              </c:pt>
              <c:pt idx="53">
                <c:v>1.4740132776590624</c:v>
              </c:pt>
              <c:pt idx="54">
                <c:v>0.7543106912027967</c:v>
              </c:pt>
              <c:pt idx="55">
                <c:v>0.38148521515412592</c:v>
              </c:pt>
              <c:pt idx="56">
                <c:v>0.19182555395972706</c:v>
              </c:pt>
              <c:pt idx="57">
                <c:v>9.6183573259708444E-2</c:v>
              </c:pt>
              <c:pt idx="58">
                <c:v>4.8159493148495047E-2</c:v>
              </c:pt>
              <c:pt idx="59">
                <c:v>2.4096674134253756E-2</c:v>
              </c:pt>
              <c:pt idx="60">
                <c:v>1.2052569073375548E-2</c:v>
              </c:pt>
              <c:pt idx="61">
                <c:v>6.0273425527779482E-3</c:v>
              </c:pt>
              <c:pt idx="62">
                <c:v>3.0139357822273377E-3</c:v>
              </c:pt>
              <c:pt idx="63">
                <c:v>1.5070340178002261E-3</c:v>
              </c:pt>
              <c:pt idx="64">
                <c:v>7.5353354060012253E-4</c:v>
              </c:pt>
              <c:pt idx="65">
                <c:v>3.7677090322860976E-4</c:v>
              </c:pt>
            </c:numLit>
          </c:yVal>
          <c:smooth val="0"/>
        </c:ser>
        <c:ser>
          <c:idx val="2"/>
          <c:order val="2"/>
          <c:tx>
            <c:v>0.95 Tc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5"/>
              <c:pt idx="0">
                <c:v>0.15151622829817074</c:v>
              </c:pt>
              <c:pt idx="1">
                <c:v>0.15909203971307928</c:v>
              </c:pt>
              <c:pt idx="2">
                <c:v>0.16704664169873326</c:v>
              </c:pt>
              <c:pt idx="3">
                <c:v>0.17539897378366992</c:v>
              </c:pt>
              <c:pt idx="4">
                <c:v>0.18416892247285344</c:v>
              </c:pt>
              <c:pt idx="5">
                <c:v>0.19337736859649612</c:v>
              </c:pt>
              <c:pt idx="6">
                <c:v>0.20304623702632094</c:v>
              </c:pt>
              <c:pt idx="7">
                <c:v>0.21319854887763698</c:v>
              </c:pt>
              <c:pt idx="8">
                <c:v>0.22385847632151884</c:v>
              </c:pt>
              <c:pt idx="9">
                <c:v>0.23505140013759479</c:v>
              </c:pt>
              <c:pt idx="10">
                <c:v>0.24680397014447453</c:v>
              </c:pt>
              <c:pt idx="11">
                <c:v>0.25914416865169826</c:v>
              </c:pt>
              <c:pt idx="12">
                <c:v>0.27210137708428317</c:v>
              </c:pt>
              <c:pt idx="13">
                <c:v>0.28570644593849737</c:v>
              </c:pt>
              <c:pt idx="14">
                <c:v>0.2914205748572673</c:v>
              </c:pt>
              <c:pt idx="15">
                <c:v>0.29724898635441266</c:v>
              </c:pt>
              <c:pt idx="16">
                <c:v>0.3031939660815009</c:v>
              </c:pt>
              <c:pt idx="17">
                <c:v>0.30925784540313095</c:v>
              </c:pt>
              <c:pt idx="18">
                <c:v>0.3154430023111936</c:v>
              </c:pt>
              <c:pt idx="19">
                <c:v>0.32175186235741748</c:v>
              </c:pt>
              <c:pt idx="20">
                <c:v>0.32818689960456582</c:v>
              </c:pt>
              <c:pt idx="21">
                <c:v>0.33475063759665713</c:v>
              </c:pt>
              <c:pt idx="22">
                <c:v>0.34144565034859026</c:v>
              </c:pt>
              <c:pt idx="23">
                <c:v>0.34827456335556206</c:v>
              </c:pt>
              <c:pt idx="24">
                <c:v>0.35524005462267333</c:v>
              </c:pt>
              <c:pt idx="25">
                <c:v>0.37300205735380704</c:v>
              </c:pt>
              <c:pt idx="26">
                <c:v>0.3916521602214974</c:v>
              </c:pt>
              <c:pt idx="27">
                <c:v>0.41123476823257227</c:v>
              </c:pt>
              <c:pt idx="28">
                <c:v>0.43179650664420088</c:v>
              </c:pt>
              <c:pt idx="29">
                <c:v>0.45338633197641093</c:v>
              </c:pt>
              <c:pt idx="30">
                <c:v>0.47605564857523147</c:v>
              </c:pt>
              <c:pt idx="31">
                <c:v>0.49985843100399308</c:v>
              </c:pt>
              <c:pt idx="32">
                <c:v>0.5248513525541928</c:v>
              </c:pt>
              <c:pt idx="33">
                <c:v>0.55109392018190251</c:v>
              </c:pt>
              <c:pt idx="34">
                <c:v>0.57864861619099761</c:v>
              </c:pt>
              <c:pt idx="35">
                <c:v>0.60758104700054749</c:v>
              </c:pt>
              <c:pt idx="36">
                <c:v>0.63796009935057485</c:v>
              </c:pt>
              <c:pt idx="37">
                <c:v>0.66985810431810366</c:v>
              </c:pt>
              <c:pt idx="38">
                <c:v>0.70335100953400886</c:v>
              </c:pt>
              <c:pt idx="39">
                <c:v>0.73851856001070937</c:v>
              </c:pt>
              <c:pt idx="40">
                <c:v>0.77544448801124488</c:v>
              </c:pt>
              <c:pt idx="41">
                <c:v>0.81421671241180715</c:v>
              </c:pt>
              <c:pt idx="42">
                <c:v>0.85492754803239757</c:v>
              </c:pt>
              <c:pt idx="43">
                <c:v>0.89767392543401747</c:v>
              </c:pt>
              <c:pt idx="44">
                <c:v>0.94255762170571844</c:v>
              </c:pt>
              <c:pt idx="45">
                <c:v>0.98968550279100442</c:v>
              </c:pt>
              <c:pt idx="46">
                <c:v>1.0391697779305547</c:v>
              </c:pt>
              <c:pt idx="47">
                <c:v>1.0911282668270825</c:v>
              </c:pt>
              <c:pt idx="48">
                <c:v>1.1456846801684366</c:v>
              </c:pt>
              <c:pt idx="49">
                <c:v>1.2029689141768585</c:v>
              </c:pt>
              <c:pt idx="50">
                <c:v>1.2631173598857015</c:v>
              </c:pt>
              <c:pt idx="51">
                <c:v>1.3262732278799867</c:v>
              </c:pt>
              <c:pt idx="52">
                <c:v>1.3925868892739861</c:v>
              </c:pt>
              <c:pt idx="53">
                <c:v>1.4622162337376854</c:v>
              </c:pt>
              <c:pt idx="54">
                <c:v>1.5353270454245698</c:v>
              </c:pt>
              <c:pt idx="55">
                <c:v>1.6120933976957983</c:v>
              </c:pt>
              <c:pt idx="56">
                <c:v>1.6926980675805883</c:v>
              </c:pt>
              <c:pt idx="57">
                <c:v>1.7773329709596177</c:v>
              </c:pt>
              <c:pt idx="58">
                <c:v>1.8661996195075987</c:v>
              </c:pt>
              <c:pt idx="59">
                <c:v>1.9595096004829788</c:v>
              </c:pt>
              <c:pt idx="60">
                <c:v>2.0574850805071279</c:v>
              </c:pt>
              <c:pt idx="61">
                <c:v>2.1603593345324845</c:v>
              </c:pt>
              <c:pt idx="62">
                <c:v>2.2683773012591089</c:v>
              </c:pt>
              <c:pt idx="63">
                <c:v>2.3817961663220646</c:v>
              </c:pt>
              <c:pt idx="64">
                <c:v>2.5008859746381678</c:v>
              </c:pt>
            </c:numLit>
          </c:xVal>
          <c:yVal>
            <c:numLit>
              <c:formatCode>General</c:formatCode>
              <c:ptCount val="65"/>
              <c:pt idx="0">
                <c:v>29988.964037382349</c:v>
              </c:pt>
              <c:pt idx="1">
                <c:v>4402.4924407318231</c:v>
              </c:pt>
              <c:pt idx="2">
                <c:v>2092.5808837629961</c:v>
              </c:pt>
              <c:pt idx="3">
                <c:v>1258.849550685979</c:v>
              </c:pt>
              <c:pt idx="4">
                <c:v>844.23517096160913</c:v>
              </c:pt>
              <c:pt idx="5">
                <c:v>604.55207650062732</c:v>
              </c:pt>
              <c:pt idx="6">
                <c:v>453.32610522323142</c:v>
              </c:pt>
              <c:pt idx="7">
                <c:v>352.30503079668796</c:v>
              </c:pt>
              <c:pt idx="8">
                <c:v>282.04755030905471</c:v>
              </c:pt>
              <c:pt idx="9">
                <c:v>231.68731851437482</c:v>
              </c:pt>
              <c:pt idx="10">
                <c:v>194.71755224761557</c:v>
              </c:pt>
              <c:pt idx="11">
                <c:v>167.03449862638922</c:v>
              </c:pt>
              <c:pt idx="12">
                <c:v>145.94397381943838</c:v>
              </c:pt>
              <c:pt idx="13">
                <c:v>129.62028809665898</c:v>
              </c:pt>
              <c:pt idx="14">
                <c:v>124.05054820585345</c:v>
              </c:pt>
              <c:pt idx="15">
                <c:v>118.98728480314264</c:v>
              </c:pt>
              <c:pt idx="16">
                <c:v>114.3732112205002</c:v>
              </c:pt>
              <c:pt idx="17">
                <c:v>110.15818106798218</c:v>
              </c:pt>
              <c:pt idx="18">
                <c:v>106.29819192270479</c:v>
              </c:pt>
              <c:pt idx="19">
                <c:v>102.75454632690635</c:v>
              </c:pt>
              <c:pt idx="20">
                <c:v>99.493142140594585</c:v>
              </c:pt>
              <c:pt idx="21">
                <c:v>96.483869816209591</c:v>
              </c:pt>
              <c:pt idx="22">
                <c:v>93.700098487869312</c:v>
              </c:pt>
              <c:pt idx="23">
                <c:v>91.118236177503533</c:v>
              </c:pt>
              <c:pt idx="24">
                <c:v>88.717352124810148</c:v>
              </c:pt>
              <c:pt idx="25">
                <c:v>83.460913224238027</c:v>
              </c:pt>
              <c:pt idx="26">
                <c:v>78.966163215899499</c:v>
              </c:pt>
              <c:pt idx="27">
                <c:v>75.060230989856095</c:v>
              </c:pt>
              <c:pt idx="28">
                <c:v>71.612129807179613</c:v>
              </c:pt>
              <c:pt idx="29">
                <c:v>68.522224181765125</c:v>
              </c:pt>
              <c:pt idx="30">
                <c:v>65.714518552958651</c:v>
              </c:pt>
              <c:pt idx="31">
                <c:v>63.130950276573387</c:v>
              </c:pt>
              <c:pt idx="32">
                <c:v>60.727126024908003</c:v>
              </c:pt>
              <c:pt idx="33">
                <c:v>58.469110479968577</c:v>
              </c:pt>
              <c:pt idx="34">
                <c:v>56.330990607489184</c:v>
              </c:pt>
              <c:pt idx="35">
                <c:v>54.293017149808158</c:v>
              </c:pt>
              <c:pt idx="36">
                <c:v>52.340179439262876</c:v>
              </c:pt>
              <c:pt idx="37">
                <c:v>50.461108011496563</c:v>
              </c:pt>
              <c:pt idx="38">
                <c:v>48.64722688001644</c:v>
              </c:pt>
              <c:pt idx="39">
                <c:v>46.892097094596735</c:v>
              </c:pt>
              <c:pt idx="40">
                <c:v>45.190907618142354</c:v>
              </c:pt>
              <c:pt idx="41">
                <c:v>43.540080169350738</c:v>
              </c:pt>
              <c:pt idx="42">
                <c:v>41.93696256315188</c:v>
              </c:pt>
              <c:pt idx="43">
                <c:v>40.379590986725319</c:v>
              </c:pt>
              <c:pt idx="44">
                <c:v>38.866506105796546</c:v>
              </c:pt>
              <c:pt idx="45">
                <c:v>37.396611282601889</c:v>
              </c:pt>
              <c:pt idx="46">
                <c:v>35.969063776648589</c:v>
              </c:pt>
              <c:pt idx="47">
                <c:v>34.583191791183211</c:v>
              </c:pt>
              <c:pt idx="48">
                <c:v>33.238431768262174</c:v>
              </c:pt>
              <c:pt idx="49">
                <c:v>31.934281531689365</c:v>
              </c:pt>
              <c:pt idx="50">
                <c:v>30.670265810546187</c:v>
              </c:pt>
              <c:pt idx="51">
                <c:v>29.445911407205273</c:v>
              </c:pt>
              <c:pt idx="52">
                <c:v>28.260729848420127</c:v>
              </c:pt>
              <c:pt idx="53">
                <c:v>27.114205811187585</c:v>
              </c:pt>
              <c:pt idx="54">
                <c:v>26.00578997326495</c:v>
              </c:pt>
              <c:pt idx="55">
                <c:v>24.934895222016799</c:v>
              </c:pt>
              <c:pt idx="56">
                <c:v>23.900895380536909</c:v>
              </c:pt>
              <c:pt idx="57">
                <c:v>22.903125789069751</c:v>
              </c:pt>
              <c:pt idx="58">
                <c:v>21.940885222265273</c:v>
              </c:pt>
              <c:pt idx="59">
                <c:v>21.013438736279635</c:v>
              </c:pt>
              <c:pt idx="60">
                <c:v>20.120021130112608</c:v>
              </c:pt>
              <c:pt idx="61">
                <c:v>19.259840777531259</c:v>
              </c:pt>
              <c:pt idx="62">
                <c:v>18.432083643174561</c:v>
              </c:pt>
              <c:pt idx="63">
                <c:v>17.635917341909622</c:v>
              </c:pt>
              <c:pt idx="64">
                <c:v>16.870495136561559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91904"/>
        <c:axId val="124893824"/>
      </c:scatterChart>
      <c:valAx>
        <c:axId val="124891904"/>
        <c:scaling>
          <c:logBase val="10"/>
          <c:orientation val="minMax"/>
          <c:max val="1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1000/T, [1/K]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4893824"/>
        <c:crossesAt val="-100000"/>
        <c:crossBetween val="midCat"/>
        <c:majorUnit val="10"/>
        <c:minorUnit val="10"/>
      </c:valAx>
      <c:valAx>
        <c:axId val="124893824"/>
        <c:scaling>
          <c:orientation val="minMax"/>
          <c:max val="100"/>
          <c:min val="-600"/>
        </c:scaling>
        <c:delete val="0"/>
        <c:axPos val="l"/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Pressure, P [kPa]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4891904"/>
        <c:crossesAt val="9.9999999999999995E-7"/>
        <c:crossBetween val="midCat"/>
        <c:majorUnit val="100"/>
        <c:minorUnit val="5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321168975332325"/>
          <c:y val="5.7769149064480614E-2"/>
          <c:w val="0.69724958048016539"/>
          <c:h val="0.69920590764250667"/>
        </c:manualLayout>
      </c:layout>
      <c:scatterChart>
        <c:scatterStyle val="lineMarker"/>
        <c:varyColors val="0"/>
        <c:ser>
          <c:idx val="0"/>
          <c:order val="0"/>
          <c:tx>
            <c:strRef>
              <c:f>'a = a(T)'!$A$1</c:f>
              <c:strCache>
                <c:ptCount val="1"/>
                <c:pt idx="0">
                  <c:v>Benzene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'a = a(T)'!$I$26:$I$47</c:f>
              <c:numCache>
                <c:formatCode>General</c:formatCode>
                <c:ptCount val="22"/>
                <c:pt idx="0">
                  <c:v>0.55528675110288883</c:v>
                </c:pt>
                <c:pt idx="1">
                  <c:v>0.53689863110919278</c:v>
                </c:pt>
                <c:pt idx="2">
                  <c:v>0.51775019430968738</c:v>
                </c:pt>
                <c:pt idx="3">
                  <c:v>0.49781000292577449</c:v>
                </c:pt>
                <c:pt idx="4">
                  <c:v>0.47704531928134553</c:v>
                </c:pt>
                <c:pt idx="5">
                  <c:v>0.45542205205427799</c:v>
                </c:pt>
                <c:pt idx="6">
                  <c:v>0.43290470030552564</c:v>
                </c:pt>
                <c:pt idx="7">
                  <c:v>0.40945629519390825</c:v>
                </c:pt>
                <c:pt idx="8">
                  <c:v>0.38503833928090925</c:v>
                </c:pt>
                <c:pt idx="9">
                  <c:v>0.35961074332583243</c:v>
                </c:pt>
                <c:pt idx="10">
                  <c:v>0.33313176046754844</c:v>
                </c:pt>
                <c:pt idx="11">
                  <c:v>0.30555791768477003</c:v>
                </c:pt>
                <c:pt idx="12">
                  <c:v>0.27684394442232974</c:v>
                </c:pt>
                <c:pt idx="13">
                  <c:v>0.24694269826627779</c:v>
                </c:pt>
                <c:pt idx="14">
                  <c:v>0.21580508754577421</c:v>
                </c:pt>
                <c:pt idx="15">
                  <c:v>0.18337999073470423</c:v>
                </c:pt>
                <c:pt idx="16">
                  <c:v>0.1496141725206902</c:v>
                </c:pt>
                <c:pt idx="17">
                  <c:v>0.11445219640370297</c:v>
                </c:pt>
                <c:pt idx="18">
                  <c:v>7.7836333680777803E-2</c:v>
                </c:pt>
                <c:pt idx="19">
                  <c:v>3.970646866740668E-2</c:v>
                </c:pt>
                <c:pt idx="20">
                  <c:v>3.9706468667406458E-3</c:v>
                </c:pt>
                <c:pt idx="21">
                  <c:v>0</c:v>
                </c:pt>
              </c:numCache>
            </c:numRef>
          </c:xVal>
          <c:yVal>
            <c:numRef>
              <c:f>'a = a(T)'!$G$26:$G$47</c:f>
              <c:numCache>
                <c:formatCode>General</c:formatCode>
                <c:ptCount val="22"/>
                <c:pt idx="0">
                  <c:v>0.49172845271806259</c:v>
                </c:pt>
                <c:pt idx="1">
                  <c:v>0.47243335386913582</c:v>
                </c:pt>
                <c:pt idx="2">
                  <c:v>0.45281503775629783</c:v>
                </c:pt>
                <c:pt idx="3">
                  <c:v>0.43285398200385855</c:v>
                </c:pt>
                <c:pt idx="4">
                  <c:v>0.41252724146053105</c:v>
                </c:pt>
                <c:pt idx="5">
                  <c:v>0.39180898883023701</c:v>
                </c:pt>
                <c:pt idx="6">
                  <c:v>0.37067108654687458</c:v>
                </c:pt>
                <c:pt idx="7">
                  <c:v>0.34908354414956422</c:v>
                </c:pt>
                <c:pt idx="8">
                  <c:v>0.32701470645738612</c:v>
                </c:pt>
                <c:pt idx="9">
                  <c:v>0.30443102685150308</c:v>
                </c:pt>
                <c:pt idx="10">
                  <c:v>0.28129629429168646</c:v>
                </c:pt>
                <c:pt idx="11">
                  <c:v>0.25757306491194026</c:v>
                </c:pt>
                <c:pt idx="12">
                  <c:v>0.23320613438212778</c:v>
                </c:pt>
                <c:pt idx="13">
                  <c:v>0.20814692566752305</c:v>
                </c:pt>
                <c:pt idx="14">
                  <c:v>0.1823210534327005</c:v>
                </c:pt>
                <c:pt idx="15">
                  <c:v>0.15563166265387127</c:v>
                </c:pt>
                <c:pt idx="16">
                  <c:v>0.1279520206858486</c:v>
                </c:pt>
                <c:pt idx="17">
                  <c:v>9.906121710174956E-2</c:v>
                </c:pt>
                <c:pt idx="18">
                  <c:v>6.8659767667568317E-2</c:v>
                </c:pt>
                <c:pt idx="19">
                  <c:v>3.6158726236479262E-2</c:v>
                </c:pt>
                <c:pt idx="20">
                  <c:v>3.8620233343760473E-3</c:v>
                </c:pt>
                <c:pt idx="21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'a = a(T)'!$A$1</c:f>
              <c:strCache>
                <c:ptCount val="1"/>
                <c:pt idx="0">
                  <c:v>Benzene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'a = a(T)'!$I$26:$I$47</c:f>
              <c:numCache>
                <c:formatCode>General</c:formatCode>
                <c:ptCount val="22"/>
                <c:pt idx="0">
                  <c:v>0.55528675110288883</c:v>
                </c:pt>
                <c:pt idx="1">
                  <c:v>0.53689863110919278</c:v>
                </c:pt>
                <c:pt idx="2">
                  <c:v>0.51775019430968738</c:v>
                </c:pt>
                <c:pt idx="3">
                  <c:v>0.49781000292577449</c:v>
                </c:pt>
                <c:pt idx="4">
                  <c:v>0.47704531928134553</c:v>
                </c:pt>
                <c:pt idx="5">
                  <c:v>0.45542205205427799</c:v>
                </c:pt>
                <c:pt idx="6">
                  <c:v>0.43290470030552564</c:v>
                </c:pt>
                <c:pt idx="7">
                  <c:v>0.40945629519390825</c:v>
                </c:pt>
                <c:pt idx="8">
                  <c:v>0.38503833928090925</c:v>
                </c:pt>
                <c:pt idx="9">
                  <c:v>0.35961074332583243</c:v>
                </c:pt>
                <c:pt idx="10">
                  <c:v>0.33313176046754844</c:v>
                </c:pt>
                <c:pt idx="11">
                  <c:v>0.30555791768477003</c:v>
                </c:pt>
                <c:pt idx="12">
                  <c:v>0.27684394442232974</c:v>
                </c:pt>
                <c:pt idx="13">
                  <c:v>0.24694269826627779</c:v>
                </c:pt>
                <c:pt idx="14">
                  <c:v>0.21580508754577421</c:v>
                </c:pt>
                <c:pt idx="15">
                  <c:v>0.18337999073470423</c:v>
                </c:pt>
                <c:pt idx="16">
                  <c:v>0.1496141725206902</c:v>
                </c:pt>
                <c:pt idx="17">
                  <c:v>0.11445219640370297</c:v>
                </c:pt>
                <c:pt idx="18">
                  <c:v>7.7836333680777803E-2</c:v>
                </c:pt>
                <c:pt idx="19">
                  <c:v>3.970646866740668E-2</c:v>
                </c:pt>
                <c:pt idx="20">
                  <c:v>3.9706468667406458E-3</c:v>
                </c:pt>
                <c:pt idx="21">
                  <c:v>0</c:v>
                </c:pt>
              </c:numCache>
            </c:numRef>
          </c:xVal>
          <c:yVal>
            <c:numRef>
              <c:f>'a = a(T)'!$J$26:$J$47</c:f>
              <c:numCache>
                <c:formatCode>General</c:formatCode>
                <c:ptCount val="22"/>
                <c:pt idx="0">
                  <c:v>0.47946455872067772</c:v>
                </c:pt>
                <c:pt idx="1">
                  <c:v>0.46358726321350152</c:v>
                </c:pt>
                <c:pt idx="2">
                  <c:v>0.44705346912957877</c:v>
                </c:pt>
                <c:pt idx="3">
                  <c:v>0.42983603139366172</c:v>
                </c:pt>
                <c:pt idx="4">
                  <c:v>0.41190668252881574</c:v>
                </c:pt>
                <c:pt idx="5">
                  <c:v>0.39323598624705947</c:v>
                </c:pt>
                <c:pt idx="6">
                  <c:v>0.3737932891210598</c:v>
                </c:pt>
                <c:pt idx="7">
                  <c:v>0.35354667025753467</c:v>
                </c:pt>
                <c:pt idx="8">
                  <c:v>0.33246288888973874</c:v>
                </c:pt>
                <c:pt idx="9">
                  <c:v>0.31050732980298934</c:v>
                </c:pt>
                <c:pt idx="10">
                  <c:v>0.28764394650363317</c:v>
                </c:pt>
                <c:pt idx="11">
                  <c:v>0.26383520203814792</c:v>
                </c:pt>
                <c:pt idx="12">
                  <c:v>0.23904200736521697</c:v>
                </c:pt>
                <c:pt idx="13">
                  <c:v>0.2132236571795966</c:v>
                </c:pt>
                <c:pt idx="14">
                  <c:v>0.18633776308241104</c:v>
                </c:pt>
                <c:pt idx="15">
                  <c:v>0.15834018398815625</c:v>
                </c:pt>
                <c:pt idx="16">
                  <c:v>0.12918495365415333</c:v>
                </c:pt>
                <c:pt idx="17">
                  <c:v>9.8824205213471544E-2</c:v>
                </c:pt>
                <c:pt idx="18">
                  <c:v>6.7208092587418125E-2</c:v>
                </c:pt>
                <c:pt idx="19">
                  <c:v>3.4284708648571818E-2</c:v>
                </c:pt>
                <c:pt idx="20">
                  <c:v>3.4284708648571628E-3</c:v>
                </c:pt>
                <c:pt idx="2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109440"/>
        <c:axId val="90111360"/>
      </c:scatterChart>
      <c:valAx>
        <c:axId val="90109440"/>
        <c:scaling>
          <c:orientation val="minMax"/>
          <c:max val="0.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2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42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1 - </a:t>
                </a:r>
                <a:r>
                  <a:rPr lang="en-ZA" sz="1425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T</a:t>
                </a:r>
                <a:r>
                  <a:rPr lang="en-ZA" sz="1425" b="0" i="0" u="none" strike="noStrike" baseline="-2500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R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0.53027665462833629"/>
              <c:y val="0.87251335483594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111360"/>
        <c:crossesAt val="-10000"/>
        <c:crossBetween val="midCat"/>
        <c:majorUnit val="0.1"/>
        <c:minorUnit val="0.05"/>
      </c:valAx>
      <c:valAx>
        <c:axId val="90111360"/>
        <c:scaling>
          <c:orientation val="minMax"/>
          <c:max val="0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525" b="0" i="0" u="none" strike="noStrike" baseline="0">
                    <a:solidFill>
                      <a:srgbClr val="000000"/>
                    </a:solidFill>
                    <a:latin typeface="MT Extra"/>
                    <a:ea typeface="MT Extra"/>
                    <a:cs typeface="MT Extra"/>
                  </a:defRPr>
                </a:pPr>
                <a:r>
                  <a:rPr lang="en-ZA" sz="1525" b="0" i="0" u="none" strike="noStrike" baseline="0">
                    <a:solidFill>
                      <a:srgbClr val="000000"/>
                    </a:solidFill>
                    <a:latin typeface="MT Extra"/>
                  </a:rPr>
                  <a:t>l</a:t>
                </a:r>
                <a:r>
                  <a:rPr lang="en-ZA" sz="1525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n</a:t>
                </a:r>
                <a:r>
                  <a:rPr lang="en-ZA" sz="152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(</a:t>
                </a:r>
                <a:r>
                  <a:rPr lang="en-ZA" sz="1525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a</a:t>
                </a:r>
                <a:r>
                  <a:rPr lang="en-ZA" sz="152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(</a:t>
                </a:r>
                <a:r>
                  <a:rPr lang="en-ZA" sz="1525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T</a:t>
                </a:r>
                <a:r>
                  <a:rPr lang="en-ZA" sz="152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)/</a:t>
                </a:r>
                <a:r>
                  <a:rPr lang="en-ZA" sz="1525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a</a:t>
                </a:r>
                <a:r>
                  <a:rPr lang="en-ZA" sz="1525" b="0" i="0" u="none" strike="noStrike" baseline="-2500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</a:t>
                </a:r>
                <a:r>
                  <a:rPr lang="en-ZA" sz="152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)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2.2018407804636802E-2"/>
              <c:y val="0.229084556635009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109440"/>
        <c:crossesAt val="0"/>
        <c:crossBetween val="midCat"/>
        <c:majorUnit val="0.1"/>
        <c:minorUnit val="0.0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39633134048346247"/>
          <c:y val="0.1294825754893531"/>
          <c:w val="0.24770708780216402"/>
          <c:h val="8.167362453943810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24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096596066779719"/>
          <c:y val="5.4205731157206387E-2"/>
          <c:w val="0.70077418248007983"/>
          <c:h val="0.72149697333385054"/>
        </c:manualLayout>
      </c:layout>
      <c:scatterChart>
        <c:scatterStyle val="lineMarker"/>
        <c:varyColors val="0"/>
        <c:ser>
          <c:idx val="0"/>
          <c:order val="0"/>
          <c:tx>
            <c:strRef>
              <c:f>'a = a(T)'!$A$1</c:f>
              <c:strCache>
                <c:ptCount val="1"/>
                <c:pt idx="0">
                  <c:v>Benzene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66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'a = a(T)'!$O$26:$O$47</c:f>
              <c:numCache>
                <c:formatCode>General</c:formatCode>
                <c:ptCount val="22"/>
                <c:pt idx="0">
                  <c:v>0.33313176046754844</c:v>
                </c:pt>
                <c:pt idx="1">
                  <c:v>0.31948448299042642</c:v>
                </c:pt>
                <c:pt idx="2">
                  <c:v>0.30555791768477003</c:v>
                </c:pt>
                <c:pt idx="3">
                  <c:v>0.29134634900099077</c:v>
                </c:pt>
                <c:pt idx="4">
                  <c:v>0.27684394442232974</c:v>
                </c:pt>
                <c:pt idx="5">
                  <c:v>0.26204475207115574</c:v>
                </c:pt>
                <c:pt idx="6">
                  <c:v>0.24694269826627779</c:v>
                </c:pt>
                <c:pt idx="7">
                  <c:v>0.23153158503026827</c:v>
                </c:pt>
                <c:pt idx="8">
                  <c:v>0.21580508754577432</c:v>
                </c:pt>
                <c:pt idx="9">
                  <c:v>0.19975675155977257</c:v>
                </c:pt>
                <c:pt idx="10">
                  <c:v>0.18337999073470435</c:v>
                </c:pt>
                <c:pt idx="11">
                  <c:v>0.16666808394540056</c:v>
                </c:pt>
                <c:pt idx="12">
                  <c:v>0.14961417252069031</c:v>
                </c:pt>
                <c:pt idx="13">
                  <c:v>0.13221125742855933</c:v>
                </c:pt>
                <c:pt idx="14">
                  <c:v>0.11445219640370297</c:v>
                </c:pt>
                <c:pt idx="15">
                  <c:v>9.6329701016296676E-2</c:v>
                </c:pt>
                <c:pt idx="16">
                  <c:v>7.7836333680777803E-2</c:v>
                </c:pt>
                <c:pt idx="17">
                  <c:v>5.8964504603414514E-2</c:v>
                </c:pt>
                <c:pt idx="18">
                  <c:v>3.9706468667406791E-2</c:v>
                </c:pt>
                <c:pt idx="19">
                  <c:v>2.0054322254241863E-2</c:v>
                </c:pt>
                <c:pt idx="20">
                  <c:v>1.987298110259883E-3</c:v>
                </c:pt>
                <c:pt idx="21">
                  <c:v>0</c:v>
                </c:pt>
              </c:numCache>
            </c:numRef>
          </c:xVal>
          <c:yVal>
            <c:numRef>
              <c:f>'a = a(T)'!$P$26:$P$47</c:f>
              <c:numCache>
                <c:formatCode>0.000</c:formatCode>
                <c:ptCount val="22"/>
                <c:pt idx="0">
                  <c:v>0.27872594447759691</c:v>
                </c:pt>
                <c:pt idx="1">
                  <c:v>0.26644869065992394</c:v>
                </c:pt>
                <c:pt idx="2">
                  <c:v>0.25408662513279801</c:v>
                </c:pt>
                <c:pt idx="3">
                  <c:v>0.24163243170479221</c:v>
                </c:pt>
                <c:pt idx="4">
                  <c:v>0.22907717151266582</c:v>
                </c:pt>
                <c:pt idx="5">
                  <c:v>0.21641072576868514</c:v>
                </c:pt>
                <c:pt idx="6">
                  <c:v>0.20362223972408655</c:v>
                </c:pt>
                <c:pt idx="7">
                  <c:v>0.19070047937566614</c:v>
                </c:pt>
                <c:pt idx="8">
                  <c:v>0.17763401456781081</c:v>
                </c:pt>
                <c:pt idx="9">
                  <c:v>0.16441115563004627</c:v>
                </c:pt>
                <c:pt idx="10">
                  <c:v>0.15101958720107955</c:v>
                </c:pt>
                <c:pt idx="11">
                  <c:v>0.13744729016856949</c:v>
                </c:pt>
                <c:pt idx="12">
                  <c:v>0.1236733183517007</c:v>
                </c:pt>
                <c:pt idx="13">
                  <c:v>0.10968197230355625</c:v>
                </c:pt>
                <c:pt idx="14">
                  <c:v>9.5444839308053364E-2</c:v>
                </c:pt>
                <c:pt idx="15">
                  <c:v>8.0923568078303809E-2</c:v>
                </c:pt>
                <c:pt idx="16">
                  <c:v>6.6066823877215519E-2</c:v>
                </c:pt>
                <c:pt idx="17">
                  <c:v>5.0777754506958095E-2</c:v>
                </c:pt>
                <c:pt idx="18">
                  <c:v>3.49259557642283E-2</c:v>
                </c:pt>
                <c:pt idx="19">
                  <c:v>1.8243784185013157E-2</c:v>
                </c:pt>
                <c:pt idx="20">
                  <c:v>1.9328772708582243E-3</c:v>
                </c:pt>
                <c:pt idx="21">
                  <c:v>0</c:v>
                </c:pt>
              </c:numCache>
            </c:numRef>
          </c:yVal>
          <c:smooth val="1"/>
        </c:ser>
        <c:ser>
          <c:idx val="1"/>
          <c:order val="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'a = a(T)'!$O$26:$O$47</c:f>
              <c:numCache>
                <c:formatCode>General</c:formatCode>
                <c:ptCount val="22"/>
                <c:pt idx="0">
                  <c:v>0.33313176046754844</c:v>
                </c:pt>
                <c:pt idx="1">
                  <c:v>0.31948448299042642</c:v>
                </c:pt>
                <c:pt idx="2">
                  <c:v>0.30555791768477003</c:v>
                </c:pt>
                <c:pt idx="3">
                  <c:v>0.29134634900099077</c:v>
                </c:pt>
                <c:pt idx="4">
                  <c:v>0.27684394442232974</c:v>
                </c:pt>
                <c:pt idx="5">
                  <c:v>0.26204475207115574</c:v>
                </c:pt>
                <c:pt idx="6">
                  <c:v>0.24694269826627779</c:v>
                </c:pt>
                <c:pt idx="7">
                  <c:v>0.23153158503026827</c:v>
                </c:pt>
                <c:pt idx="8">
                  <c:v>0.21580508754577432</c:v>
                </c:pt>
                <c:pt idx="9">
                  <c:v>0.19975675155977257</c:v>
                </c:pt>
                <c:pt idx="10">
                  <c:v>0.18337999073470435</c:v>
                </c:pt>
                <c:pt idx="11">
                  <c:v>0.16666808394540056</c:v>
                </c:pt>
                <c:pt idx="12">
                  <c:v>0.14961417252069031</c:v>
                </c:pt>
                <c:pt idx="13">
                  <c:v>0.13221125742855933</c:v>
                </c:pt>
                <c:pt idx="14">
                  <c:v>0.11445219640370297</c:v>
                </c:pt>
                <c:pt idx="15">
                  <c:v>9.6329701016296676E-2</c:v>
                </c:pt>
                <c:pt idx="16">
                  <c:v>7.7836333680777803E-2</c:v>
                </c:pt>
                <c:pt idx="17">
                  <c:v>5.8964504603414514E-2</c:v>
                </c:pt>
                <c:pt idx="18">
                  <c:v>3.9706468667406791E-2</c:v>
                </c:pt>
                <c:pt idx="19">
                  <c:v>2.0054322254241863E-2</c:v>
                </c:pt>
                <c:pt idx="20">
                  <c:v>1.987298110259883E-3</c:v>
                </c:pt>
                <c:pt idx="21">
                  <c:v>0</c:v>
                </c:pt>
              </c:numCache>
            </c:numRef>
          </c:xVal>
          <c:yVal>
            <c:numRef>
              <c:f>'a = a(T)'!$Q$26:$Q$47</c:f>
              <c:numCache>
                <c:formatCode>0.000</c:formatCode>
                <c:ptCount val="22"/>
                <c:pt idx="0">
                  <c:v>0.27631688374371083</c:v>
                </c:pt>
                <c:pt idx="1">
                  <c:v>0.26499711891921152</c:v>
                </c:pt>
                <c:pt idx="2">
                  <c:v>0.25344569818072832</c:v>
                </c:pt>
                <c:pt idx="3">
                  <c:v>0.24165788075287267</c:v>
                </c:pt>
                <c:pt idx="4">
                  <c:v>0.22962882884157496</c:v>
                </c:pt>
                <c:pt idx="5">
                  <c:v>0.21735360564862302</c:v>
                </c:pt>
                <c:pt idx="6">
                  <c:v>0.20482717334556969</c:v>
                </c:pt>
                <c:pt idx="7">
                  <c:v>0.19204439100617629</c:v>
                </c:pt>
                <c:pt idx="8">
                  <c:v>0.17900001249654457</c:v>
                </c:pt>
                <c:pt idx="9">
                  <c:v>0.16568868432206979</c:v>
                </c:pt>
                <c:pt idx="10">
                  <c:v>0.15210494343033412</c:v>
                </c:pt>
                <c:pt idx="11">
                  <c:v>0.13824321496903472</c:v>
                </c:pt>
                <c:pt idx="12">
                  <c:v>0.12409780999803004</c:v>
                </c:pt>
                <c:pt idx="13">
                  <c:v>0.109662923154563</c:v>
                </c:pt>
                <c:pt idx="14">
                  <c:v>9.4932630270703547E-2</c:v>
                </c:pt>
                <c:pt idx="15">
                  <c:v>7.9900885942033678E-2</c:v>
                </c:pt>
                <c:pt idx="16">
                  <c:v>6.4561521046574866E-2</c:v>
                </c:pt>
                <c:pt idx="17">
                  <c:v>4.8908240212942225E-2</c:v>
                </c:pt>
                <c:pt idx="18">
                  <c:v>3.2934619236684635E-2</c:v>
                </c:pt>
                <c:pt idx="19">
                  <c:v>1.6634102443750826E-2</c:v>
                </c:pt>
                <c:pt idx="20">
                  <c:v>1.6483688619964786E-3</c:v>
                </c:pt>
                <c:pt idx="2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64192"/>
        <c:axId val="149555840"/>
      </c:scatterChart>
      <c:valAx>
        <c:axId val="166264192"/>
        <c:scaling>
          <c:orientation val="minMax"/>
          <c:max val="0.3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1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1 - </a:t>
                </a:r>
                <a:r>
                  <a:rPr lang="en-ZA" sz="115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T</a:t>
                </a:r>
                <a:r>
                  <a:rPr lang="en-ZA" sz="1150" b="0" i="0" u="none" strike="noStrike" baseline="-2500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R</a:t>
                </a:r>
                <a:r>
                  <a:rPr lang="en-ZA" sz="1150" b="0" i="0" u="none" strike="noStrike" baseline="3000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1/2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0.52123699523311728"/>
              <c:y val="0.8859833299488216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49555840"/>
        <c:crossesAt val="-10000"/>
        <c:crossBetween val="midCat"/>
        <c:majorUnit val="0.1"/>
        <c:minorUnit val="0.05"/>
      </c:valAx>
      <c:valAx>
        <c:axId val="149555840"/>
        <c:scaling>
          <c:orientation val="minMax"/>
          <c:max val="0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1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1- sqrt[(</a:t>
                </a:r>
                <a:r>
                  <a:rPr lang="en-ZA" sz="115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a</a:t>
                </a:r>
                <a:r>
                  <a:rPr lang="en-ZA" sz="11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(</a:t>
                </a:r>
                <a:r>
                  <a:rPr lang="en-ZA" sz="115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T</a:t>
                </a:r>
                <a:r>
                  <a:rPr lang="en-ZA" sz="11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)/</a:t>
                </a:r>
                <a:r>
                  <a:rPr lang="en-ZA" sz="115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a</a:t>
                </a:r>
                <a:r>
                  <a:rPr lang="en-ZA" sz="1150" b="0" i="0" u="none" strike="noStrike" baseline="-2500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</a:t>
                </a:r>
                <a:r>
                  <a:rPr lang="en-ZA" sz="11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)]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6.1776236472073157E-2"/>
              <c:y val="0.2504678612091605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6264192"/>
        <c:crossesAt val="0"/>
        <c:crossBetween val="midCat"/>
        <c:majorUnit val="0.1"/>
        <c:minorUnit val="0.0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2934371232423475"/>
          <c:y val="7.4766525734077771E-2"/>
          <c:w val="0.38224046317095267"/>
          <c:h val="0.1327105831779880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28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19243790980887"/>
          <c:y val="5.1785782016142076E-2"/>
          <c:w val="0.72125680959008054"/>
          <c:h val="0.71607236511975769"/>
        </c:manualLayout>
      </c:layout>
      <c:scatterChart>
        <c:scatterStyle val="lineMarker"/>
        <c:varyColors val="0"/>
        <c:ser>
          <c:idx val="0"/>
          <c:order val="0"/>
          <c:tx>
            <c:strRef>
              <c:f>'a = a(T)'!$R$22</c:f>
              <c:strCache>
                <c:ptCount val="1"/>
                <c:pt idx="0">
                  <c:v>Soave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66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'a = a(T)'!$I$26:$I$47</c:f>
              <c:numCache>
                <c:formatCode>General</c:formatCode>
                <c:ptCount val="22"/>
                <c:pt idx="0">
                  <c:v>0.55528675110288883</c:v>
                </c:pt>
                <c:pt idx="1">
                  <c:v>0.53689863110919278</c:v>
                </c:pt>
                <c:pt idx="2">
                  <c:v>0.51775019430968738</c:v>
                </c:pt>
                <c:pt idx="3">
                  <c:v>0.49781000292577449</c:v>
                </c:pt>
                <c:pt idx="4">
                  <c:v>0.47704531928134553</c:v>
                </c:pt>
                <c:pt idx="5">
                  <c:v>0.45542205205427799</c:v>
                </c:pt>
                <c:pt idx="6">
                  <c:v>0.43290470030552564</c:v>
                </c:pt>
                <c:pt idx="7">
                  <c:v>0.40945629519390825</c:v>
                </c:pt>
                <c:pt idx="8">
                  <c:v>0.38503833928090925</c:v>
                </c:pt>
                <c:pt idx="9">
                  <c:v>0.35961074332583243</c:v>
                </c:pt>
                <c:pt idx="10">
                  <c:v>0.33313176046754844</c:v>
                </c:pt>
                <c:pt idx="11">
                  <c:v>0.30555791768477003</c:v>
                </c:pt>
                <c:pt idx="12">
                  <c:v>0.27684394442232974</c:v>
                </c:pt>
                <c:pt idx="13">
                  <c:v>0.24694269826627779</c:v>
                </c:pt>
                <c:pt idx="14">
                  <c:v>0.21580508754577421</c:v>
                </c:pt>
                <c:pt idx="15">
                  <c:v>0.18337999073470423</c:v>
                </c:pt>
                <c:pt idx="16">
                  <c:v>0.1496141725206902</c:v>
                </c:pt>
                <c:pt idx="17">
                  <c:v>0.11445219640370297</c:v>
                </c:pt>
                <c:pt idx="18">
                  <c:v>7.7836333680777803E-2</c:v>
                </c:pt>
                <c:pt idx="19">
                  <c:v>3.970646866740668E-2</c:v>
                </c:pt>
                <c:pt idx="20">
                  <c:v>3.9706468667406458E-3</c:v>
                </c:pt>
                <c:pt idx="21">
                  <c:v>0</c:v>
                </c:pt>
              </c:numCache>
            </c:numRef>
          </c:xVal>
          <c:yVal>
            <c:numRef>
              <c:f>'a = a(T)'!$S$26:$S$47</c:f>
              <c:numCache>
                <c:formatCode>0.00</c:formatCode>
                <c:ptCount val="22"/>
                <c:pt idx="0">
                  <c:v>0.37643585235666993</c:v>
                </c:pt>
                <c:pt idx="1">
                  <c:v>0.22910361451542802</c:v>
                </c:pt>
                <c:pt idx="2">
                  <c:v>0.10218802429265528</c:v>
                </c:pt>
                <c:pt idx="3">
                  <c:v>-4.0993305648269265E-3</c:v>
                </c:pt>
                <c:pt idx="4">
                  <c:v>-8.9787874067037268E-2</c:v>
                </c:pt>
                <c:pt idx="5">
                  <c:v>-0.15508664771323191</c:v>
                </c:pt>
                <c:pt idx="6">
                  <c:v>-0.200318123895012</c:v>
                </c:pt>
                <c:pt idx="7">
                  <c:v>-0.2258620152206007</c:v>
                </c:pt>
                <c:pt idx="8">
                  <c:v>-0.23212477854066726</c:v>
                </c:pt>
                <c:pt idx="9">
                  <c:v>-0.21954951279851551</c:v>
                </c:pt>
                <c:pt idx="10">
                  <c:v>-0.18867931714558853</c:v>
                </c:pt>
                <c:pt idx="11">
                  <c:v>-0.13999827159603526</c:v>
                </c:pt>
                <c:pt idx="12">
                  <c:v>-7.5568551784154933E-2</c:v>
                </c:pt>
                <c:pt idx="13">
                  <c:v>3.4332332987163025E-3</c:v>
                </c:pt>
                <c:pt idx="14">
                  <c:v>9.3494308321869404E-2</c:v>
                </c:pt>
                <c:pt idx="15">
                  <c:v>0.18913425094003963</c:v>
                </c:pt>
                <c:pt idx="16">
                  <c:v>0.2822037120974783</c:v>
                </c:pt>
                <c:pt idx="17">
                  <c:v>0.35551784234477868</c:v>
                </c:pt>
                <c:pt idx="18">
                  <c:v>0.38445663035258443</c:v>
                </c:pt>
                <c:pt idx="19">
                  <c:v>0.31591833716511369</c:v>
                </c:pt>
                <c:pt idx="20">
                  <c:v>5.678384667781608E-2</c:v>
                </c:pt>
                <c:pt idx="21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'a = a(T)'!$L$22</c:f>
              <c:strCache>
                <c:ptCount val="1"/>
                <c:pt idx="0">
                  <c:v>Adachi-Lu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'a = a(T)'!$I$26:$I$47</c:f>
              <c:numCache>
                <c:formatCode>General</c:formatCode>
                <c:ptCount val="22"/>
                <c:pt idx="0">
                  <c:v>0.55528675110288883</c:v>
                </c:pt>
                <c:pt idx="1">
                  <c:v>0.53689863110919278</c:v>
                </c:pt>
                <c:pt idx="2">
                  <c:v>0.51775019430968738</c:v>
                </c:pt>
                <c:pt idx="3">
                  <c:v>0.49781000292577449</c:v>
                </c:pt>
                <c:pt idx="4">
                  <c:v>0.47704531928134553</c:v>
                </c:pt>
                <c:pt idx="5">
                  <c:v>0.45542205205427799</c:v>
                </c:pt>
                <c:pt idx="6">
                  <c:v>0.43290470030552564</c:v>
                </c:pt>
                <c:pt idx="7">
                  <c:v>0.40945629519390825</c:v>
                </c:pt>
                <c:pt idx="8">
                  <c:v>0.38503833928090925</c:v>
                </c:pt>
                <c:pt idx="9">
                  <c:v>0.35961074332583243</c:v>
                </c:pt>
                <c:pt idx="10">
                  <c:v>0.33313176046754844</c:v>
                </c:pt>
                <c:pt idx="11">
                  <c:v>0.30555791768477003</c:v>
                </c:pt>
                <c:pt idx="12">
                  <c:v>0.27684394442232974</c:v>
                </c:pt>
                <c:pt idx="13">
                  <c:v>0.24694269826627779</c:v>
                </c:pt>
                <c:pt idx="14">
                  <c:v>0.21580508754577421</c:v>
                </c:pt>
                <c:pt idx="15">
                  <c:v>0.18337999073470423</c:v>
                </c:pt>
                <c:pt idx="16">
                  <c:v>0.1496141725206902</c:v>
                </c:pt>
                <c:pt idx="17">
                  <c:v>0.11445219640370297</c:v>
                </c:pt>
                <c:pt idx="18">
                  <c:v>7.7836333680777803E-2</c:v>
                </c:pt>
                <c:pt idx="19">
                  <c:v>3.970646866740668E-2</c:v>
                </c:pt>
                <c:pt idx="20">
                  <c:v>3.9706468667406458E-3</c:v>
                </c:pt>
                <c:pt idx="21">
                  <c:v>0</c:v>
                </c:pt>
              </c:numCache>
            </c:numRef>
          </c:xVal>
          <c:yVal>
            <c:numRef>
              <c:f>'a = a(T)'!$L$26:$L$47</c:f>
              <c:numCache>
                <c:formatCode>0.00</c:formatCode>
                <c:ptCount val="22"/>
                <c:pt idx="0">
                  <c:v>1.2188998930427968</c:v>
                </c:pt>
                <c:pt idx="1">
                  <c:v>0.88070791136522697</c:v>
                </c:pt>
                <c:pt idx="2">
                  <c:v>0.57450026208617555</c:v>
                </c:pt>
                <c:pt idx="3">
                  <c:v>0.30134011750616752</c:v>
                </c:pt>
                <c:pt idx="4">
                  <c:v>6.2036642484411229E-2</c:v>
                </c:pt>
                <c:pt idx="5">
                  <c:v>-0.14280160621133453</c:v>
                </c:pt>
                <c:pt idx="6">
                  <c:v>-0.31270817252199878</c:v>
                </c:pt>
                <c:pt idx="7">
                  <c:v>-0.44731006890484931</c:v>
                </c:pt>
                <c:pt idx="8">
                  <c:v>-0.54630507677984752</c:v>
                </c:pt>
                <c:pt idx="9">
                  <c:v>-0.60948011281276204</c:v>
                </c:pt>
                <c:pt idx="10">
                  <c:v>-0.63678412513094451</c:v>
                </c:pt>
                <c:pt idx="11">
                  <c:v>-0.6281785298673308</c:v>
                </c:pt>
                <c:pt idx="12">
                  <c:v>-0.58529348640024093</c:v>
                </c:pt>
                <c:pt idx="13">
                  <c:v>-0.50896399484738386</c:v>
                </c:pt>
                <c:pt idx="14">
                  <c:v>-0.4024787439673313</c:v>
                </c:pt>
                <c:pt idx="15">
                  <c:v>-0.27121926920961342</c:v>
                </c:pt>
                <c:pt idx="16">
                  <c:v>-0.12336933426214514</c:v>
                </c:pt>
                <c:pt idx="17">
                  <c:v>2.3698380317923425E-2</c:v>
                </c:pt>
                <c:pt idx="18">
                  <c:v>0.14506219095631812</c:v>
                </c:pt>
                <c:pt idx="19">
                  <c:v>0.18722627133407191</c:v>
                </c:pt>
                <c:pt idx="20">
                  <c:v>4.3345849922797317E-2</c:v>
                </c:pt>
                <c:pt idx="2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593472"/>
        <c:axId val="149608320"/>
      </c:scatterChart>
      <c:valAx>
        <c:axId val="149593472"/>
        <c:scaling>
          <c:orientation val="minMax"/>
          <c:max val="0.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1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1 - </a:t>
                </a:r>
                <a:r>
                  <a:rPr lang="en-ZA" sz="115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T</a:t>
                </a:r>
                <a:r>
                  <a:rPr lang="en-ZA" sz="1150" b="0" i="0" u="none" strike="noStrike" baseline="-2500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R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0.54007152408919079"/>
              <c:y val="0.873215427789430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49608320"/>
        <c:crossesAt val="-10000"/>
        <c:crossBetween val="midCat"/>
        <c:majorUnit val="0.1"/>
        <c:minorUnit val="0.05"/>
      </c:valAx>
      <c:valAx>
        <c:axId val="149608320"/>
        <c:scaling>
          <c:orientation val="minMax"/>
          <c:max val="1.5"/>
          <c:min val="-1.5"/>
        </c:scaling>
        <c:delete val="0"/>
        <c:axPos val="l"/>
        <c:title>
          <c:tx>
            <c:rich>
              <a:bodyPr/>
              <a:lstStyle/>
              <a:p>
                <a:pPr>
                  <a:defRPr sz="1700" b="0" i="1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70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a</a:t>
                </a:r>
                <a:r>
                  <a:rPr lang="en-ZA" sz="17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(</a:t>
                </a:r>
                <a:r>
                  <a:rPr lang="en-ZA" sz="170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T</a:t>
                </a:r>
                <a:r>
                  <a:rPr lang="en-ZA" sz="17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) error, %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1.39373296539146E-2"/>
              <c:y val="0.2267860108982773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9593472"/>
        <c:crossesAt val="0"/>
        <c:crossBetween val="midCat"/>
        <c:majorUnit val="0.5"/>
        <c:min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0487908617938186"/>
          <c:y val="0.54464356948011494"/>
          <c:w val="0.29616825514568523"/>
          <c:h val="0.18035737874587413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542669138871702"/>
          <c:y val="5.133950953678474E-2"/>
          <c:w val="0.75260066258208047"/>
          <c:h val="0.72991389645776572"/>
        </c:manualLayout>
      </c:layout>
      <c:scatterChart>
        <c:scatterStyle val="lineMarker"/>
        <c:varyColors val="0"/>
        <c:ser>
          <c:idx val="0"/>
          <c:order val="0"/>
          <c:tx>
            <c:v>Psat correlation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Pvap!$D$23:$D$44</c:f>
              <c:numCache>
                <c:formatCode>General</c:formatCode>
                <c:ptCount val="22"/>
                <c:pt idx="0">
                  <c:v>4</c:v>
                </c:pt>
                <c:pt idx="1">
                  <c:v>3.8411741253303728</c:v>
                </c:pt>
                <c:pt idx="2">
                  <c:v>3.6886546652768888</c:v>
                </c:pt>
                <c:pt idx="3">
                  <c:v>3.5421912143851872</c:v>
                </c:pt>
                <c:pt idx="4">
                  <c:v>3.4015433099172383</c:v>
                </c:pt>
                <c:pt idx="5">
                  <c:v>3.2664800370611822</c:v>
                </c:pt>
                <c:pt idx="6">
                  <c:v>3.1367796498169023</c:v>
                </c:pt>
                <c:pt idx="7">
                  <c:v>3.0122292069348888</c:v>
                </c:pt>
                <c:pt idx="8">
                  <c:v>2.8926242223106811</c:v>
                </c:pt>
                <c:pt idx="9">
                  <c:v>2.7777683292609199</c:v>
                </c:pt>
                <c:pt idx="10">
                  <c:v>2.6674729581298062</c:v>
                </c:pt>
                <c:pt idx="11">
                  <c:v>2.5615570266966703</c:v>
                </c:pt>
                <c:pt idx="12">
                  <c:v>2.459846642876363</c:v>
                </c:pt>
                <c:pt idx="13">
                  <c:v>2.362174819224367</c:v>
                </c:pt>
                <c:pt idx="14">
                  <c:v>2.268381198777897</c:v>
                </c:pt>
                <c:pt idx="15">
                  <c:v>2.1783117917828876</c:v>
                </c:pt>
                <c:pt idx="16">
                  <c:v>2.0918187228746175</c:v>
                </c:pt>
                <c:pt idx="17">
                  <c:v>2.0087599882969016</c:v>
                </c:pt>
                <c:pt idx="18">
                  <c:v>1.9289992227612505</c:v>
                </c:pt>
                <c:pt idx="19">
                  <c:v>1.8524054755632287</c:v>
                </c:pt>
                <c:pt idx="20">
                  <c:v>1.78594434992565</c:v>
                </c:pt>
                <c:pt idx="21">
                  <c:v>1.7788529955884447</c:v>
                </c:pt>
              </c:numCache>
            </c:numRef>
          </c:xVal>
          <c:yVal>
            <c:numRef>
              <c:f>Pvap!$C$23:$C$44</c:f>
              <c:numCache>
                <c:formatCode>0.0000</c:formatCode>
                <c:ptCount val="22"/>
                <c:pt idx="0">
                  <c:v>8.0836149165030638E-3</c:v>
                </c:pt>
                <c:pt idx="1">
                  <c:v>1.6207266195744433E-2</c:v>
                </c:pt>
                <c:pt idx="2">
                  <c:v>3.1258875210762156E-2</c:v>
                </c:pt>
                <c:pt idx="3">
                  <c:v>5.811723116708116E-2</c:v>
                </c:pt>
                <c:pt idx="4">
                  <c:v>0.10437433943134912</c:v>
                </c:pt>
                <c:pt idx="5">
                  <c:v>0.18143013473605477</c:v>
                </c:pt>
                <c:pt idx="6">
                  <c:v>0.30584494184815675</c:v>
                </c:pt>
                <c:pt idx="7">
                  <c:v>0.50095379404491969</c:v>
                </c:pt>
                <c:pt idx="8">
                  <c:v>0.79873897287460038</c:v>
                </c:pt>
                <c:pt idx="9">
                  <c:v>1.2419565662834327</c:v>
                </c:pt>
                <c:pt idx="10">
                  <c:v>1.8865230429204805</c:v>
                </c:pt>
                <c:pt idx="11">
                  <c:v>2.804192214432971</c:v>
                </c:pt>
                <c:pt idx="12">
                  <c:v>4.0855960438249053</c:v>
                </c:pt>
                <c:pt idx="13">
                  <c:v>5.8437937282110406</c:v>
                </c:pt>
                <c:pt idx="14">
                  <c:v>8.2185939153590262</c:v>
                </c:pt>
                <c:pt idx="15">
                  <c:v>11.382136605289334</c:v>
                </c:pt>
                <c:pt idx="16">
                  <c:v>15.546672704686031</c:v>
                </c:pt>
                <c:pt idx="17">
                  <c:v>20.976510874317992</c:v>
                </c:pt>
                <c:pt idx="18">
                  <c:v>28.00886735613841</c:v>
                </c:pt>
                <c:pt idx="19">
                  <c:v>37.098209498714525</c:v>
                </c:pt>
                <c:pt idx="20">
                  <c:v>47.647861753356409</c:v>
                </c:pt>
                <c:pt idx="21">
                  <c:v>48.98</c:v>
                </c:pt>
              </c:numCache>
            </c:numRef>
          </c:yVal>
          <c:smooth val="1"/>
        </c:ser>
        <c:ser>
          <c:idx val="1"/>
          <c:order val="1"/>
          <c:tx>
            <c:v>van der Waals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Pvap!$D$23:$D$44</c:f>
              <c:numCache>
                <c:formatCode>General</c:formatCode>
                <c:ptCount val="22"/>
                <c:pt idx="0">
                  <c:v>4</c:v>
                </c:pt>
                <c:pt idx="1">
                  <c:v>3.8411741253303728</c:v>
                </c:pt>
                <c:pt idx="2">
                  <c:v>3.6886546652768888</c:v>
                </c:pt>
                <c:pt idx="3">
                  <c:v>3.5421912143851872</c:v>
                </c:pt>
                <c:pt idx="4">
                  <c:v>3.4015433099172383</c:v>
                </c:pt>
                <c:pt idx="5">
                  <c:v>3.2664800370611822</c:v>
                </c:pt>
                <c:pt idx="6">
                  <c:v>3.1367796498169023</c:v>
                </c:pt>
                <c:pt idx="7">
                  <c:v>3.0122292069348888</c:v>
                </c:pt>
                <c:pt idx="8">
                  <c:v>2.8926242223106811</c:v>
                </c:pt>
                <c:pt idx="9">
                  <c:v>2.7777683292609199</c:v>
                </c:pt>
                <c:pt idx="10">
                  <c:v>2.6674729581298062</c:v>
                </c:pt>
                <c:pt idx="11">
                  <c:v>2.5615570266966703</c:v>
                </c:pt>
                <c:pt idx="12">
                  <c:v>2.459846642876363</c:v>
                </c:pt>
                <c:pt idx="13">
                  <c:v>2.362174819224367</c:v>
                </c:pt>
                <c:pt idx="14">
                  <c:v>2.268381198777897</c:v>
                </c:pt>
                <c:pt idx="15">
                  <c:v>2.1783117917828876</c:v>
                </c:pt>
                <c:pt idx="16">
                  <c:v>2.0918187228746175</c:v>
                </c:pt>
                <c:pt idx="17">
                  <c:v>2.0087599882969016</c:v>
                </c:pt>
                <c:pt idx="18">
                  <c:v>1.9289992227612505</c:v>
                </c:pt>
                <c:pt idx="19">
                  <c:v>1.8524054755632287</c:v>
                </c:pt>
                <c:pt idx="20">
                  <c:v>1.78594434992565</c:v>
                </c:pt>
                <c:pt idx="21">
                  <c:v>1.7788529955884447</c:v>
                </c:pt>
              </c:numCache>
            </c:numRef>
          </c:xVal>
          <c:yVal>
            <c:numRef>
              <c:f>Pvap!$R$23:$R$44</c:f>
              <c:numCache>
                <c:formatCode>0.0000</c:formatCode>
                <c:ptCount val="22"/>
                <c:pt idx="0">
                  <c:v>8.0836716970118534E-3</c:v>
                </c:pt>
                <c:pt idx="1">
                  <c:v>1.6207266193003403E-2</c:v>
                </c:pt>
                <c:pt idx="2">
                  <c:v>3.1258875203957197E-2</c:v>
                </c:pt>
                <c:pt idx="3">
                  <c:v>5.8117231157534283E-2</c:v>
                </c:pt>
                <c:pt idx="4">
                  <c:v>0.10437433943014961</c:v>
                </c:pt>
                <c:pt idx="5">
                  <c:v>0.18143013467537775</c:v>
                </c:pt>
                <c:pt idx="6">
                  <c:v>0.30584494075778124</c:v>
                </c:pt>
                <c:pt idx="7" formatCode="0.000">
                  <c:v>0.50095378568276205</c:v>
                </c:pt>
                <c:pt idx="8" formatCode="0.000">
                  <c:v>0.7987389280105347</c:v>
                </c:pt>
                <c:pt idx="9" formatCode="0.000">
                  <c:v>1.2419563725864182</c:v>
                </c:pt>
                <c:pt idx="10" formatCode="0.000">
                  <c:v>1.8865223265079434</c:v>
                </c:pt>
                <c:pt idx="11" formatCode="0.000">
                  <c:v>2.8041898672575227</c:v>
                </c:pt>
                <c:pt idx="12" formatCode="0.000">
                  <c:v>4.0855890851863217</c:v>
                </c:pt>
                <c:pt idx="13" formatCode="0.000">
                  <c:v>5.8437749660105363</c:v>
                </c:pt>
                <c:pt idx="14" formatCode="0.000">
                  <c:v>8.2185483285618535</c:v>
                </c:pt>
                <c:pt idx="15" formatCode="0.000">
                  <c:v>11.382041450276011</c:v>
                </c:pt>
                <c:pt idx="16" formatCode="0.000">
                  <c:v>15.546534789553302</c:v>
                </c:pt>
                <c:pt idx="17" formatCode="0.000">
                  <c:v>20.976600451931731</c:v>
                </c:pt>
                <c:pt idx="18" formatCode="0.000">
                  <c:v>28.01094694531962</c:v>
                </c:pt>
                <c:pt idx="19" formatCode="0.000">
                  <c:v>37.111442272015758</c:v>
                </c:pt>
                <c:pt idx="20" formatCode="0.000">
                  <c:v>47.682468064708537</c:v>
                </c:pt>
                <c:pt idx="21" formatCode="0.000">
                  <c:v>48.98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974592"/>
        <c:axId val="164976512"/>
      </c:scatterChart>
      <c:valAx>
        <c:axId val="164974592"/>
        <c:scaling>
          <c:orientation val="minMax"/>
          <c:max val="4"/>
          <c:min val="1.5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/>
                  <a:t>1000/T, [1/K]</a:t>
                </a:r>
              </a:p>
            </c:rich>
          </c:tx>
          <c:layout>
            <c:manualLayout>
              <c:xMode val="edge"/>
              <c:yMode val="edge"/>
              <c:x val="0.4594606254990049"/>
              <c:y val="0.897325340599455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976512"/>
        <c:crossesAt val="9.9999999999999995E-8"/>
        <c:crossBetween val="midCat"/>
        <c:majorUnit val="0.5"/>
        <c:minorUnit val="0.1"/>
      </c:valAx>
      <c:valAx>
        <c:axId val="164976512"/>
        <c:scaling>
          <c:logBase val="10"/>
          <c:orientation val="minMax"/>
          <c:max val="100"/>
          <c:min val="0.01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/>
                  <a:t>Pressure, P [bar]</a:t>
                </a:r>
              </a:p>
            </c:rich>
          </c:tx>
          <c:layout>
            <c:manualLayout>
              <c:xMode val="edge"/>
              <c:yMode val="edge"/>
              <c:x val="2.4948088262389406E-2"/>
              <c:y val="0.26785831062670301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4974592"/>
        <c:crossesAt val="0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1621676494070818"/>
          <c:y val="0.54687738419618526"/>
          <c:w val="0.44490757401261111"/>
          <c:h val="0.18973297002724795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3" verticalDpi="0"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566408248077524"/>
          <c:y val="5.1044083526682132E-2"/>
          <c:w val="0.72787728564877507"/>
          <c:h val="0.7470997679814385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Pvap!$V$44:$V$45</c:f>
              <c:numCache>
                <c:formatCode>0.00</c:formatCode>
                <c:ptCount val="2"/>
                <c:pt idx="0">
                  <c:v>289.01</c:v>
                </c:pt>
              </c:numCache>
            </c:numRef>
          </c:xVal>
          <c:yVal>
            <c:numRef>
              <c:f>Pvap!$U$44:$U$44</c:f>
              <c:numCache>
                <c:formatCode>0.0</c:formatCode>
                <c:ptCount val="1"/>
                <c:pt idx="0">
                  <c:v>1881.7339064250737</c:v>
                </c:pt>
              </c:numCache>
            </c:numRef>
          </c:yVal>
          <c:smooth val="1"/>
        </c:ser>
        <c:ser>
          <c:idx val="1"/>
          <c:order val="1"/>
          <c:tx>
            <c:v>Clausius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00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Pvap!$V$23:$V$44</c:f>
              <c:numCache>
                <c:formatCode>0.00</c:formatCode>
                <c:ptCount val="22"/>
                <c:pt idx="0">
                  <c:v>-23.149999999999977</c:v>
                </c:pt>
                <c:pt idx="1">
                  <c:v>-12.812934464343812</c:v>
                </c:pt>
                <c:pt idx="2">
                  <c:v>-2.0484492331338515</c:v>
                </c:pt>
                <c:pt idx="3">
                  <c:v>9.1611287552466365</c:v>
                </c:pt>
                <c:pt idx="4">
                  <c:v>20.83420331279882</c:v>
                </c:pt>
                <c:pt idx="5">
                  <c:v>32.989939217167091</c:v>
                </c:pt>
                <c:pt idx="6">
                  <c:v>45.648293676245714</c:v>
                </c:pt>
                <c:pt idx="7">
                  <c:v>58.830049093792525</c:v>
                </c:pt>
                <c:pt idx="8">
                  <c:v>72.556847189844063</c:v>
                </c:pt>
                <c:pt idx="9">
                  <c:v>86.851224531950038</c:v>
                </c:pt>
                <c:pt idx="10">
                  <c:v>101.73664953556295</c:v>
                </c:pt>
                <c:pt idx="11">
                  <c:v>117.23756099432967</c:v>
                </c:pt>
                <c:pt idx="12">
                  <c:v>133.37940820354311</c:v>
                </c:pt>
                <c:pt idx="13">
                  <c:v>150.18869274262926</c:v>
                </c:pt>
                <c:pt idx="14">
                  <c:v>167.69301198526756</c:v>
                </c:pt>
                <c:pt idx="15">
                  <c:v>185.92110440857869</c:v>
                </c:pt>
                <c:pt idx="16">
                  <c:v>204.9028967757688</c:v>
                </c:pt>
                <c:pt idx="17">
                  <c:v>224.66955326969435</c:v>
                </c:pt>
                <c:pt idx="18">
                  <c:v>245.25352665801393</c:v>
                </c:pt>
                <c:pt idx="19">
                  <c:v>266.68861157393064</c:v>
                </c:pt>
                <c:pt idx="20">
                  <c:v>286.77786115739309</c:v>
                </c:pt>
                <c:pt idx="21">
                  <c:v>289.01</c:v>
                </c:pt>
              </c:numCache>
            </c:numRef>
          </c:xVal>
          <c:yVal>
            <c:numRef>
              <c:f>Pvap!$T$23:$T$44</c:f>
              <c:numCache>
                <c:formatCode>0.000</c:formatCode>
                <c:ptCount val="22"/>
                <c:pt idx="0">
                  <c:v>1.0000070241481536</c:v>
                </c:pt>
                <c:pt idx="1">
                  <c:v>0.99999999983087651</c:v>
                </c:pt>
                <c:pt idx="2">
                  <c:v>0.99999999978230314</c:v>
                </c:pt>
                <c:pt idx="3">
                  <c:v>0.99999999983573074</c:v>
                </c:pt>
                <c:pt idx="4">
                  <c:v>0.99999999998850764</c:v>
                </c:pt>
                <c:pt idx="5">
                  <c:v>0.99999999966556263</c:v>
                </c:pt>
                <c:pt idx="6">
                  <c:v>0.9999999964348748</c:v>
                </c:pt>
                <c:pt idx="7">
                  <c:v>0.99999998330752715</c:v>
                </c:pt>
                <c:pt idx="8">
                  <c:v>0.99999994383138024</c:v>
                </c:pt>
                <c:pt idx="9">
                  <c:v>0.9999998440388177</c:v>
                </c:pt>
                <c:pt idx="10">
                  <c:v>0.99999962024713152</c:v>
                </c:pt>
                <c:pt idx="11">
                  <c:v>0.99999916297626246</c:v>
                </c:pt>
                <c:pt idx="12">
                  <c:v>0.99999829678741881</c:v>
                </c:pt>
                <c:pt idx="13">
                  <c:v>0.99999678938008818</c:v>
                </c:pt>
                <c:pt idx="14">
                  <c:v>0.99999445321211367</c:v>
                </c:pt>
                <c:pt idx="15">
                  <c:v>0.99999163996913565</c:v>
                </c:pt>
                <c:pt idx="16">
                  <c:v>0.99999112896146014</c:v>
                </c:pt>
                <c:pt idx="17">
                  <c:v>1.0000042703771983</c:v>
                </c:pt>
                <c:pt idx="18">
                  <c:v>1.0000742475286404</c:v>
                </c:pt>
                <c:pt idx="19">
                  <c:v>1.0003566957403076</c:v>
                </c:pt>
                <c:pt idx="20">
                  <c:v>1.000726293060773</c:v>
                </c:pt>
                <c:pt idx="21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09280"/>
        <c:axId val="165011840"/>
      </c:scatterChart>
      <c:valAx>
        <c:axId val="165009280"/>
        <c:scaling>
          <c:orientation val="minMax"/>
          <c:max val="3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1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050" b="1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T, </a:t>
                </a:r>
                <a:r>
                  <a:rPr lang="en-ZA" sz="1050" b="1" i="1" u="none" strike="noStrike" baseline="3000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o</a:t>
                </a:r>
                <a:r>
                  <a:rPr lang="en-ZA" sz="1050" b="1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0.52433713282297778"/>
              <c:y val="0.888631090487238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5011840"/>
        <c:crossesAt val="0"/>
        <c:crossBetween val="midCat"/>
        <c:majorUnit val="50"/>
        <c:minorUnit val="10"/>
      </c:valAx>
      <c:valAx>
        <c:axId val="165011840"/>
        <c:scaling>
          <c:orientation val="minMax"/>
          <c:max val="1.0049999999999999"/>
          <c:min val="0.995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/>
                  <a:t>P.clausius/ P</a:t>
                </a:r>
              </a:p>
            </c:rich>
          </c:tx>
          <c:layout>
            <c:manualLayout>
              <c:xMode val="edge"/>
              <c:yMode val="edge"/>
              <c:x val="3.3185894482466949E-2"/>
              <c:y val="0.3248259860788863"/>
            </c:manualLayout>
          </c:layout>
          <c:overlay val="0"/>
          <c:spPr>
            <a:noFill/>
            <a:ln w="25400">
              <a:noFill/>
            </a:ln>
          </c:spPr>
        </c:title>
        <c:numFmt formatCode="0.0000" sourceLinked="0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5009280"/>
        <c:crossesAt val="-1000"/>
        <c:crossBetween val="midCat"/>
        <c:majorUnit val="1E-3"/>
        <c:minorUnit val="5.0000000000000001E-4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2" verticalDpi="0"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857709731411872"/>
          <c:y val="5.2966238678078544E-2"/>
          <c:w val="0.74074109326509452"/>
          <c:h val="0.7500019396815922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'Phase diagram'!$D$22</c:f>
              <c:strCache>
                <c:ptCount val="1"/>
                <c:pt idx="0">
                  <c:v>V-liquid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'Phase diagram'!$D$26:$D$47</c:f>
              <c:numCache>
                <c:formatCode>0.000</c:formatCode>
                <c:ptCount val="22"/>
                <c:pt idx="0">
                  <c:v>0.13085271658314221</c:v>
                </c:pt>
                <c:pt idx="1">
                  <c:v>0.13173101900813594</c:v>
                </c:pt>
                <c:pt idx="2">
                  <c:v>0.13269675752520102</c:v>
                </c:pt>
                <c:pt idx="3">
                  <c:v>0.13376234798893852</c:v>
                </c:pt>
                <c:pt idx="4">
                  <c:v>0.13494275384656634</c:v>
                </c:pt>
                <c:pt idx="5">
                  <c:v>0.13625617187566796</c:v>
                </c:pt>
                <c:pt idx="6">
                  <c:v>0.137724952917779</c:v>
                </c:pt>
                <c:pt idx="7">
                  <c:v>0.13937686391254375</c:v>
                </c:pt>
                <c:pt idx="8">
                  <c:v>0.14124685775470069</c:v>
                </c:pt>
                <c:pt idx="9">
                  <c:v>0.14337961869641269</c:v>
                </c:pt>
                <c:pt idx="10">
                  <c:v>0.14583332788469333</c:v>
                </c:pt>
                <c:pt idx="11">
                  <c:v>0.14868527741384086</c:v>
                </c:pt>
                <c:pt idx="12">
                  <c:v>0.15204169021393446</c:v>
                </c:pt>
                <c:pt idx="13">
                  <c:v>0.15605155917878541</c:v>
                </c:pt>
                <c:pt idx="14">
                  <c:v>0.16093467004790543</c:v>
                </c:pt>
                <c:pt idx="15">
                  <c:v>0.16703169753244904</c:v>
                </c:pt>
                <c:pt idx="16">
                  <c:v>0.17490868126908923</c:v>
                </c:pt>
                <c:pt idx="17">
                  <c:v>0.18561435472003968</c:v>
                </c:pt>
                <c:pt idx="18">
                  <c:v>0.20140965729662019</c:v>
                </c:pt>
                <c:pt idx="19">
                  <c:v>0.22893271681419078</c:v>
                </c:pt>
                <c:pt idx="20">
                  <c:v>0.30339147603475525</c:v>
                </c:pt>
                <c:pt idx="21">
                  <c:v>0.35785664620253166</c:v>
                </c:pt>
              </c:numCache>
            </c:numRef>
          </c:xVal>
          <c:yVal>
            <c:numRef>
              <c:f>'Phase diagram'!$C$26:$C$47</c:f>
              <c:numCache>
                <c:formatCode>0.000</c:formatCode>
                <c:ptCount val="22"/>
                <c:pt idx="0">
                  <c:v>8.0836149165030638E-3</c:v>
                </c:pt>
                <c:pt idx="1">
                  <c:v>1.6207266195744433E-2</c:v>
                </c:pt>
                <c:pt idx="2">
                  <c:v>3.1258875210762156E-2</c:v>
                </c:pt>
                <c:pt idx="3">
                  <c:v>5.811723116708116E-2</c:v>
                </c:pt>
                <c:pt idx="4">
                  <c:v>0.10437433943134912</c:v>
                </c:pt>
                <c:pt idx="5">
                  <c:v>0.18143013473605477</c:v>
                </c:pt>
                <c:pt idx="6">
                  <c:v>0.30584494184815675</c:v>
                </c:pt>
                <c:pt idx="7">
                  <c:v>0.50095379404491969</c:v>
                </c:pt>
                <c:pt idx="8">
                  <c:v>0.79873897287460038</c:v>
                </c:pt>
                <c:pt idx="9">
                  <c:v>1.2419565662834327</c:v>
                </c:pt>
                <c:pt idx="10">
                  <c:v>1.8865230429204805</c:v>
                </c:pt>
                <c:pt idx="11">
                  <c:v>2.804192214432971</c:v>
                </c:pt>
                <c:pt idx="12">
                  <c:v>4.0855960438249053</c:v>
                </c:pt>
                <c:pt idx="13">
                  <c:v>5.8437937282110406</c:v>
                </c:pt>
                <c:pt idx="14">
                  <c:v>8.2185939153590262</c:v>
                </c:pt>
                <c:pt idx="15">
                  <c:v>11.382136605289334</c:v>
                </c:pt>
                <c:pt idx="16">
                  <c:v>15.546672704686031</c:v>
                </c:pt>
                <c:pt idx="17">
                  <c:v>20.976510874317992</c:v>
                </c:pt>
                <c:pt idx="18">
                  <c:v>28.00886735613841</c:v>
                </c:pt>
                <c:pt idx="19">
                  <c:v>37.098209498714525</c:v>
                </c:pt>
                <c:pt idx="20">
                  <c:v>47.647861753356409</c:v>
                </c:pt>
                <c:pt idx="21">
                  <c:v>48.98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'Phase diagram'!$F$22</c:f>
              <c:strCache>
                <c:ptCount val="1"/>
                <c:pt idx="0">
                  <c:v>V-vapour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'Phase diagram'!$F$26:$F$47</c:f>
              <c:numCache>
                <c:formatCode>0</c:formatCode>
                <c:ptCount val="22"/>
                <c:pt idx="0">
                  <c:v>2570.0466781979353</c:v>
                </c:pt>
                <c:pt idx="1">
                  <c:v>1334.2822139223372</c:v>
                </c:pt>
                <c:pt idx="2">
                  <c:v>719.90408409071586</c:v>
                </c:pt>
                <c:pt idx="3">
                  <c:v>402.76720497530511</c:v>
                </c:pt>
                <c:pt idx="4" formatCode="0.0">
                  <c:v>233.14094623355646</c:v>
                </c:pt>
                <c:pt idx="5" formatCode="0.0">
                  <c:v>139.31528939032131</c:v>
                </c:pt>
                <c:pt idx="6" formatCode="0.0">
                  <c:v>85.747773096660865</c:v>
                </c:pt>
                <c:pt idx="7" formatCode="0.0">
                  <c:v>54.239504994725849</c:v>
                </c:pt>
                <c:pt idx="8" formatCode="0.0">
                  <c:v>35.180248120405857</c:v>
                </c:pt>
                <c:pt idx="9" formatCode="0.0">
                  <c:v>23.344750820334983</c:v>
                </c:pt>
                <c:pt idx="10" formatCode="0.00">
                  <c:v>15.812312715495965</c:v>
                </c:pt>
                <c:pt idx="11" formatCode="0.00">
                  <c:v>10.907111486584226</c:v>
                </c:pt>
                <c:pt idx="12" formatCode="0.00">
                  <c:v>7.6435197673646131</c:v>
                </c:pt>
                <c:pt idx="13" formatCode="0.00">
                  <c:v>5.4280833101355412</c:v>
                </c:pt>
                <c:pt idx="14" formatCode="0.00">
                  <c:v>3.8954454897186128</c:v>
                </c:pt>
                <c:pt idx="15" formatCode="0.00">
                  <c:v>2.8158083277094557</c:v>
                </c:pt>
                <c:pt idx="16" formatCode="0.00">
                  <c:v>2.041521578691778</c:v>
                </c:pt>
                <c:pt idx="17" formatCode="0.000">
                  <c:v>1.4754815179520717</c:v>
                </c:pt>
                <c:pt idx="18" formatCode="0.000">
                  <c:v>1.0514486356817634</c:v>
                </c:pt>
                <c:pt idx="19" formatCode="0.000">
                  <c:v>0.71927521987358511</c:v>
                </c:pt>
                <c:pt idx="20" formatCode="0.000">
                  <c:v>0.43285019074197167</c:v>
                </c:pt>
                <c:pt idx="21" formatCode="0.000">
                  <c:v>0.35785664620253166</c:v>
                </c:pt>
              </c:numCache>
            </c:numRef>
          </c:xVal>
          <c:yVal>
            <c:numRef>
              <c:f>'Phase diagram'!$C$26:$C$47</c:f>
              <c:numCache>
                <c:formatCode>0.000</c:formatCode>
                <c:ptCount val="22"/>
                <c:pt idx="0">
                  <c:v>8.0836149165030638E-3</c:v>
                </c:pt>
                <c:pt idx="1">
                  <c:v>1.6207266195744433E-2</c:v>
                </c:pt>
                <c:pt idx="2">
                  <c:v>3.1258875210762156E-2</c:v>
                </c:pt>
                <c:pt idx="3">
                  <c:v>5.811723116708116E-2</c:v>
                </c:pt>
                <c:pt idx="4">
                  <c:v>0.10437433943134912</c:v>
                </c:pt>
                <c:pt idx="5">
                  <c:v>0.18143013473605477</c:v>
                </c:pt>
                <c:pt idx="6">
                  <c:v>0.30584494184815675</c:v>
                </c:pt>
                <c:pt idx="7">
                  <c:v>0.50095379404491969</c:v>
                </c:pt>
                <c:pt idx="8">
                  <c:v>0.79873897287460038</c:v>
                </c:pt>
                <c:pt idx="9">
                  <c:v>1.2419565662834327</c:v>
                </c:pt>
                <c:pt idx="10">
                  <c:v>1.8865230429204805</c:v>
                </c:pt>
                <c:pt idx="11">
                  <c:v>2.804192214432971</c:v>
                </c:pt>
                <c:pt idx="12">
                  <c:v>4.0855960438249053</c:v>
                </c:pt>
                <c:pt idx="13">
                  <c:v>5.8437937282110406</c:v>
                </c:pt>
                <c:pt idx="14">
                  <c:v>8.2185939153590262</c:v>
                </c:pt>
                <c:pt idx="15">
                  <c:v>11.382136605289334</c:v>
                </c:pt>
                <c:pt idx="16">
                  <c:v>15.546672704686031</c:v>
                </c:pt>
                <c:pt idx="17">
                  <c:v>20.976510874317992</c:v>
                </c:pt>
                <c:pt idx="18">
                  <c:v>28.00886735613841</c:v>
                </c:pt>
                <c:pt idx="19">
                  <c:v>37.098209498714525</c:v>
                </c:pt>
                <c:pt idx="20">
                  <c:v>47.647861753356409</c:v>
                </c:pt>
                <c:pt idx="21">
                  <c:v>48.98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'Phase diagram'!$E$22</c:f>
              <c:strCache>
                <c:ptCount val="1"/>
              </c:strCache>
            </c:strRef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'Phase diagram'!$E$26:$E$47</c:f>
              <c:numCache>
                <c:formatCode>0.000</c:formatCode>
                <c:ptCount val="22"/>
                <c:pt idx="0">
                  <c:v>1.3501176877166472</c:v>
                </c:pt>
                <c:pt idx="1">
                  <c:v>1.263792368503573</c:v>
                </c:pt>
                <c:pt idx="2">
                  <c:v>1.1822050795258292</c:v>
                </c:pt>
                <c:pt idx="3">
                  <c:v>1.1051958364187158</c:v>
                </c:pt>
                <c:pt idx="4">
                  <c:v>1.032624642053861</c:v>
                </c:pt>
                <c:pt idx="5">
                  <c:v>0.96436654879985895</c:v>
                </c:pt>
                <c:pt idx="6">
                  <c:v>0.90030500756195408</c:v>
                </c:pt>
                <c:pt idx="7">
                  <c:v>0.84032449722957381</c:v>
                </c:pt>
                <c:pt idx="8">
                  <c:v>0.78430350713092167</c:v>
                </c:pt>
                <c:pt idx="9">
                  <c:v>0.73210890022401642</c:v>
                </c:pt>
                <c:pt idx="10">
                  <c:v>0.68359232206856113</c:v>
                </c:pt>
                <c:pt idx="11">
                  <c:v>0.63859145800027584</c:v>
                </c:pt>
                <c:pt idx="12">
                  <c:v>0.5969179985934856</c:v>
                </c:pt>
                <c:pt idx="13">
                  <c:v>0.55838482816015844</c:v>
                </c:pt>
                <c:pt idx="14">
                  <c:v>0.52278462053753394</c:v>
                </c:pt>
                <c:pt idx="15">
                  <c:v>0.48990315687054009</c:v>
                </c:pt>
                <c:pt idx="16">
                  <c:v>0.45952813207117682</c:v>
                </c:pt>
                <c:pt idx="17">
                  <c:v>0.43140899678524214</c:v>
                </c:pt>
                <c:pt idx="18">
                  <c:v>0.40532251047186363</c:v>
                </c:pt>
                <c:pt idx="19">
                  <c:v>0.38097253553943167</c:v>
                </c:pt>
                <c:pt idx="20">
                  <c:v>0.36011307867619119</c:v>
                </c:pt>
                <c:pt idx="21">
                  <c:v>0.35785664620253166</c:v>
                </c:pt>
              </c:numCache>
            </c:numRef>
          </c:xVal>
          <c:yVal>
            <c:numRef>
              <c:f>'Phase diagram'!$C$26:$C$47</c:f>
              <c:numCache>
                <c:formatCode>0.000</c:formatCode>
                <c:ptCount val="22"/>
                <c:pt idx="0">
                  <c:v>8.0836149165030638E-3</c:v>
                </c:pt>
                <c:pt idx="1">
                  <c:v>1.6207266195744433E-2</c:v>
                </c:pt>
                <c:pt idx="2">
                  <c:v>3.1258875210762156E-2</c:v>
                </c:pt>
                <c:pt idx="3">
                  <c:v>5.811723116708116E-2</c:v>
                </c:pt>
                <c:pt idx="4">
                  <c:v>0.10437433943134912</c:v>
                </c:pt>
                <c:pt idx="5">
                  <c:v>0.18143013473605477</c:v>
                </c:pt>
                <c:pt idx="6">
                  <c:v>0.30584494184815675</c:v>
                </c:pt>
                <c:pt idx="7">
                  <c:v>0.50095379404491969</c:v>
                </c:pt>
                <c:pt idx="8">
                  <c:v>0.79873897287460038</c:v>
                </c:pt>
                <c:pt idx="9">
                  <c:v>1.2419565662834327</c:v>
                </c:pt>
                <c:pt idx="10">
                  <c:v>1.8865230429204805</c:v>
                </c:pt>
                <c:pt idx="11">
                  <c:v>2.804192214432971</c:v>
                </c:pt>
                <c:pt idx="12">
                  <c:v>4.0855960438249053</c:v>
                </c:pt>
                <c:pt idx="13">
                  <c:v>5.8437937282110406</c:v>
                </c:pt>
                <c:pt idx="14">
                  <c:v>8.2185939153590262</c:v>
                </c:pt>
                <c:pt idx="15">
                  <c:v>11.382136605289334</c:v>
                </c:pt>
                <c:pt idx="16">
                  <c:v>15.546672704686031</c:v>
                </c:pt>
                <c:pt idx="17">
                  <c:v>20.976510874317992</c:v>
                </c:pt>
                <c:pt idx="18">
                  <c:v>28.00886735613841</c:v>
                </c:pt>
                <c:pt idx="19">
                  <c:v>37.098209498714525</c:v>
                </c:pt>
                <c:pt idx="20">
                  <c:v>47.647861753356409</c:v>
                </c:pt>
                <c:pt idx="21">
                  <c:v>48.98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725120"/>
        <c:axId val="164727040"/>
      </c:scatterChart>
      <c:valAx>
        <c:axId val="164725120"/>
        <c:scaling>
          <c:logBase val="10"/>
          <c:orientation val="minMax"/>
          <c:max val="100"/>
          <c:min val="0.01"/>
        </c:scaling>
        <c:delete val="0"/>
        <c:axPos val="b"/>
        <c:title>
          <c:tx>
            <c:rich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92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Volume, </a:t>
                </a:r>
                <a:r>
                  <a:rPr lang="en-ZA" sz="925" b="0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ZA" sz="92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0.46783647995690181"/>
              <c:y val="0.90254470707445844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4727040"/>
        <c:crossesAt val="1E-4"/>
        <c:crossBetween val="midCat"/>
        <c:majorUnit val="10"/>
        <c:minorUnit val="10"/>
      </c:valAx>
      <c:valAx>
        <c:axId val="164727040"/>
        <c:scaling>
          <c:logBase val="10"/>
          <c:orientation val="minMax"/>
          <c:max val="100"/>
          <c:min val="0.01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/>
                  <a:t>Pressure, bar</a:t>
                </a:r>
              </a:p>
            </c:rich>
          </c:tx>
          <c:layout>
            <c:manualLayout>
              <c:xMode val="edge"/>
              <c:yMode val="edge"/>
              <c:x val="2.534114266433218E-2"/>
              <c:y val="0.3177974320684712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4725120"/>
        <c:crossesAt val="1E-3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3742720394127872"/>
          <c:y val="8.6864631432048811E-2"/>
          <c:w val="0.28070188797414108"/>
          <c:h val="0.2012717069766984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83727611608747"/>
          <c:y val="7.0946180011415255E-2"/>
          <c:w val="0.72963666597556898"/>
          <c:h val="0.766894422028155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 = B(T)'!$C$20</c:f>
              <c:strCache>
                <c:ptCount val="1"/>
                <c:pt idx="0">
                  <c:v>Ref 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 = B(T)'!$B$21:$B$56</c:f>
              <c:numCache>
                <c:formatCode>General</c:formatCode>
                <c:ptCount val="36"/>
                <c:pt idx="0">
                  <c:v>295.2</c:v>
                </c:pt>
                <c:pt idx="1">
                  <c:v>308.2</c:v>
                </c:pt>
                <c:pt idx="2">
                  <c:v>308.37</c:v>
                </c:pt>
                <c:pt idx="3">
                  <c:v>323.2</c:v>
                </c:pt>
                <c:pt idx="4">
                  <c:v>331.12</c:v>
                </c:pt>
                <c:pt idx="5">
                  <c:v>331.16</c:v>
                </c:pt>
                <c:pt idx="6">
                  <c:v>333.16</c:v>
                </c:pt>
                <c:pt idx="7">
                  <c:v>335.16</c:v>
                </c:pt>
                <c:pt idx="8">
                  <c:v>337.64</c:v>
                </c:pt>
                <c:pt idx="9">
                  <c:v>338.16</c:v>
                </c:pt>
                <c:pt idx="10">
                  <c:v>340.3</c:v>
                </c:pt>
                <c:pt idx="11">
                  <c:v>341.16</c:v>
                </c:pt>
                <c:pt idx="12">
                  <c:v>343.16</c:v>
                </c:pt>
                <c:pt idx="13">
                  <c:v>343.16</c:v>
                </c:pt>
                <c:pt idx="14">
                  <c:v>343.2</c:v>
                </c:pt>
                <c:pt idx="15">
                  <c:v>348.16</c:v>
                </c:pt>
                <c:pt idx="16">
                  <c:v>349.1</c:v>
                </c:pt>
                <c:pt idx="17">
                  <c:v>353.2</c:v>
                </c:pt>
                <c:pt idx="18">
                  <c:v>354.48</c:v>
                </c:pt>
                <c:pt idx="19">
                  <c:v>354.96</c:v>
                </c:pt>
                <c:pt idx="20">
                  <c:v>363</c:v>
                </c:pt>
                <c:pt idx="21">
                  <c:v>363.2</c:v>
                </c:pt>
                <c:pt idx="22">
                  <c:v>373.2</c:v>
                </c:pt>
                <c:pt idx="23">
                  <c:v>373.2</c:v>
                </c:pt>
                <c:pt idx="24">
                  <c:v>376.9</c:v>
                </c:pt>
                <c:pt idx="25">
                  <c:v>380.47</c:v>
                </c:pt>
                <c:pt idx="26">
                  <c:v>383.2</c:v>
                </c:pt>
                <c:pt idx="27">
                  <c:v>393.1</c:v>
                </c:pt>
                <c:pt idx="28">
                  <c:v>405</c:v>
                </c:pt>
                <c:pt idx="29">
                  <c:v>409</c:v>
                </c:pt>
                <c:pt idx="30">
                  <c:v>416.08</c:v>
                </c:pt>
                <c:pt idx="31">
                  <c:v>416.5</c:v>
                </c:pt>
                <c:pt idx="32">
                  <c:v>424.2</c:v>
                </c:pt>
                <c:pt idx="33">
                  <c:v>429.7</c:v>
                </c:pt>
                <c:pt idx="34">
                  <c:v>437.8</c:v>
                </c:pt>
                <c:pt idx="35">
                  <c:v>457.67</c:v>
                </c:pt>
              </c:numCache>
            </c:numRef>
          </c:xVal>
          <c:yVal>
            <c:numRef>
              <c:f>'B = B(T)'!$C$21:$C$56</c:f>
              <c:numCache>
                <c:formatCode>General</c:formatCode>
                <c:ptCount val="36"/>
                <c:pt idx="0">
                  <c:v>-1528</c:v>
                </c:pt>
                <c:pt idx="1">
                  <c:v>-1352</c:v>
                </c:pt>
                <c:pt idx="2">
                  <c:v>-1394</c:v>
                </c:pt>
                <c:pt idx="3">
                  <c:v>-1202</c:v>
                </c:pt>
                <c:pt idx="4">
                  <c:v>-1123</c:v>
                </c:pt>
                <c:pt idx="8">
                  <c:v>-1065</c:v>
                </c:pt>
                <c:pt idx="12">
                  <c:v>-1023</c:v>
                </c:pt>
                <c:pt idx="14">
                  <c:v>-1035</c:v>
                </c:pt>
                <c:pt idx="18">
                  <c:v>-938</c:v>
                </c:pt>
                <c:pt idx="19">
                  <c:v>-939</c:v>
                </c:pt>
                <c:pt idx="25">
                  <c:v>-785</c:v>
                </c:pt>
                <c:pt idx="28">
                  <c:v>-724</c:v>
                </c:pt>
                <c:pt idx="30">
                  <c:v>-641</c:v>
                </c:pt>
                <c:pt idx="31">
                  <c:v>-638</c:v>
                </c:pt>
                <c:pt idx="33">
                  <c:v>-599</c:v>
                </c:pt>
                <c:pt idx="35">
                  <c:v>-521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'B = B(T)'!$D$20</c:f>
              <c:strCache>
                <c:ptCount val="1"/>
                <c:pt idx="0">
                  <c:v>Ref 2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8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 = B(T)'!$B$21:$B$56</c:f>
              <c:numCache>
                <c:formatCode>General</c:formatCode>
                <c:ptCount val="36"/>
                <c:pt idx="0">
                  <c:v>295.2</c:v>
                </c:pt>
                <c:pt idx="1">
                  <c:v>308.2</c:v>
                </c:pt>
                <c:pt idx="2">
                  <c:v>308.37</c:v>
                </c:pt>
                <c:pt idx="3">
                  <c:v>323.2</c:v>
                </c:pt>
                <c:pt idx="4">
                  <c:v>331.12</c:v>
                </c:pt>
                <c:pt idx="5">
                  <c:v>331.16</c:v>
                </c:pt>
                <c:pt idx="6">
                  <c:v>333.16</c:v>
                </c:pt>
                <c:pt idx="7">
                  <c:v>335.16</c:v>
                </c:pt>
                <c:pt idx="8">
                  <c:v>337.64</c:v>
                </c:pt>
                <c:pt idx="9">
                  <c:v>338.16</c:v>
                </c:pt>
                <c:pt idx="10">
                  <c:v>340.3</c:v>
                </c:pt>
                <c:pt idx="11">
                  <c:v>341.16</c:v>
                </c:pt>
                <c:pt idx="12">
                  <c:v>343.16</c:v>
                </c:pt>
                <c:pt idx="13">
                  <c:v>343.16</c:v>
                </c:pt>
                <c:pt idx="14">
                  <c:v>343.2</c:v>
                </c:pt>
                <c:pt idx="15">
                  <c:v>348.16</c:v>
                </c:pt>
                <c:pt idx="16">
                  <c:v>349.1</c:v>
                </c:pt>
                <c:pt idx="17">
                  <c:v>353.2</c:v>
                </c:pt>
                <c:pt idx="18">
                  <c:v>354.48</c:v>
                </c:pt>
                <c:pt idx="19">
                  <c:v>354.96</c:v>
                </c:pt>
                <c:pt idx="20">
                  <c:v>363</c:v>
                </c:pt>
                <c:pt idx="21">
                  <c:v>363.2</c:v>
                </c:pt>
                <c:pt idx="22">
                  <c:v>373.2</c:v>
                </c:pt>
                <c:pt idx="23">
                  <c:v>373.2</c:v>
                </c:pt>
                <c:pt idx="24">
                  <c:v>376.9</c:v>
                </c:pt>
                <c:pt idx="25">
                  <c:v>380.47</c:v>
                </c:pt>
                <c:pt idx="26">
                  <c:v>383.2</c:v>
                </c:pt>
                <c:pt idx="27">
                  <c:v>393.1</c:v>
                </c:pt>
                <c:pt idx="28">
                  <c:v>405</c:v>
                </c:pt>
                <c:pt idx="29">
                  <c:v>409</c:v>
                </c:pt>
                <c:pt idx="30">
                  <c:v>416.08</c:v>
                </c:pt>
                <c:pt idx="31">
                  <c:v>416.5</c:v>
                </c:pt>
                <c:pt idx="32">
                  <c:v>424.2</c:v>
                </c:pt>
                <c:pt idx="33">
                  <c:v>429.7</c:v>
                </c:pt>
                <c:pt idx="34">
                  <c:v>437.8</c:v>
                </c:pt>
                <c:pt idx="35">
                  <c:v>457.67</c:v>
                </c:pt>
              </c:numCache>
            </c:numRef>
          </c:xVal>
          <c:yVal>
            <c:numRef>
              <c:f>'B = B(T)'!$D$21:$D$56</c:f>
              <c:numCache>
                <c:formatCode>General</c:formatCode>
                <c:ptCount val="36"/>
                <c:pt idx="10">
                  <c:v>-1046</c:v>
                </c:pt>
                <c:pt idx="16">
                  <c:v>-969</c:v>
                </c:pt>
                <c:pt idx="20">
                  <c:v>-900</c:v>
                </c:pt>
                <c:pt idx="22">
                  <c:v>-814</c:v>
                </c:pt>
                <c:pt idx="24">
                  <c:v>-830</c:v>
                </c:pt>
                <c:pt idx="27">
                  <c:v>-729</c:v>
                </c:pt>
                <c:pt idx="29">
                  <c:v>-668</c:v>
                </c:pt>
                <c:pt idx="32">
                  <c:v>-572</c:v>
                </c:pt>
                <c:pt idx="34">
                  <c:v>-516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'B = B(T)'!$E$20</c:f>
              <c:strCache>
                <c:ptCount val="1"/>
                <c:pt idx="0">
                  <c:v>Ref 3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 = B(T)'!$B$21:$B$41</c:f>
              <c:numCache>
                <c:formatCode>General</c:formatCode>
                <c:ptCount val="21"/>
                <c:pt idx="0">
                  <c:v>295.2</c:v>
                </c:pt>
                <c:pt idx="1">
                  <c:v>308.2</c:v>
                </c:pt>
                <c:pt idx="2">
                  <c:v>308.37</c:v>
                </c:pt>
                <c:pt idx="3">
                  <c:v>323.2</c:v>
                </c:pt>
                <c:pt idx="4">
                  <c:v>331.12</c:v>
                </c:pt>
                <c:pt idx="5">
                  <c:v>331.16</c:v>
                </c:pt>
                <c:pt idx="6">
                  <c:v>333.16</c:v>
                </c:pt>
                <c:pt idx="7">
                  <c:v>335.16</c:v>
                </c:pt>
                <c:pt idx="8">
                  <c:v>337.64</c:v>
                </c:pt>
                <c:pt idx="9">
                  <c:v>338.16</c:v>
                </c:pt>
                <c:pt idx="10">
                  <c:v>340.3</c:v>
                </c:pt>
                <c:pt idx="11">
                  <c:v>341.16</c:v>
                </c:pt>
                <c:pt idx="12">
                  <c:v>343.16</c:v>
                </c:pt>
                <c:pt idx="13">
                  <c:v>343.16</c:v>
                </c:pt>
                <c:pt idx="14">
                  <c:v>343.2</c:v>
                </c:pt>
                <c:pt idx="15">
                  <c:v>348.16</c:v>
                </c:pt>
                <c:pt idx="16">
                  <c:v>349.1</c:v>
                </c:pt>
                <c:pt idx="17">
                  <c:v>353.2</c:v>
                </c:pt>
                <c:pt idx="18">
                  <c:v>354.48</c:v>
                </c:pt>
                <c:pt idx="19">
                  <c:v>354.96</c:v>
                </c:pt>
                <c:pt idx="20">
                  <c:v>363</c:v>
                </c:pt>
              </c:numCache>
            </c:numRef>
          </c:xVal>
          <c:yVal>
            <c:numRef>
              <c:f>'B = B(T)'!$E$21:$E$41</c:f>
              <c:numCache>
                <c:formatCode>General</c:formatCode>
                <c:ptCount val="21"/>
                <c:pt idx="17">
                  <c:v>-944</c:v>
                </c:pt>
              </c:numCache>
            </c:numRef>
          </c:yVal>
          <c:smooth val="1"/>
        </c:ser>
        <c:ser>
          <c:idx val="3"/>
          <c:order val="3"/>
          <c:tx>
            <c:v>Predicted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 = B(T)'!$B$21:$B$56</c:f>
              <c:numCache>
                <c:formatCode>General</c:formatCode>
                <c:ptCount val="36"/>
                <c:pt idx="0">
                  <c:v>295.2</c:v>
                </c:pt>
                <c:pt idx="1">
                  <c:v>308.2</c:v>
                </c:pt>
                <c:pt idx="2">
                  <c:v>308.37</c:v>
                </c:pt>
                <c:pt idx="3">
                  <c:v>323.2</c:v>
                </c:pt>
                <c:pt idx="4">
                  <c:v>331.12</c:v>
                </c:pt>
                <c:pt idx="5">
                  <c:v>331.16</c:v>
                </c:pt>
                <c:pt idx="6">
                  <c:v>333.16</c:v>
                </c:pt>
                <c:pt idx="7">
                  <c:v>335.16</c:v>
                </c:pt>
                <c:pt idx="8">
                  <c:v>337.64</c:v>
                </c:pt>
                <c:pt idx="9">
                  <c:v>338.16</c:v>
                </c:pt>
                <c:pt idx="10">
                  <c:v>340.3</c:v>
                </c:pt>
                <c:pt idx="11">
                  <c:v>341.16</c:v>
                </c:pt>
                <c:pt idx="12">
                  <c:v>343.16</c:v>
                </c:pt>
                <c:pt idx="13">
                  <c:v>343.16</c:v>
                </c:pt>
                <c:pt idx="14">
                  <c:v>343.2</c:v>
                </c:pt>
                <c:pt idx="15">
                  <c:v>348.16</c:v>
                </c:pt>
                <c:pt idx="16">
                  <c:v>349.1</c:v>
                </c:pt>
                <c:pt idx="17">
                  <c:v>353.2</c:v>
                </c:pt>
                <c:pt idx="18">
                  <c:v>354.48</c:v>
                </c:pt>
                <c:pt idx="19">
                  <c:v>354.96</c:v>
                </c:pt>
                <c:pt idx="20">
                  <c:v>363</c:v>
                </c:pt>
                <c:pt idx="21">
                  <c:v>363.2</c:v>
                </c:pt>
                <c:pt idx="22">
                  <c:v>373.2</c:v>
                </c:pt>
                <c:pt idx="23">
                  <c:v>373.2</c:v>
                </c:pt>
                <c:pt idx="24">
                  <c:v>376.9</c:v>
                </c:pt>
                <c:pt idx="25">
                  <c:v>380.47</c:v>
                </c:pt>
                <c:pt idx="26">
                  <c:v>383.2</c:v>
                </c:pt>
                <c:pt idx="27">
                  <c:v>393.1</c:v>
                </c:pt>
                <c:pt idx="28">
                  <c:v>405</c:v>
                </c:pt>
                <c:pt idx="29">
                  <c:v>409</c:v>
                </c:pt>
                <c:pt idx="30">
                  <c:v>416.08</c:v>
                </c:pt>
                <c:pt idx="31">
                  <c:v>416.5</c:v>
                </c:pt>
                <c:pt idx="32">
                  <c:v>424.2</c:v>
                </c:pt>
                <c:pt idx="33">
                  <c:v>429.7</c:v>
                </c:pt>
                <c:pt idx="34">
                  <c:v>437.8</c:v>
                </c:pt>
                <c:pt idx="35">
                  <c:v>457.67</c:v>
                </c:pt>
              </c:numCache>
            </c:numRef>
          </c:xVal>
          <c:yVal>
            <c:numRef>
              <c:f>'B = B(T)'!$H$21:$H$56</c:f>
              <c:numCache>
                <c:formatCode>0</c:formatCode>
                <c:ptCount val="36"/>
                <c:pt idx="0">
                  <c:v>-1553.4251427364823</c:v>
                </c:pt>
                <c:pt idx="1">
                  <c:v>-1371.8822365025565</c:v>
                </c:pt>
                <c:pt idx="2">
                  <c:v>-1369.7402154140821</c:v>
                </c:pt>
                <c:pt idx="3">
                  <c:v>-1201.9999193855576</c:v>
                </c:pt>
                <c:pt idx="4">
                  <c:v>-1125.8100927340374</c:v>
                </c:pt>
                <c:pt idx="5">
                  <c:v>-1125.4457492301674</c:v>
                </c:pt>
                <c:pt idx="6">
                  <c:v>-1107.4751363971145</c:v>
                </c:pt>
                <c:pt idx="7">
                  <c:v>-1089.9764381434163</c:v>
                </c:pt>
                <c:pt idx="8">
                  <c:v>-1068.9086510201907</c:v>
                </c:pt>
                <c:pt idx="9">
                  <c:v>-1064.5771693359547</c:v>
                </c:pt>
                <c:pt idx="10">
                  <c:v>-1047.0557924951452</c:v>
                </c:pt>
                <c:pt idx="11">
                  <c:v>-1040.149627924374</c:v>
                </c:pt>
                <c:pt idx="12">
                  <c:v>-1024.3798272990332</c:v>
                </c:pt>
                <c:pt idx="13">
                  <c:v>-1024.3798272990332</c:v>
                </c:pt>
                <c:pt idx="14">
                  <c:v>-1024.0685143870032</c:v>
                </c:pt>
                <c:pt idx="15">
                  <c:v>-986.65817970657918</c:v>
                </c:pt>
                <c:pt idx="16">
                  <c:v>-979.8261686398223</c:v>
                </c:pt>
                <c:pt idx="17" formatCode="0.00">
                  <c:v>-950.93521986706446</c:v>
                </c:pt>
                <c:pt idx="18" formatCode="0.00">
                  <c:v>-942.20786564672312</c:v>
                </c:pt>
                <c:pt idx="19" formatCode="0.00">
                  <c:v>-938.96981690713687</c:v>
                </c:pt>
                <c:pt idx="20" formatCode="0.00">
                  <c:v>-887.40231135187298</c:v>
                </c:pt>
                <c:pt idx="21">
                  <c:v>-886.18082529771573</c:v>
                </c:pt>
                <c:pt idx="22">
                  <c:v>-828.55238633540421</c:v>
                </c:pt>
                <c:pt idx="23" formatCode="General">
                  <c:v>-828.55238633540421</c:v>
                </c:pt>
                <c:pt idx="24" formatCode="General">
                  <c:v>-808.8241667071245</c:v>
                </c:pt>
                <c:pt idx="25" formatCode="General">
                  <c:v>-790.53627645935626</c:v>
                </c:pt>
                <c:pt idx="26" formatCode="General">
                  <c:v>-777.02244829578797</c:v>
                </c:pt>
                <c:pt idx="27" formatCode="General">
                  <c:v>-731.18154681885221</c:v>
                </c:pt>
                <c:pt idx="28" formatCode="General">
                  <c:v>-681.92902404246922</c:v>
                </c:pt>
                <c:pt idx="29" formatCode="General">
                  <c:v>-666.64433512854578</c:v>
                </c:pt>
                <c:pt idx="30" formatCode="General">
                  <c:v>-641.00247566633141</c:v>
                </c:pt>
                <c:pt idx="31" formatCode="General">
                  <c:v>-639.53522397044071</c:v>
                </c:pt>
                <c:pt idx="32" formatCode="General">
                  <c:v>-613.63652817040577</c:v>
                </c:pt>
                <c:pt idx="33" formatCode="General">
                  <c:v>-596.23421528284291</c:v>
                </c:pt>
                <c:pt idx="34" formatCode="General">
                  <c:v>-572.127002525835</c:v>
                </c:pt>
                <c:pt idx="35" formatCode="General">
                  <c:v>-519.70224906586725</c:v>
                </c:pt>
              </c:numCache>
            </c:numRef>
          </c:yVal>
          <c:smooth val="1"/>
        </c:ser>
        <c:ser>
          <c:idx val="5"/>
          <c:order val="4"/>
          <c:tx>
            <c:v>Ref 4</c:v>
          </c:tx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 = B(T)'!$B$21:$B$34</c:f>
              <c:numCache>
                <c:formatCode>General</c:formatCode>
                <c:ptCount val="14"/>
                <c:pt idx="0">
                  <c:v>295.2</c:v>
                </c:pt>
                <c:pt idx="1">
                  <c:v>308.2</c:v>
                </c:pt>
                <c:pt idx="2">
                  <c:v>308.37</c:v>
                </c:pt>
                <c:pt idx="3">
                  <c:v>323.2</c:v>
                </c:pt>
                <c:pt idx="4">
                  <c:v>331.12</c:v>
                </c:pt>
                <c:pt idx="5">
                  <c:v>331.16</c:v>
                </c:pt>
                <c:pt idx="6">
                  <c:v>333.16</c:v>
                </c:pt>
                <c:pt idx="7">
                  <c:v>335.16</c:v>
                </c:pt>
                <c:pt idx="8">
                  <c:v>337.64</c:v>
                </c:pt>
                <c:pt idx="9">
                  <c:v>338.16</c:v>
                </c:pt>
                <c:pt idx="10">
                  <c:v>340.3</c:v>
                </c:pt>
                <c:pt idx="11">
                  <c:v>341.16</c:v>
                </c:pt>
                <c:pt idx="12">
                  <c:v>343.16</c:v>
                </c:pt>
                <c:pt idx="13">
                  <c:v>343.16</c:v>
                </c:pt>
              </c:numCache>
            </c:numRef>
          </c:xVal>
          <c:yVal>
            <c:numRef>
              <c:f>'B = B(T)'!$F$21:$F$34</c:f>
              <c:numCache>
                <c:formatCode>General</c:formatCode>
                <c:ptCount val="14"/>
                <c:pt idx="5">
                  <c:v>-1125</c:v>
                </c:pt>
                <c:pt idx="6">
                  <c:v>-1117</c:v>
                </c:pt>
                <c:pt idx="7">
                  <c:v>-1103</c:v>
                </c:pt>
                <c:pt idx="9">
                  <c:v>-1088</c:v>
                </c:pt>
                <c:pt idx="11">
                  <c:v>-1054</c:v>
                </c:pt>
                <c:pt idx="13">
                  <c:v>-1035</c:v>
                </c:pt>
              </c:numCache>
            </c:numRef>
          </c:yVal>
          <c:smooth val="1"/>
        </c:ser>
        <c:ser>
          <c:idx val="4"/>
          <c:order val="5"/>
          <c:tx>
            <c:v>Van der Waals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'B = B(T)'!$B$21:$B$56</c:f>
              <c:numCache>
                <c:formatCode>General</c:formatCode>
                <c:ptCount val="36"/>
                <c:pt idx="0">
                  <c:v>295.2</c:v>
                </c:pt>
                <c:pt idx="1">
                  <c:v>308.2</c:v>
                </c:pt>
                <c:pt idx="2">
                  <c:v>308.37</c:v>
                </c:pt>
                <c:pt idx="3">
                  <c:v>323.2</c:v>
                </c:pt>
                <c:pt idx="4">
                  <c:v>331.12</c:v>
                </c:pt>
                <c:pt idx="5">
                  <c:v>331.16</c:v>
                </c:pt>
                <c:pt idx="6">
                  <c:v>333.16</c:v>
                </c:pt>
                <c:pt idx="7">
                  <c:v>335.16</c:v>
                </c:pt>
                <c:pt idx="8">
                  <c:v>337.64</c:v>
                </c:pt>
                <c:pt idx="9">
                  <c:v>338.16</c:v>
                </c:pt>
                <c:pt idx="10">
                  <c:v>340.3</c:v>
                </c:pt>
                <c:pt idx="11">
                  <c:v>341.16</c:v>
                </c:pt>
                <c:pt idx="12">
                  <c:v>343.16</c:v>
                </c:pt>
                <c:pt idx="13">
                  <c:v>343.16</c:v>
                </c:pt>
                <c:pt idx="14">
                  <c:v>343.2</c:v>
                </c:pt>
                <c:pt idx="15">
                  <c:v>348.16</c:v>
                </c:pt>
                <c:pt idx="16">
                  <c:v>349.1</c:v>
                </c:pt>
                <c:pt idx="17">
                  <c:v>353.2</c:v>
                </c:pt>
                <c:pt idx="18">
                  <c:v>354.48</c:v>
                </c:pt>
                <c:pt idx="19">
                  <c:v>354.96</c:v>
                </c:pt>
                <c:pt idx="20">
                  <c:v>363</c:v>
                </c:pt>
                <c:pt idx="21">
                  <c:v>363.2</c:v>
                </c:pt>
                <c:pt idx="22">
                  <c:v>373.2</c:v>
                </c:pt>
                <c:pt idx="23">
                  <c:v>373.2</c:v>
                </c:pt>
                <c:pt idx="24">
                  <c:v>376.9</c:v>
                </c:pt>
                <c:pt idx="25">
                  <c:v>380.47</c:v>
                </c:pt>
                <c:pt idx="26">
                  <c:v>383.2</c:v>
                </c:pt>
                <c:pt idx="27">
                  <c:v>393.1</c:v>
                </c:pt>
                <c:pt idx="28">
                  <c:v>405</c:v>
                </c:pt>
                <c:pt idx="29">
                  <c:v>409</c:v>
                </c:pt>
                <c:pt idx="30">
                  <c:v>416.08</c:v>
                </c:pt>
                <c:pt idx="31">
                  <c:v>416.5</c:v>
                </c:pt>
                <c:pt idx="32">
                  <c:v>424.2</c:v>
                </c:pt>
                <c:pt idx="33">
                  <c:v>429.7</c:v>
                </c:pt>
                <c:pt idx="34">
                  <c:v>437.8</c:v>
                </c:pt>
                <c:pt idx="35">
                  <c:v>457.67</c:v>
                </c:pt>
              </c:numCache>
            </c:numRef>
          </c:xVal>
          <c:yVal>
            <c:numRef>
              <c:f>'B = B(T)'!$M$21:$M$56</c:f>
              <c:numCache>
                <c:formatCode>0.00</c:formatCode>
                <c:ptCount val="36"/>
                <c:pt idx="0">
                  <c:v>-226.44388247185211</c:v>
                </c:pt>
                <c:pt idx="1">
                  <c:v>-211.86087596413512</c:v>
                </c:pt>
                <c:pt idx="2">
                  <c:v>-211.67831964478262</c:v>
                </c:pt>
                <c:pt idx="3">
                  <c:v>-196.4920753129139</c:v>
                </c:pt>
                <c:pt idx="4">
                  <c:v>-188.93904685660513</c:v>
                </c:pt>
                <c:pt idx="5">
                  <c:v>-188.90181716756166</c:v>
                </c:pt>
                <c:pt idx="6">
                  <c:v>-187.05173092730632</c:v>
                </c:pt>
                <c:pt idx="7">
                  <c:v>-185.22372472333515</c:v>
                </c:pt>
                <c:pt idx="8">
                  <c:v>-182.98707326564463</c:v>
                </c:pt>
                <c:pt idx="9">
                  <c:v>-182.52225849322946</c:v>
                </c:pt>
                <c:pt idx="10">
                  <c:v>-180.62431929996865</c:v>
                </c:pt>
                <c:pt idx="11">
                  <c:v>-179.86830310079711</c:v>
                </c:pt>
                <c:pt idx="12">
                  <c:v>-178.12477907797992</c:v>
                </c:pt>
                <c:pt idx="13">
                  <c:v>-178.12477907797992</c:v>
                </c:pt>
                <c:pt idx="14">
                  <c:v>-178.0901158696102</c:v>
                </c:pt>
                <c:pt idx="15">
                  <c:v>-173.85360594189081</c:v>
                </c:pt>
                <c:pt idx="16">
                  <c:v>-173.06428825241642</c:v>
                </c:pt>
                <c:pt idx="17">
                  <c:v>-169.67064631684158</c:v>
                </c:pt>
                <c:pt idx="18">
                  <c:v>-168.62724773394467</c:v>
                </c:pt>
                <c:pt idx="19">
                  <c:v>-168.23791332357536</c:v>
                </c:pt>
                <c:pt idx="20">
                  <c:v>-161.86962507303997</c:v>
                </c:pt>
                <c:pt idx="21">
                  <c:v>-161.71480394208893</c:v>
                </c:pt>
                <c:pt idx="22">
                  <c:v>-154.18531967959515</c:v>
                </c:pt>
                <c:pt idx="23">
                  <c:v>-154.18531967959515</c:v>
                </c:pt>
                <c:pt idx="24">
                  <c:v>-151.5006759726943</c:v>
                </c:pt>
                <c:pt idx="25">
                  <c:v>-148.95985324763433</c:v>
                </c:pt>
                <c:pt idx="26">
                  <c:v>-147.04881476274306</c:v>
                </c:pt>
                <c:pt idx="27">
                  <c:v>-140.34133524450465</c:v>
                </c:pt>
                <c:pt idx="28">
                  <c:v>-132.71279223377303</c:v>
                </c:pt>
                <c:pt idx="29">
                  <c:v>-130.24826078176372</c:v>
                </c:pt>
                <c:pt idx="30">
                  <c:v>-126.0022038422981</c:v>
                </c:pt>
                <c:pt idx="31">
                  <c:v>-125.75485484810334</c:v>
                </c:pt>
                <c:pt idx="32">
                  <c:v>-121.30692673027318</c:v>
                </c:pt>
                <c:pt idx="33">
                  <c:v>-118.22743262961112</c:v>
                </c:pt>
                <c:pt idx="34">
                  <c:v>-113.83306271401798</c:v>
                </c:pt>
                <c:pt idx="35">
                  <c:v>-103.71208731804347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33856"/>
        <c:axId val="165036032"/>
      </c:scatterChart>
      <c:valAx>
        <c:axId val="165033856"/>
        <c:scaling>
          <c:orientation val="minMax"/>
          <c:max val="44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1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15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T</a:t>
                </a:r>
                <a:r>
                  <a:rPr lang="en-ZA" sz="11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, K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0.54246146425262021"/>
              <c:y val="0.91723275586186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036032"/>
        <c:crossesAt val="-2500"/>
        <c:crossBetween val="midCat"/>
        <c:majorUnit val="20"/>
        <c:minorUnit val="10"/>
      </c:valAx>
      <c:valAx>
        <c:axId val="165036032"/>
        <c:scaling>
          <c:orientation val="minMax"/>
          <c:max val="0"/>
          <c:min val="-1800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1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B,</a:t>
                </a:r>
                <a:r>
                  <a:rPr lang="en-ZA" sz="1150" b="0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ZA" sz="11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1.3864829757255467E-2"/>
              <c:y val="0.38851479530060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033856"/>
        <c:crosses val="autoZero"/>
        <c:crossBetween val="midCat"/>
        <c:majorUnit val="200"/>
        <c:minorUnit val="10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3552904937399248"/>
          <c:y val="0.45608258578766953"/>
          <c:w val="0.37781661088521151"/>
          <c:h val="0.3733120424410184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34632568010328"/>
          <c:y val="5.9183820909949253E-2"/>
          <c:w val="0.71789951466317592"/>
          <c:h val="0.7408181720797095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'VL-Rackett'!$D$15</c:f>
              <c:strCache>
                <c:ptCount val="1"/>
                <c:pt idx="0">
                  <c:v>van der Waals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'VL-Rackett'!$B$20:$B$41</c:f>
              <c:numCache>
                <c:formatCode>0.0</c:formatCode>
                <c:ptCount val="22"/>
                <c:pt idx="0">
                  <c:v>250</c:v>
                </c:pt>
                <c:pt idx="1">
                  <c:v>260.33706553565617</c:v>
                </c:pt>
                <c:pt idx="2">
                  <c:v>271.10155076686613</c:v>
                </c:pt>
                <c:pt idx="3">
                  <c:v>282.31112875524661</c:v>
                </c:pt>
                <c:pt idx="4">
                  <c:v>293.9842033127988</c:v>
                </c:pt>
                <c:pt idx="5">
                  <c:v>306.13993921716707</c:v>
                </c:pt>
                <c:pt idx="6">
                  <c:v>318.79829367624569</c:v>
                </c:pt>
                <c:pt idx="7">
                  <c:v>331.9800490937925</c:v>
                </c:pt>
                <c:pt idx="8">
                  <c:v>345.70684718984404</c:v>
                </c:pt>
                <c:pt idx="9">
                  <c:v>360.00122453195002</c:v>
                </c:pt>
                <c:pt idx="10">
                  <c:v>374.88664953556292</c:v>
                </c:pt>
                <c:pt idx="11">
                  <c:v>390.38756099432965</c:v>
                </c:pt>
                <c:pt idx="12">
                  <c:v>406.52940820354308</c:v>
                </c:pt>
                <c:pt idx="13">
                  <c:v>423.33869274262923</c:v>
                </c:pt>
                <c:pt idx="14">
                  <c:v>440.84301198526754</c:v>
                </c:pt>
                <c:pt idx="15">
                  <c:v>459.07110440857866</c:v>
                </c:pt>
                <c:pt idx="16">
                  <c:v>478.05289677576877</c:v>
                </c:pt>
                <c:pt idx="17">
                  <c:v>497.81955326969432</c:v>
                </c:pt>
                <c:pt idx="18">
                  <c:v>518.4035266580139</c:v>
                </c:pt>
                <c:pt idx="19">
                  <c:v>539.83861157393062</c:v>
                </c:pt>
                <c:pt idx="20">
                  <c:v>559.92786115739307</c:v>
                </c:pt>
                <c:pt idx="21" formatCode="General">
                  <c:v>562.16</c:v>
                </c:pt>
              </c:numCache>
            </c:numRef>
          </c:xVal>
          <c:yVal>
            <c:numRef>
              <c:f>'VL-Rackett'!$D$20:$D$41</c:f>
              <c:numCache>
                <c:formatCode>0.000</c:formatCode>
                <c:ptCount val="22"/>
                <c:pt idx="0">
                  <c:v>0.13085271658314221</c:v>
                </c:pt>
                <c:pt idx="1">
                  <c:v>0.13173101900813594</c:v>
                </c:pt>
                <c:pt idx="2">
                  <c:v>0.13269675752520102</c:v>
                </c:pt>
                <c:pt idx="3">
                  <c:v>0.13376234798893852</c:v>
                </c:pt>
                <c:pt idx="4">
                  <c:v>0.13494275384656634</c:v>
                </c:pt>
                <c:pt idx="5">
                  <c:v>0.13625617187566796</c:v>
                </c:pt>
                <c:pt idx="6">
                  <c:v>0.137724952917779</c:v>
                </c:pt>
                <c:pt idx="7">
                  <c:v>0.13937686391254375</c:v>
                </c:pt>
                <c:pt idx="8">
                  <c:v>0.14124685775470069</c:v>
                </c:pt>
                <c:pt idx="9">
                  <c:v>0.14337961869641269</c:v>
                </c:pt>
                <c:pt idx="10">
                  <c:v>0.14583332788469333</c:v>
                </c:pt>
                <c:pt idx="11">
                  <c:v>0.14868527741384086</c:v>
                </c:pt>
                <c:pt idx="12">
                  <c:v>0.15204169021393446</c:v>
                </c:pt>
                <c:pt idx="13">
                  <c:v>0.15605155917878541</c:v>
                </c:pt>
                <c:pt idx="14">
                  <c:v>0.16093467004790543</c:v>
                </c:pt>
                <c:pt idx="15">
                  <c:v>0.16703169753244904</c:v>
                </c:pt>
                <c:pt idx="16">
                  <c:v>0.17490868126908923</c:v>
                </c:pt>
                <c:pt idx="17">
                  <c:v>0.18561435472003968</c:v>
                </c:pt>
                <c:pt idx="18">
                  <c:v>0.20140965729662019</c:v>
                </c:pt>
                <c:pt idx="19">
                  <c:v>0.22893271681419078</c:v>
                </c:pt>
                <c:pt idx="20">
                  <c:v>0.30339147603475525</c:v>
                </c:pt>
                <c:pt idx="21">
                  <c:v>0.35785664620253166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'VL-Rackett'!$E$15</c:f>
              <c:strCache>
                <c:ptCount val="1"/>
                <c:pt idx="0">
                  <c:v>Rackett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'VL-Rackett'!$B$20:$B$41</c:f>
              <c:numCache>
                <c:formatCode>0.0</c:formatCode>
                <c:ptCount val="22"/>
                <c:pt idx="0">
                  <c:v>250</c:v>
                </c:pt>
                <c:pt idx="1">
                  <c:v>260.33706553565617</c:v>
                </c:pt>
                <c:pt idx="2">
                  <c:v>271.10155076686613</c:v>
                </c:pt>
                <c:pt idx="3">
                  <c:v>282.31112875524661</c:v>
                </c:pt>
                <c:pt idx="4">
                  <c:v>293.9842033127988</c:v>
                </c:pt>
                <c:pt idx="5">
                  <c:v>306.13993921716707</c:v>
                </c:pt>
                <c:pt idx="6">
                  <c:v>318.79829367624569</c:v>
                </c:pt>
                <c:pt idx="7">
                  <c:v>331.9800490937925</c:v>
                </c:pt>
                <c:pt idx="8">
                  <c:v>345.70684718984404</c:v>
                </c:pt>
                <c:pt idx="9">
                  <c:v>360.00122453195002</c:v>
                </c:pt>
                <c:pt idx="10">
                  <c:v>374.88664953556292</c:v>
                </c:pt>
                <c:pt idx="11">
                  <c:v>390.38756099432965</c:v>
                </c:pt>
                <c:pt idx="12">
                  <c:v>406.52940820354308</c:v>
                </c:pt>
                <c:pt idx="13">
                  <c:v>423.33869274262923</c:v>
                </c:pt>
                <c:pt idx="14">
                  <c:v>440.84301198526754</c:v>
                </c:pt>
                <c:pt idx="15">
                  <c:v>459.07110440857866</c:v>
                </c:pt>
                <c:pt idx="16">
                  <c:v>478.05289677576877</c:v>
                </c:pt>
                <c:pt idx="17">
                  <c:v>497.81955326969432</c:v>
                </c:pt>
                <c:pt idx="18">
                  <c:v>518.4035266580139</c:v>
                </c:pt>
                <c:pt idx="19">
                  <c:v>539.83861157393062</c:v>
                </c:pt>
                <c:pt idx="20">
                  <c:v>559.92786115739307</c:v>
                </c:pt>
                <c:pt idx="21" formatCode="General">
                  <c:v>562.16</c:v>
                </c:pt>
              </c:numCache>
            </c:numRef>
          </c:xVal>
          <c:yVal>
            <c:numRef>
              <c:f>'VL-Rackett'!$E$20:$E$41</c:f>
              <c:numCache>
                <c:formatCode>0.000</c:formatCode>
                <c:ptCount val="22"/>
                <c:pt idx="0">
                  <c:v>0.11757472155685131</c:v>
                </c:pt>
                <c:pt idx="1">
                  <c:v>0.11883446742126928</c:v>
                </c:pt>
                <c:pt idx="2">
                  <c:v>0.12019440068140118</c:v>
                </c:pt>
                <c:pt idx="3">
                  <c:v>0.12166654147268409</c:v>
                </c:pt>
                <c:pt idx="4">
                  <c:v>0.12326506701272903</c:v>
                </c:pt>
                <c:pt idx="5">
                  <c:v>0.12500685580429594</c:v>
                </c:pt>
                <c:pt idx="6">
                  <c:v>0.12691221501782052</c:v>
                </c:pt>
                <c:pt idx="7">
                  <c:v>0.12900587056836341</c:v>
                </c:pt>
                <c:pt idx="8">
                  <c:v>0.13131834294718078</c:v>
                </c:pt>
                <c:pt idx="9">
                  <c:v>0.13388790508150736</c:v>
                </c:pt>
                <c:pt idx="10">
                  <c:v>0.13676344632290516</c:v>
                </c:pt>
                <c:pt idx="11">
                  <c:v>0.14000879985166451</c:v>
                </c:pt>
                <c:pt idx="12">
                  <c:v>0.14370953875276254</c:v>
                </c:pt>
                <c:pt idx="13">
                  <c:v>0.14798416162769309</c:v>
                </c:pt>
                <c:pt idx="14">
                  <c:v>0.15300360751422382</c:v>
                </c:pt>
                <c:pt idx="15">
                  <c:v>0.15902793691129152</c:v>
                </c:pt>
                <c:pt idx="16">
                  <c:v>0.16648246571799794</c:v>
                </c:pt>
                <c:pt idx="17">
                  <c:v>0.17613945818733692</c:v>
                </c:pt>
                <c:pt idx="18">
                  <c:v>0.18965578732450905</c:v>
                </c:pt>
                <c:pt idx="19">
                  <c:v>0.21193635176288284</c:v>
                </c:pt>
                <c:pt idx="20">
                  <c:v>0.27281627858057728</c:v>
                </c:pt>
                <c:pt idx="21">
                  <c:v>0.35785664620253166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485568"/>
        <c:axId val="165492224"/>
      </c:scatterChart>
      <c:valAx>
        <c:axId val="165485568"/>
        <c:scaling>
          <c:orientation val="minMax"/>
          <c:max val="65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/>
                  <a:t>Temperature, K</a:t>
                </a:r>
              </a:p>
            </c:rich>
          </c:tx>
          <c:layout>
            <c:manualLayout>
              <c:xMode val="edge"/>
              <c:yMode val="edge"/>
              <c:x val="0.4377436065019365"/>
              <c:y val="0.887757313649238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492224"/>
        <c:crossesAt val="-1"/>
        <c:crossBetween val="midCat"/>
        <c:majorUnit val="50"/>
        <c:minorUnit val="10"/>
      </c:valAx>
      <c:valAx>
        <c:axId val="165492224"/>
        <c:scaling>
          <c:orientation val="minMax"/>
          <c:max val="0.1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Liquid molar volume, </a:t>
                </a:r>
                <a:r>
                  <a:rPr lang="en-ZA" sz="1200" b="0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ZA" sz="12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1.5564217120068854E-2"/>
              <c:y val="0.1510207843909049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5485568"/>
        <c:crosses val="autoZero"/>
        <c:crossBetween val="midCat"/>
        <c:majorUnit val="0.02"/>
        <c:minorUnit val="0.0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9961117956132544"/>
          <c:y val="0.11020435617714688"/>
          <c:w val="0.35797699376158365"/>
          <c:h val="0.1489799629802171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5930319484162058"/>
          <c:y val="8.88433337234218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317869802775638"/>
          <c:y val="4.338860484167114E-2"/>
          <c:w val="0.74224946676936998"/>
          <c:h val="0.78512713523023969"/>
        </c:manualLayout>
      </c:layout>
      <c:scatterChart>
        <c:scatterStyle val="smoothMarker"/>
        <c:varyColors val="0"/>
        <c:ser>
          <c:idx val="3"/>
          <c:order val="0"/>
          <c:tx>
            <c:v>C(T)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'VL-Rackett'!$B$20:$B$41</c:f>
              <c:numCache>
                <c:formatCode>0.0</c:formatCode>
                <c:ptCount val="22"/>
                <c:pt idx="0">
                  <c:v>250</c:v>
                </c:pt>
                <c:pt idx="1">
                  <c:v>260.33706553565617</c:v>
                </c:pt>
                <c:pt idx="2">
                  <c:v>271.10155076686613</c:v>
                </c:pt>
                <c:pt idx="3">
                  <c:v>282.31112875524661</c:v>
                </c:pt>
                <c:pt idx="4">
                  <c:v>293.9842033127988</c:v>
                </c:pt>
                <c:pt idx="5">
                  <c:v>306.13993921716707</c:v>
                </c:pt>
                <c:pt idx="6">
                  <c:v>318.79829367624569</c:v>
                </c:pt>
                <c:pt idx="7">
                  <c:v>331.9800490937925</c:v>
                </c:pt>
                <c:pt idx="8">
                  <c:v>345.70684718984404</c:v>
                </c:pt>
                <c:pt idx="9">
                  <c:v>360.00122453195002</c:v>
                </c:pt>
                <c:pt idx="10">
                  <c:v>374.88664953556292</c:v>
                </c:pt>
                <c:pt idx="11">
                  <c:v>390.38756099432965</c:v>
                </c:pt>
                <c:pt idx="12">
                  <c:v>406.52940820354308</c:v>
                </c:pt>
                <c:pt idx="13">
                  <c:v>423.33869274262923</c:v>
                </c:pt>
                <c:pt idx="14">
                  <c:v>440.84301198526754</c:v>
                </c:pt>
                <c:pt idx="15">
                  <c:v>459.07110440857866</c:v>
                </c:pt>
                <c:pt idx="16">
                  <c:v>478.05289677576877</c:v>
                </c:pt>
                <c:pt idx="17">
                  <c:v>497.81955326969432</c:v>
                </c:pt>
                <c:pt idx="18">
                  <c:v>518.4035266580139</c:v>
                </c:pt>
                <c:pt idx="19">
                  <c:v>539.83861157393062</c:v>
                </c:pt>
                <c:pt idx="20">
                  <c:v>559.92786115739307</c:v>
                </c:pt>
                <c:pt idx="21" formatCode="General">
                  <c:v>562.16</c:v>
                </c:pt>
              </c:numCache>
            </c:numRef>
          </c:xVal>
          <c:yVal>
            <c:numRef>
              <c:f>'VL-Rackett'!$F$20:$F$41</c:f>
              <c:numCache>
                <c:formatCode>0.000</c:formatCode>
                <c:ptCount val="22"/>
                <c:pt idx="0">
                  <c:v>-1.3277995026290901E-2</c:v>
                </c:pt>
                <c:pt idx="1">
                  <c:v>-1.2896551586866659E-2</c:v>
                </c:pt>
                <c:pt idx="2">
                  <c:v>-1.2502356843799842E-2</c:v>
                </c:pt>
                <c:pt idx="3">
                  <c:v>-1.2095806516254429E-2</c:v>
                </c:pt>
                <c:pt idx="4">
                  <c:v>-1.1677686833837311E-2</c:v>
                </c:pt>
                <c:pt idx="5">
                  <c:v>-1.1249316071372029E-2</c:v>
                </c:pt>
                <c:pt idx="6">
                  <c:v>-1.0812737899958486E-2</c:v>
                </c:pt>
                <c:pt idx="7">
                  <c:v>-1.0370993344180346E-2</c:v>
                </c:pt>
                <c:pt idx="8">
                  <c:v>-9.9285148075199114E-3</c:v>
                </c:pt>
                <c:pt idx="9">
                  <c:v>-9.4917136149053338E-3</c:v>
                </c:pt>
                <c:pt idx="10">
                  <c:v>-9.0698815617881734E-3</c:v>
                </c:pt>
                <c:pt idx="11">
                  <c:v>-8.676477562176349E-3</c:v>
                </c:pt>
                <c:pt idx="12">
                  <c:v>-8.3321514611719161E-3</c:v>
                </c:pt>
                <c:pt idx="13">
                  <c:v>-8.0673975510923146E-3</c:v>
                </c:pt>
                <c:pt idx="14">
                  <c:v>-7.9310625336816154E-3</c:v>
                </c:pt>
                <c:pt idx="15">
                  <c:v>-8.003760621157513E-3</c:v>
                </c:pt>
                <c:pt idx="16">
                  <c:v>-8.4262155510912984E-3</c:v>
                </c:pt>
                <c:pt idx="17">
                  <c:v>-9.4748965327027534E-3</c:v>
                </c:pt>
                <c:pt idx="18">
                  <c:v>-1.1753869972111142E-2</c:v>
                </c:pt>
                <c:pt idx="19">
                  <c:v>-1.6996365051307943E-2</c:v>
                </c:pt>
                <c:pt idx="20">
                  <c:v>-3.0575197454177971E-2</c:v>
                </c:pt>
                <c:pt idx="2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523840"/>
        <c:axId val="165526144"/>
      </c:scatterChart>
      <c:valAx>
        <c:axId val="165523840"/>
        <c:scaling>
          <c:orientation val="minMax"/>
          <c:max val="6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/>
                  <a:t>Temperature, K</a:t>
                </a:r>
              </a:p>
            </c:rich>
          </c:tx>
          <c:layout>
            <c:manualLayout>
              <c:xMode val="edge"/>
              <c:yMode val="edge"/>
              <c:x val="0.46511715933328662"/>
              <c:y val="0.9028962055147755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526144"/>
        <c:crossesAt val="-1"/>
        <c:crossBetween val="midCat"/>
        <c:majorUnit val="40"/>
        <c:minorUnit val="20"/>
      </c:valAx>
      <c:valAx>
        <c:axId val="165526144"/>
        <c:scaling>
          <c:orientation val="minMax"/>
          <c:max val="0"/>
          <c:min val="-0.01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75" b="0" i="1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175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</a:t>
                </a: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(</a:t>
                </a:r>
                <a:r>
                  <a:rPr lang="en-ZA" sz="1175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T</a:t>
                </a: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), </a:t>
                </a: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ZA" sz="1175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1.5503905311109555E-2"/>
              <c:y val="0.3078524819718571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523840"/>
        <c:crosses val="autoZero"/>
        <c:crossBetween val="midCat"/>
        <c:majorUnit val="1E-3"/>
        <c:minorUnit val="5.0000000000000001E-4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ZA"/>
              <a:t>Isotherms</a:t>
            </a:r>
          </a:p>
        </c:rich>
      </c:tx>
      <c:layout>
        <c:manualLayout>
          <c:xMode val="edge"/>
          <c:yMode val="edge"/>
          <c:x val="0.66783387809839578"/>
          <c:y val="0.1449579831932773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755295346889717"/>
          <c:y val="5.6722689075630252E-2"/>
          <c:w val="0.76049145804398466"/>
          <c:h val="0.72058823529411764"/>
        </c:manualLayout>
      </c:layout>
      <c:scatterChart>
        <c:scatterStyle val="lineMarker"/>
        <c:varyColors val="0"/>
        <c:ser>
          <c:idx val="4"/>
          <c:order val="0"/>
          <c:tx>
            <c:strRef>
              <c:f>Isotherms!$E$22</c:f>
              <c:strCache>
                <c:ptCount val="1"/>
                <c:pt idx="0">
                  <c:v>0.886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Isotherms!$E$25:$E$89</c:f>
              <c:numCache>
                <c:formatCode>General</c:formatCode>
                <c:ptCount val="65"/>
                <c:pt idx="0">
                  <c:v>0.11929554873417722</c:v>
                </c:pt>
                <c:pt idx="1">
                  <c:v>0.1371898810443038</c:v>
                </c:pt>
                <c:pt idx="2">
                  <c:v>0.15776836320094936</c:v>
                </c:pt>
                <c:pt idx="3">
                  <c:v>0.18143361768109176</c:v>
                </c:pt>
                <c:pt idx="4">
                  <c:v>0.20864866033325549</c:v>
                </c:pt>
                <c:pt idx="5">
                  <c:v>0.23994595938324378</c:v>
                </c:pt>
                <c:pt idx="6">
                  <c:v>0.27593785329073034</c:v>
                </c:pt>
                <c:pt idx="7">
                  <c:v>0.31732853128433985</c:v>
                </c:pt>
                <c:pt idx="8">
                  <c:v>0.36492781097699079</c:v>
                </c:pt>
                <c:pt idx="9">
                  <c:v>0.41966698262353935</c:v>
                </c:pt>
                <c:pt idx="10">
                  <c:v>0.48261703001707024</c:v>
                </c:pt>
                <c:pt idx="11">
                  <c:v>0.55500958451963078</c:v>
                </c:pt>
                <c:pt idx="12">
                  <c:v>0.6382610221975753</c:v>
                </c:pt>
                <c:pt idx="13">
                  <c:v>0.73400017552721153</c:v>
                </c:pt>
                <c:pt idx="14">
                  <c:v>0.8441002018562932</c:v>
                </c:pt>
                <c:pt idx="15">
                  <c:v>0.97071523213473709</c:v>
                </c:pt>
                <c:pt idx="16">
                  <c:v>1.1163225169549476</c:v>
                </c:pt>
                <c:pt idx="17">
                  <c:v>1.2837708944981896</c:v>
                </c:pt>
                <c:pt idx="18">
                  <c:v>1.476336528672918</c:v>
                </c:pt>
                <c:pt idx="19">
                  <c:v>1.6977870079738555</c:v>
                </c:pt>
                <c:pt idx="20">
                  <c:v>1.9524550591699337</c:v>
                </c:pt>
                <c:pt idx="21">
                  <c:v>2.2453233180454237</c:v>
                </c:pt>
                <c:pt idx="22">
                  <c:v>2.5821218157522372</c:v>
                </c:pt>
                <c:pt idx="23">
                  <c:v>2.9694400881150727</c:v>
                </c:pt>
                <c:pt idx="24">
                  <c:v>3.4148561013323331</c:v>
                </c:pt>
                <c:pt idx="25">
                  <c:v>3.9270845165321826</c:v>
                </c:pt>
                <c:pt idx="26">
                  <c:v>4.5161471940120093</c:v>
                </c:pt>
                <c:pt idx="27">
                  <c:v>5.1935692731138099</c:v>
                </c:pt>
                <c:pt idx="28">
                  <c:v>5.9726046640808805</c:v>
                </c:pt>
                <c:pt idx="29">
                  <c:v>6.8684953636930119</c:v>
                </c:pt>
                <c:pt idx="30">
                  <c:v>7.8987696682469632</c:v>
                </c:pt>
                <c:pt idx="31">
                  <c:v>9.0835851184840077</c:v>
                </c:pt>
                <c:pt idx="32">
                  <c:v>10.446122886256608</c:v>
                </c:pt>
                <c:pt idx="33">
                  <c:v>12.013041319195098</c:v>
                </c:pt>
                <c:pt idx="34">
                  <c:v>13.814997517074362</c:v>
                </c:pt>
                <c:pt idx="35">
                  <c:v>15.887247144635515</c:v>
                </c:pt>
                <c:pt idx="36">
                  <c:v>18.270334216330841</c:v>
                </c:pt>
                <c:pt idx="37">
                  <c:v>21.010884348780465</c:v>
                </c:pt>
                <c:pt idx="38">
                  <c:v>24.162517001097534</c:v>
                </c:pt>
                <c:pt idx="39">
                  <c:v>27.786894551262161</c:v>
                </c:pt>
                <c:pt idx="40">
                  <c:v>31.954928733951483</c:v>
                </c:pt>
                <c:pt idx="41">
                  <c:v>36.748168044044206</c:v>
                </c:pt>
                <c:pt idx="42">
                  <c:v>42.260393250650836</c:v>
                </c:pt>
                <c:pt idx="43">
                  <c:v>48.59945223824846</c:v>
                </c:pt>
                <c:pt idx="44">
                  <c:v>55.889370073985724</c:v>
                </c:pt>
                <c:pt idx="45">
                  <c:v>64.272775585083579</c:v>
                </c:pt>
                <c:pt idx="46">
                  <c:v>73.913691922846112</c:v>
                </c:pt>
                <c:pt idx="47">
                  <c:v>85.000745711273026</c:v>
                </c:pt>
                <c:pt idx="48">
                  <c:v>97.750857567963976</c:v>
                </c:pt>
                <c:pt idx="49">
                  <c:v>112.41348620315857</c:v>
                </c:pt>
                <c:pt idx="50">
                  <c:v>129.27550913363234</c:v>
                </c:pt>
                <c:pt idx="51">
                  <c:v>148.66683550367719</c:v>
                </c:pt>
                <c:pt idx="52">
                  <c:v>170.96686082922875</c:v>
                </c:pt>
                <c:pt idx="53">
                  <c:v>196.61188995361306</c:v>
                </c:pt>
                <c:pt idx="54">
                  <c:v>226.10367344665499</c:v>
                </c:pt>
                <c:pt idx="55">
                  <c:v>260.01922446365325</c:v>
                </c:pt>
                <c:pt idx="56">
                  <c:v>299.02210813320119</c:v>
                </c:pt>
                <c:pt idx="57">
                  <c:v>343.87542435318136</c:v>
                </c:pt>
                <c:pt idx="58">
                  <c:v>395.45673800615856</c:v>
                </c:pt>
                <c:pt idx="59">
                  <c:v>454.77524870708231</c:v>
                </c:pt>
                <c:pt idx="60">
                  <c:v>522.99153601314458</c:v>
                </c:pt>
                <c:pt idx="61">
                  <c:v>601.44026641511618</c:v>
                </c:pt>
                <c:pt idx="62">
                  <c:v>691.65630637738354</c:v>
                </c:pt>
                <c:pt idx="63">
                  <c:v>795.40475233399104</c:v>
                </c:pt>
                <c:pt idx="64">
                  <c:v>914.71546518408968</c:v>
                </c:pt>
              </c:numCache>
            </c:numRef>
          </c:xVal>
          <c:yVal>
            <c:numRef>
              <c:f>Isotherms!$F$25:$F$89</c:f>
              <c:numCache>
                <c:formatCode>General</c:formatCode>
                <c:ptCount val="65"/>
                <c:pt idx="0">
                  <c:v>4137665.7257436458</c:v>
                </c:pt>
                <c:pt idx="1">
                  <c:v>1207.8857803238961</c:v>
                </c:pt>
                <c:pt idx="2">
                  <c:v>240.85904837324924</c:v>
                </c:pt>
                <c:pt idx="3">
                  <c:v>34.843128255667544</c:v>
                </c:pt>
                <c:pt idx="4">
                  <c:v>-14.072525073152939</c:v>
                </c:pt>
                <c:pt idx="5">
                  <c:v>-17.832653857615661</c:v>
                </c:pt>
                <c:pt idx="6">
                  <c:v>-8.6472713192010993</c:v>
                </c:pt>
                <c:pt idx="7">
                  <c:v>2.671698266198109</c:v>
                </c:pt>
                <c:pt idx="8">
                  <c:v>12.487297607342425</c:v>
                </c:pt>
                <c:pt idx="9">
                  <c:v>19.825990487563921</c:v>
                </c:pt>
                <c:pt idx="10">
                  <c:v>24.719455236563263</c:v>
                </c:pt>
                <c:pt idx="11">
                  <c:v>27.54466200837599</c:v>
                </c:pt>
                <c:pt idx="12">
                  <c:v>28.754166818149951</c:v>
                </c:pt>
                <c:pt idx="13">
                  <c:v>28.769607924494785</c:v>
                </c:pt>
                <c:pt idx="14">
                  <c:v>27.945690583240811</c:v>
                </c:pt>
                <c:pt idx="15">
                  <c:v>26.564454549275361</c:v>
                </c:pt>
                <c:pt idx="16">
                  <c:v>24.841770205474166</c:v>
                </c:pt>
                <c:pt idx="17">
                  <c:v>22.937876830970236</c:v>
                </c:pt>
                <c:pt idx="18">
                  <c:v>20.968332690693636</c:v>
                </c:pt>
                <c:pt idx="19">
                  <c:v>19.013888339982572</c:v>
                </c:pt>
                <c:pt idx="20">
                  <c:v>17.128798640174793</c:v>
                </c:pt>
                <c:pt idx="21">
                  <c:v>15.347544949177232</c:v>
                </c:pt>
                <c:pt idx="22">
                  <c:v>13.690128687001534</c:v>
                </c:pt>
                <c:pt idx="23">
                  <c:v>12.166159175932499</c:v>
                </c:pt>
                <c:pt idx="24">
                  <c:v>10.777961027934488</c:v>
                </c:pt>
                <c:pt idx="25">
                  <c:v>9.5229036250917662</c:v>
                </c:pt>
                <c:pt idx="26">
                  <c:v>8.3951242221294677</c:v>
                </c:pt>
                <c:pt idx="27">
                  <c:v>7.3867848284726714</c:v>
                </c:pt>
                <c:pt idx="28">
                  <c:v>6.4889747227640386</c:v>
                </c:pt>
                <c:pt idx="29">
                  <c:v>5.692346379659373</c:v>
                </c:pt>
                <c:pt idx="30">
                  <c:v>4.9875528265803339</c:v>
                </c:pt>
                <c:pt idx="31">
                  <c:v>4.3655385985568902</c:v>
                </c:pt>
                <c:pt idx="32">
                  <c:v>3.8177239547432431</c:v>
                </c:pt>
                <c:pt idx="33">
                  <c:v>3.3361122747545879</c:v>
                </c:pt>
                <c:pt idx="34">
                  <c:v>2.9133430304934236</c:v>
                </c:pt>
                <c:pt idx="35">
                  <c:v>2.5427069683928045</c:v>
                </c:pt>
                <c:pt idx="36">
                  <c:v>2.218135755623484</c:v>
                </c:pt>
                <c:pt idx="37">
                  <c:v>1.9341750323424463</c:v>
                </c:pt>
                <c:pt idx="38">
                  <c:v>1.6859473242469252</c:v>
                </c:pt>
                <c:pt idx="39">
                  <c:v>1.4691094119701216</c:v>
                </c:pt>
                <c:pt idx="40">
                  <c:v>1.2798073754740094</c:v>
                </c:pt>
                <c:pt idx="41">
                  <c:v>1.1146315160429348</c:v>
                </c:pt>
                <c:pt idx="42">
                  <c:v>0.97057261623770386</c:v>
                </c:pt>
                <c:pt idx="43">
                  <c:v>0.84498046080704148</c:v>
                </c:pt>
                <c:pt idx="44">
                  <c:v>0.73552515700617105</c:v>
                </c:pt>
                <c:pt idx="45">
                  <c:v>0.64016152158861173</c:v>
                </c:pt>
                <c:pt idx="46">
                  <c:v>0.55709661414074507</c:v>
                </c:pt>
                <c:pt idx="47">
                  <c:v>0.48476037003355299</c:v>
                </c:pt>
                <c:pt idx="48">
                  <c:v>0.42177920431048593</c:v>
                </c:pt>
                <c:pt idx="49">
                  <c:v>0.36695240781778005</c:v>
                </c:pt>
                <c:pt idx="50">
                  <c:v>0.31923112954032329</c:v>
                </c:pt>
                <c:pt idx="51">
                  <c:v>0.27769972758760508</c:v>
                </c:pt>
                <c:pt idx="52">
                  <c:v>0.24155927055934767</c:v>
                </c:pt>
                <c:pt idx="53">
                  <c:v>0.21011297745288193</c:v>
                </c:pt>
                <c:pt idx="54">
                  <c:v>0.18275339521554215</c:v>
                </c:pt>
                <c:pt idx="55">
                  <c:v>0.1589511266121679</c:v>
                </c:pt>
                <c:pt idx="56">
                  <c:v>0.13824493594538587</c:v>
                </c:pt>
                <c:pt idx="57">
                  <c:v>0.12023307542019301</c:v>
                </c:pt>
                <c:pt idx="58">
                  <c:v>0.10456568996954183</c:v>
                </c:pt>
                <c:pt idx="59">
                  <c:v>9.0938172756215019E-2</c:v>
                </c:pt>
                <c:pt idx="60">
                  <c:v>7.9085357095981385E-2</c:v>
                </c:pt>
                <c:pt idx="61">
                  <c:v>6.8776443075798457E-2</c:v>
                </c:pt>
                <c:pt idx="62">
                  <c:v>5.9810568613439932E-2</c:v>
                </c:pt>
                <c:pt idx="63">
                  <c:v>5.2012945118489542E-2</c:v>
                </c:pt>
                <c:pt idx="64">
                  <c:v>4.5231487300841505E-2</c:v>
                </c:pt>
              </c:numCache>
            </c:numRef>
          </c:yVal>
          <c:smooth val="0"/>
        </c:ser>
        <c:ser>
          <c:idx val="5"/>
          <c:order val="1"/>
          <c:tx>
            <c:strRef>
              <c:f>Isotherms!$I$22</c:f>
              <c:strCache>
                <c:ptCount val="1"/>
                <c:pt idx="0">
                  <c:v>0.694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Isotherms!$I$25:$I$89</c:f>
              <c:numCache>
                <c:formatCode>General</c:formatCode>
                <c:ptCount val="65"/>
                <c:pt idx="0">
                  <c:v>0.11929554873417722</c:v>
                </c:pt>
                <c:pt idx="1">
                  <c:v>0.1371898810443038</c:v>
                </c:pt>
                <c:pt idx="2">
                  <c:v>0.15776836320094936</c:v>
                </c:pt>
                <c:pt idx="3">
                  <c:v>0.18143361768109176</c:v>
                </c:pt>
                <c:pt idx="4">
                  <c:v>0.20864866033325549</c:v>
                </c:pt>
                <c:pt idx="5">
                  <c:v>0.23994595938324378</c:v>
                </c:pt>
                <c:pt idx="6">
                  <c:v>0.27593785329073034</c:v>
                </c:pt>
                <c:pt idx="7">
                  <c:v>0.31732853128433985</c:v>
                </c:pt>
                <c:pt idx="8">
                  <c:v>0.36492781097699079</c:v>
                </c:pt>
                <c:pt idx="9">
                  <c:v>0.41966698262353935</c:v>
                </c:pt>
                <c:pt idx="10">
                  <c:v>0.48261703001707024</c:v>
                </c:pt>
                <c:pt idx="11">
                  <c:v>0.55500958451963078</c:v>
                </c:pt>
                <c:pt idx="12">
                  <c:v>0.6382610221975753</c:v>
                </c:pt>
                <c:pt idx="13">
                  <c:v>0.73400017552721153</c:v>
                </c:pt>
                <c:pt idx="14">
                  <c:v>0.8441002018562932</c:v>
                </c:pt>
                <c:pt idx="15">
                  <c:v>0.97071523213473709</c:v>
                </c:pt>
                <c:pt idx="16">
                  <c:v>1.1163225169549476</c:v>
                </c:pt>
                <c:pt idx="17">
                  <c:v>1.2837708944981896</c:v>
                </c:pt>
                <c:pt idx="18">
                  <c:v>1.476336528672918</c:v>
                </c:pt>
                <c:pt idx="19">
                  <c:v>1.6977870079738555</c:v>
                </c:pt>
                <c:pt idx="20">
                  <c:v>1.9524550591699337</c:v>
                </c:pt>
                <c:pt idx="21">
                  <c:v>2.2453233180454237</c:v>
                </c:pt>
                <c:pt idx="22">
                  <c:v>2.5821218157522372</c:v>
                </c:pt>
                <c:pt idx="23">
                  <c:v>2.9694400881150727</c:v>
                </c:pt>
                <c:pt idx="24">
                  <c:v>3.4148561013323331</c:v>
                </c:pt>
                <c:pt idx="25">
                  <c:v>3.9270845165321826</c:v>
                </c:pt>
                <c:pt idx="26">
                  <c:v>4.5161471940120093</c:v>
                </c:pt>
                <c:pt idx="27">
                  <c:v>5.1935692731138099</c:v>
                </c:pt>
                <c:pt idx="28">
                  <c:v>5.9726046640808805</c:v>
                </c:pt>
                <c:pt idx="29">
                  <c:v>6.8684953636930119</c:v>
                </c:pt>
                <c:pt idx="30">
                  <c:v>7.8987696682469632</c:v>
                </c:pt>
                <c:pt idx="31">
                  <c:v>9.0835851184840077</c:v>
                </c:pt>
                <c:pt idx="32">
                  <c:v>10.446122886256608</c:v>
                </c:pt>
                <c:pt idx="33">
                  <c:v>12.013041319195098</c:v>
                </c:pt>
                <c:pt idx="34">
                  <c:v>13.814997517074362</c:v>
                </c:pt>
                <c:pt idx="35">
                  <c:v>15.887247144635515</c:v>
                </c:pt>
                <c:pt idx="36">
                  <c:v>18.270334216330841</c:v>
                </c:pt>
                <c:pt idx="37">
                  <c:v>21.010884348780465</c:v>
                </c:pt>
                <c:pt idx="38">
                  <c:v>24.162517001097534</c:v>
                </c:pt>
                <c:pt idx="39">
                  <c:v>27.786894551262161</c:v>
                </c:pt>
                <c:pt idx="40">
                  <c:v>31.954928733951483</c:v>
                </c:pt>
                <c:pt idx="41">
                  <c:v>36.748168044044206</c:v>
                </c:pt>
                <c:pt idx="42">
                  <c:v>42.260393250650836</c:v>
                </c:pt>
                <c:pt idx="43">
                  <c:v>48.59945223824846</c:v>
                </c:pt>
                <c:pt idx="44">
                  <c:v>55.889370073985724</c:v>
                </c:pt>
                <c:pt idx="45">
                  <c:v>64.272775585083579</c:v>
                </c:pt>
                <c:pt idx="46">
                  <c:v>73.913691922846112</c:v>
                </c:pt>
                <c:pt idx="47">
                  <c:v>85.000745711273026</c:v>
                </c:pt>
                <c:pt idx="48">
                  <c:v>97.750857567963976</c:v>
                </c:pt>
                <c:pt idx="49">
                  <c:v>112.41348620315857</c:v>
                </c:pt>
                <c:pt idx="50">
                  <c:v>129.27550913363234</c:v>
                </c:pt>
                <c:pt idx="51">
                  <c:v>148.66683550367719</c:v>
                </c:pt>
                <c:pt idx="52">
                  <c:v>170.96686082922875</c:v>
                </c:pt>
                <c:pt idx="53">
                  <c:v>196.61188995361306</c:v>
                </c:pt>
                <c:pt idx="54">
                  <c:v>226.10367344665499</c:v>
                </c:pt>
                <c:pt idx="55">
                  <c:v>260.01922446365325</c:v>
                </c:pt>
                <c:pt idx="56">
                  <c:v>299.02210813320119</c:v>
                </c:pt>
                <c:pt idx="57">
                  <c:v>343.87542435318136</c:v>
                </c:pt>
                <c:pt idx="58">
                  <c:v>395.45673800615856</c:v>
                </c:pt>
                <c:pt idx="59">
                  <c:v>454.77524870708231</c:v>
                </c:pt>
                <c:pt idx="60">
                  <c:v>522.99153601314458</c:v>
                </c:pt>
                <c:pt idx="61">
                  <c:v>601.44026641511618</c:v>
                </c:pt>
                <c:pt idx="62">
                  <c:v>691.65630637738354</c:v>
                </c:pt>
                <c:pt idx="63">
                  <c:v>795.40475233399104</c:v>
                </c:pt>
                <c:pt idx="64">
                  <c:v>914.71546518408968</c:v>
                </c:pt>
              </c:numCache>
            </c:numRef>
          </c:xVal>
          <c:yVal>
            <c:numRef>
              <c:f>Isotherms!$J$25:$J$89</c:f>
              <c:numCache>
                <c:formatCode>General</c:formatCode>
                <c:ptCount val="65"/>
                <c:pt idx="0">
                  <c:v>3244170.5859191287</c:v>
                </c:pt>
                <c:pt idx="1">
                  <c:v>519.37240529847031</c:v>
                </c:pt>
                <c:pt idx="2">
                  <c:v>-134.63220876420644</c:v>
                </c:pt>
                <c:pt idx="3">
                  <c:v>-217.29823700819878</c:v>
                </c:pt>
                <c:pt idx="4">
                  <c:v>-196.0050096908387</c:v>
                </c:pt>
                <c:pt idx="5">
                  <c:v>-153.84772227046327</c:v>
                </c:pt>
                <c:pt idx="6">
                  <c:v>-112.53800503317332</c:v>
                </c:pt>
                <c:pt idx="7">
                  <c:v>-77.872246910745091</c:v>
                </c:pt>
                <c:pt idx="8">
                  <c:v>-50.674352041831533</c:v>
                </c:pt>
                <c:pt idx="9">
                  <c:v>-30.174167666542672</c:v>
                </c:pt>
                <c:pt idx="10">
                  <c:v>-15.187233721940647</c:v>
                </c:pt>
                <c:pt idx="11">
                  <c:v>-4.5410942649577279</c:v>
                </c:pt>
                <c:pt idx="12">
                  <c:v>2.7821582288027367</c:v>
                </c:pt>
                <c:pt idx="13">
                  <c:v>7.6145052324548486</c:v>
                </c:pt>
                <c:pt idx="14">
                  <c:v>10.613186009708002</c:v>
                </c:pt>
                <c:pt idx="15">
                  <c:v>12.286014555266725</c:v>
                </c:pt>
                <c:pt idx="16">
                  <c:v>13.019016235386568</c:v>
                </c:pt>
                <c:pt idx="17">
                  <c:v>13.101737144272342</c:v>
                </c:pt>
                <c:pt idx="18">
                  <c:v>12.748719804265249</c:v>
                </c:pt>
                <c:pt idx="19">
                  <c:v>12.116991466705521</c:v>
                </c:pt>
                <c:pt idx="20">
                  <c:v>11.319951505857484</c:v>
                </c:pt>
                <c:pt idx="21">
                  <c:v>10.438215065372214</c:v>
                </c:pt>
                <c:pt idx="22">
                  <c:v>9.5279775829292923</c:v>
                </c:pt>
                <c:pt idx="23">
                  <c:v>8.6274063421536091</c:v>
                </c:pt>
                <c:pt idx="24">
                  <c:v>7.7614862593894873</c:v>
                </c:pt>
                <c:pt idx="25">
                  <c:v>6.9456681924741908</c:v>
                </c:pt>
                <c:pt idx="26">
                  <c:v>6.188597536464564</c:v>
                </c:pt>
                <c:pt idx="27">
                  <c:v>5.4941413367400944</c:v>
                </c:pt>
                <c:pt idx="28">
                  <c:v>4.8628835391972665</c:v>
                </c:pt>
                <c:pt idx="29">
                  <c:v>4.2932191461390126</c:v>
                </c:pt>
                <c:pt idx="30">
                  <c:v>3.7821474465547902</c:v>
                </c:pt>
                <c:pt idx="31">
                  <c:v>3.3258406406638317</c:v>
                </c:pt>
                <c:pt idx="32">
                  <c:v>2.9200457376650091</c:v>
                </c:pt>
                <c:pt idx="33">
                  <c:v>2.560363434070954</c:v>
                </c:pt>
                <c:pt idx="34">
                  <c:v>2.2424368438677593</c:v>
                </c:pt>
                <c:pt idx="35">
                  <c:v>1.9620747010810953</c:v>
                </c:pt>
                <c:pt idx="36">
                  <c:v>1.7153273967007234</c:v>
                </c:pt>
                <c:pt idx="37">
                  <c:v>1.4985294806564593</c:v>
                </c:pt>
                <c:pt idx="38">
                  <c:v>1.3083186946786471</c:v>
                </c:pt>
                <c:pt idx="39">
                  <c:v>1.1416389246930316</c:v>
                </c:pt>
                <c:pt idx="40">
                  <c:v>0.99573245771135932</c:v>
                </c:pt>
                <c:pt idx="41">
                  <c:v>0.86812543404238529</c:v>
                </c:pt>
                <c:pt idx="42">
                  <c:v>0.75660927598763028</c:v>
                </c:pt>
                <c:pt idx="43">
                  <c:v>0.65922005385040439</c:v>
                </c:pt>
                <c:pt idx="44">
                  <c:v>0.57421714687177539</c:v>
                </c:pt>
                <c:pt idx="45">
                  <c:v>0.50006211595185723</c:v>
                </c:pt>
                <c:pt idx="46">
                  <c:v>0.43539838543034615</c:v>
                </c:pt>
                <c:pt idx="47">
                  <c:v>0.3790321016680569</c:v>
                </c:pt>
                <c:pt idx="48">
                  <c:v>0.32991437329062928</c:v>
                </c:pt>
                <c:pt idx="49">
                  <c:v>0.28712498417143673</c:v>
                </c:pt>
                <c:pt idx="50">
                  <c:v>0.24985759240685151</c:v>
                </c:pt>
                <c:pt idx="51">
                  <c:v>0.21740637687173414</c:v>
                </c:pt>
                <c:pt idx="52">
                  <c:v>0.18915406014607961</c:v>
                </c:pt>
                <c:pt idx="53">
                  <c:v>0.16456121727279677</c:v>
                </c:pt>
                <c:pt idx="54">
                  <c:v>0.14315676995544119</c:v>
                </c:pt>
                <c:pt idx="55">
                  <c:v>0.12452956250710995</c:v>
                </c:pt>
                <c:pt idx="56">
                  <c:v>0.10832091698269401</c:v>
                </c:pt>
                <c:pt idx="57">
                  <c:v>9.4218068920357501E-2</c:v>
                </c:pt>
                <c:pt idx="58">
                  <c:v>8.1948390875589944E-2</c:v>
                </c:pt>
                <c:pt idx="59">
                  <c:v>7.1274317666565806E-2</c:v>
                </c:pt>
                <c:pt idx="60">
                  <c:v>6.1988894414546483E-2</c:v>
                </c:pt>
                <c:pt idx="61">
                  <c:v>5.3911875683205476E-2</c:v>
                </c:pt>
                <c:pt idx="62">
                  <c:v>4.6886311047874531E-2</c:v>
                </c:pt>
                <c:pt idx="63">
                  <c:v>4.0775559102637284E-2</c:v>
                </c:pt>
                <c:pt idx="64">
                  <c:v>3.5460678147654745E-2</c:v>
                </c:pt>
              </c:numCache>
            </c:numRef>
          </c:yVal>
          <c:smooth val="1"/>
        </c:ser>
        <c:ser>
          <c:idx val="8"/>
          <c:order val="2"/>
          <c:tx>
            <c:strRef>
              <c:f>Isotherms!$K$22</c:f>
              <c:strCache>
                <c:ptCount val="1"/>
                <c:pt idx="0">
                  <c:v>0.545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Isotherms!$K$25:$K$89</c:f>
              <c:numCache>
                <c:formatCode>General</c:formatCode>
                <c:ptCount val="65"/>
                <c:pt idx="0">
                  <c:v>0.11929554873417722</c:v>
                </c:pt>
                <c:pt idx="1">
                  <c:v>0.1371898810443038</c:v>
                </c:pt>
                <c:pt idx="2">
                  <c:v>0.15776836320094936</c:v>
                </c:pt>
                <c:pt idx="3">
                  <c:v>0.18143361768109176</c:v>
                </c:pt>
                <c:pt idx="4">
                  <c:v>0.20864866033325549</c:v>
                </c:pt>
                <c:pt idx="5">
                  <c:v>0.23994595938324378</c:v>
                </c:pt>
                <c:pt idx="6">
                  <c:v>0.27593785329073034</c:v>
                </c:pt>
                <c:pt idx="7">
                  <c:v>0.31732853128433985</c:v>
                </c:pt>
                <c:pt idx="8">
                  <c:v>0.36492781097699079</c:v>
                </c:pt>
                <c:pt idx="9">
                  <c:v>0.41966698262353935</c:v>
                </c:pt>
                <c:pt idx="10">
                  <c:v>0.48261703001707024</c:v>
                </c:pt>
                <c:pt idx="11">
                  <c:v>0.55500958451963078</c:v>
                </c:pt>
                <c:pt idx="12">
                  <c:v>0.6382610221975753</c:v>
                </c:pt>
                <c:pt idx="13">
                  <c:v>0.73400017552721153</c:v>
                </c:pt>
                <c:pt idx="14">
                  <c:v>0.8441002018562932</c:v>
                </c:pt>
                <c:pt idx="15">
                  <c:v>0.97071523213473709</c:v>
                </c:pt>
                <c:pt idx="16">
                  <c:v>1.1163225169549476</c:v>
                </c:pt>
                <c:pt idx="17">
                  <c:v>1.2837708944981896</c:v>
                </c:pt>
                <c:pt idx="18">
                  <c:v>1.476336528672918</c:v>
                </c:pt>
                <c:pt idx="19">
                  <c:v>1.6977870079738555</c:v>
                </c:pt>
                <c:pt idx="20">
                  <c:v>1.9524550591699337</c:v>
                </c:pt>
                <c:pt idx="21">
                  <c:v>2.2453233180454237</c:v>
                </c:pt>
                <c:pt idx="22">
                  <c:v>2.5821218157522372</c:v>
                </c:pt>
                <c:pt idx="23">
                  <c:v>2.9694400881150727</c:v>
                </c:pt>
                <c:pt idx="24">
                  <c:v>3.4148561013323331</c:v>
                </c:pt>
                <c:pt idx="25">
                  <c:v>3.9270845165321826</c:v>
                </c:pt>
                <c:pt idx="26">
                  <c:v>4.5161471940120093</c:v>
                </c:pt>
                <c:pt idx="27">
                  <c:v>5.1935692731138099</c:v>
                </c:pt>
                <c:pt idx="28">
                  <c:v>5.9726046640808805</c:v>
                </c:pt>
                <c:pt idx="29">
                  <c:v>6.8684953636930119</c:v>
                </c:pt>
                <c:pt idx="30">
                  <c:v>7.8987696682469632</c:v>
                </c:pt>
                <c:pt idx="31">
                  <c:v>9.0835851184840077</c:v>
                </c:pt>
                <c:pt idx="32">
                  <c:v>10.446122886256608</c:v>
                </c:pt>
                <c:pt idx="33">
                  <c:v>12.013041319195098</c:v>
                </c:pt>
                <c:pt idx="34">
                  <c:v>13.814997517074362</c:v>
                </c:pt>
                <c:pt idx="35">
                  <c:v>15.887247144635515</c:v>
                </c:pt>
                <c:pt idx="36">
                  <c:v>18.270334216330841</c:v>
                </c:pt>
                <c:pt idx="37">
                  <c:v>21.010884348780465</c:v>
                </c:pt>
                <c:pt idx="38">
                  <c:v>24.162517001097534</c:v>
                </c:pt>
                <c:pt idx="39">
                  <c:v>27.786894551262161</c:v>
                </c:pt>
                <c:pt idx="40">
                  <c:v>31.954928733951483</c:v>
                </c:pt>
                <c:pt idx="41">
                  <c:v>36.748168044044206</c:v>
                </c:pt>
                <c:pt idx="42">
                  <c:v>42.260393250650836</c:v>
                </c:pt>
                <c:pt idx="43">
                  <c:v>48.59945223824846</c:v>
                </c:pt>
                <c:pt idx="44">
                  <c:v>55.889370073985724</c:v>
                </c:pt>
                <c:pt idx="45">
                  <c:v>64.272775585083579</c:v>
                </c:pt>
                <c:pt idx="46">
                  <c:v>73.913691922846112</c:v>
                </c:pt>
                <c:pt idx="47">
                  <c:v>85.000745711273026</c:v>
                </c:pt>
                <c:pt idx="48">
                  <c:v>97.750857567963976</c:v>
                </c:pt>
                <c:pt idx="49">
                  <c:v>112.41348620315857</c:v>
                </c:pt>
                <c:pt idx="50">
                  <c:v>129.27550913363234</c:v>
                </c:pt>
                <c:pt idx="51">
                  <c:v>148.66683550367719</c:v>
                </c:pt>
                <c:pt idx="52">
                  <c:v>170.96686082922875</c:v>
                </c:pt>
                <c:pt idx="53">
                  <c:v>196.61188995361306</c:v>
                </c:pt>
                <c:pt idx="54">
                  <c:v>226.10367344665499</c:v>
                </c:pt>
                <c:pt idx="55">
                  <c:v>260.01922446365325</c:v>
                </c:pt>
                <c:pt idx="56">
                  <c:v>299.02210813320119</c:v>
                </c:pt>
                <c:pt idx="57">
                  <c:v>343.87542435318136</c:v>
                </c:pt>
                <c:pt idx="58">
                  <c:v>395.45673800615856</c:v>
                </c:pt>
                <c:pt idx="59">
                  <c:v>454.77524870708231</c:v>
                </c:pt>
                <c:pt idx="60">
                  <c:v>522.99153601314458</c:v>
                </c:pt>
                <c:pt idx="61">
                  <c:v>601.44026641511618</c:v>
                </c:pt>
                <c:pt idx="62">
                  <c:v>691.65630637738354</c:v>
                </c:pt>
                <c:pt idx="63">
                  <c:v>795.40475233399104</c:v>
                </c:pt>
                <c:pt idx="64">
                  <c:v>914.71546518408968</c:v>
                </c:pt>
              </c:numCache>
            </c:numRef>
          </c:xVal>
          <c:yVal>
            <c:numRef>
              <c:f>Isotherms!$L$25:$L$89</c:f>
              <c:numCache>
                <c:formatCode>General</c:formatCode>
                <c:ptCount val="65"/>
                <c:pt idx="0">
                  <c:v>2543447.1294419654</c:v>
                </c:pt>
                <c:pt idx="1">
                  <c:v>-57.693160855421738</c:v>
                </c:pt>
                <c:pt idx="2">
                  <c:v>-457.17135914615704</c:v>
                </c:pt>
                <c:pt idx="3">
                  <c:v>-436.25934471140533</c:v>
                </c:pt>
                <c:pt idx="4">
                  <c:v>-354.730836718918</c:v>
                </c:pt>
                <c:pt idx="5">
                  <c:v>-272.65015898285509</c:v>
                </c:pt>
                <c:pt idx="6">
                  <c:v>-203.18825870660538</c:v>
                </c:pt>
                <c:pt idx="7">
                  <c:v>-147.97554741161571</c:v>
                </c:pt>
                <c:pt idx="8">
                  <c:v>-105.45390181384093</c:v>
                </c:pt>
                <c:pt idx="9">
                  <c:v>-73.352661475403295</c:v>
                </c:pt>
                <c:pt idx="10">
                  <c:v>-49.482706204450707</c:v>
                </c:pt>
                <c:pt idx="11">
                  <c:v>-31.971654842202625</c:v>
                </c:pt>
                <c:pt idx="12">
                  <c:v>-19.300704516432479</c:v>
                </c:pt>
                <c:pt idx="13">
                  <c:v>-10.27256894954072</c:v>
                </c:pt>
                <c:pt idx="14">
                  <c:v>-3.9598590942625922</c:v>
                </c:pt>
                <c:pt idx="15">
                  <c:v>0.34717032180672502</c:v>
                </c:pt>
                <c:pt idx="16">
                  <c:v>3.1867923939078993</c:v>
                </c:pt>
                <c:pt idx="17">
                  <c:v>4.9641803364492532</c:v>
                </c:pt>
                <c:pt idx="18">
                  <c:v>5.9822560490688419</c:v>
                </c:pt>
                <c:pt idx="19">
                  <c:v>6.4659959836210188</c:v>
                </c:pt>
                <c:pt idx="20">
                  <c:v>6.5813303621101094</c:v>
                </c:pt>
                <c:pt idx="21">
                  <c:v>6.4497025081491293</c:v>
                </c:pt>
                <c:pt idx="22">
                  <c:v>6.1592073187463621</c:v>
                </c:pt>
                <c:pt idx="23">
                  <c:v>5.7730659095742594</c:v>
                </c:pt>
                <c:pt idx="24">
                  <c:v>5.3360437453579221</c:v>
                </c:pt>
                <c:pt idx="25">
                  <c:v>4.8792912765124585</c:v>
                </c:pt>
                <c:pt idx="26">
                  <c:v>4.4239805909434828</c:v>
                </c:pt>
                <c:pt idx="27">
                  <c:v>3.9840269379758273</c:v>
                </c:pt>
                <c:pt idx="28">
                  <c:v>3.5681171539044296</c:v>
                </c:pt>
                <c:pt idx="29">
                  <c:v>3.1812148450495332</c:v>
                </c:pt>
                <c:pt idx="30">
                  <c:v>2.825671774470627</c:v>
                </c:pt>
                <c:pt idx="31">
                  <c:v>2.5020437854527562</c:v>
                </c:pt>
                <c:pt idx="32">
                  <c:v>2.2096857491611535</c:v>
                </c:pt>
                <c:pt idx="33">
                  <c:v>1.9471818146092901</c:v>
                </c:pt>
                <c:pt idx="34">
                  <c:v>1.7126533758613991</c:v>
                </c:pt>
                <c:pt idx="35">
                  <c:v>1.5039766441143143</c:v>
                </c:pt>
                <c:pt idx="36">
                  <c:v>1.3189337365301974</c:v>
                </c:pt>
                <c:pt idx="37">
                  <c:v>1.1553151637737247</c:v>
                </c:pt>
                <c:pt idx="38">
                  <c:v>1.0109870486442598</c:v>
                </c:pt>
                <c:pt idx="39">
                  <c:v>0.88393298247053753</c:v>
                </c:pt>
                <c:pt idx="40">
                  <c:v>0.77227785178751573</c:v>
                </c:pt>
                <c:pt idx="41">
                  <c:v>0.67429903781032907</c:v>
                </c:pt>
                <c:pt idx="42">
                  <c:v>0.58842894763869025</c:v>
                </c:pt>
                <c:pt idx="43">
                  <c:v>0.51325175925548461</c:v>
                </c:pt>
                <c:pt idx="44">
                  <c:v>0.44749646150679845</c:v>
                </c:pt>
                <c:pt idx="45">
                  <c:v>0.39002767671953675</c:v>
                </c:pt>
                <c:pt idx="46">
                  <c:v>0.33983531555357549</c:v>
                </c:pt>
                <c:pt idx="47">
                  <c:v>0.29602379195378054</c:v>
                </c:pt>
                <c:pt idx="48">
                  <c:v>0.25780129116612838</c:v>
                </c:pt>
                <c:pt idx="49">
                  <c:v>0.22446941351654801</c:v>
                </c:pt>
                <c:pt idx="50">
                  <c:v>0.195413394346658</c:v>
                </c:pt>
                <c:pt idx="51">
                  <c:v>0.17009301365194149</c:v>
                </c:pt>
                <c:pt idx="52">
                  <c:v>0.14803424821432629</c:v>
                </c:pt>
                <c:pt idx="53">
                  <c:v>0.12882167737087014</c:v>
                </c:pt>
                <c:pt idx="54">
                  <c:v>0.112091625804001</c:v>
                </c:pt>
                <c:pt idx="55">
                  <c:v>9.7526009006459816E-2</c:v>
                </c:pt>
                <c:pt idx="56">
                  <c:v>8.4846836500362996E-2</c:v>
                </c:pt>
                <c:pt idx="57">
                  <c:v>7.3811322361655329E-2</c:v>
                </c:pt>
                <c:pt idx="58">
                  <c:v>6.4207550568031568E-2</c:v>
                </c:pt>
                <c:pt idx="59">
                  <c:v>5.5850643018898548E-2</c:v>
                </c:pt>
                <c:pt idx="60">
                  <c:v>4.8579379950766013E-2</c:v>
                </c:pt>
                <c:pt idx="61">
                  <c:v>4.2253225302497546E-2</c:v>
                </c:pt>
                <c:pt idx="62">
                  <c:v>3.6749712954871894E-2</c:v>
                </c:pt>
                <c:pt idx="63">
                  <c:v>3.1962153386309054E-2</c:v>
                </c:pt>
                <c:pt idx="64">
                  <c:v>2.7797623951744746E-2</c:v>
                </c:pt>
              </c:numCache>
            </c:numRef>
          </c:yVal>
          <c:smooth val="1"/>
        </c:ser>
        <c:ser>
          <c:idx val="10"/>
          <c:order val="3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Isotherms!$O$2:$O$47</c:f>
              <c:numCache>
                <c:formatCode>General</c:formatCode>
                <c:ptCount val="46"/>
                <c:pt idx="0">
                  <c:v>0.13085271658314221</c:v>
                </c:pt>
                <c:pt idx="1">
                  <c:v>0.13173101900813594</c:v>
                </c:pt>
                <c:pt idx="2">
                  <c:v>0.13269675752520102</c:v>
                </c:pt>
                <c:pt idx="3">
                  <c:v>0.13376234798893852</c:v>
                </c:pt>
                <c:pt idx="4">
                  <c:v>0.13494275384656634</c:v>
                </c:pt>
                <c:pt idx="5">
                  <c:v>0.13625617187566796</c:v>
                </c:pt>
                <c:pt idx="6">
                  <c:v>0.137724952917779</c:v>
                </c:pt>
                <c:pt idx="7">
                  <c:v>0.13937686391254375</c:v>
                </c:pt>
                <c:pt idx="8">
                  <c:v>0.14124685775470069</c:v>
                </c:pt>
                <c:pt idx="9">
                  <c:v>0.14337961869641269</c:v>
                </c:pt>
                <c:pt idx="10">
                  <c:v>0.14583332788469333</c:v>
                </c:pt>
                <c:pt idx="11">
                  <c:v>0.14868527741384086</c:v>
                </c:pt>
                <c:pt idx="12">
                  <c:v>0.15204169021393446</c:v>
                </c:pt>
                <c:pt idx="13">
                  <c:v>0.15605155917878541</c:v>
                </c:pt>
                <c:pt idx="14">
                  <c:v>0.16093467004790543</c:v>
                </c:pt>
                <c:pt idx="15">
                  <c:v>0.16703169753244904</c:v>
                </c:pt>
                <c:pt idx="16">
                  <c:v>0.17490868126908923</c:v>
                </c:pt>
                <c:pt idx="17">
                  <c:v>0.18561435472003968</c:v>
                </c:pt>
                <c:pt idx="18">
                  <c:v>0.20140965729662019</c:v>
                </c:pt>
                <c:pt idx="19">
                  <c:v>0.22893271681419078</c:v>
                </c:pt>
                <c:pt idx="20">
                  <c:v>0.30339147603475525</c:v>
                </c:pt>
                <c:pt idx="21">
                  <c:v>0.35785664620253166</c:v>
                </c:pt>
                <c:pt idx="25">
                  <c:v>0.43285019074197167</c:v>
                </c:pt>
                <c:pt idx="26">
                  <c:v>0.71927521987358511</c:v>
                </c:pt>
                <c:pt idx="27">
                  <c:v>1.0514486356817634</c:v>
                </c:pt>
                <c:pt idx="28">
                  <c:v>1.4754815179520717</c:v>
                </c:pt>
                <c:pt idx="29">
                  <c:v>2.041521578691778</c:v>
                </c:pt>
                <c:pt idx="30">
                  <c:v>2.8158083277094557</c:v>
                </c:pt>
                <c:pt idx="31">
                  <c:v>3.8954454897186128</c:v>
                </c:pt>
                <c:pt idx="32">
                  <c:v>5.4280833101355412</c:v>
                </c:pt>
                <c:pt idx="33">
                  <c:v>7.6435197673646131</c:v>
                </c:pt>
                <c:pt idx="34">
                  <c:v>10.907111486584226</c:v>
                </c:pt>
                <c:pt idx="35">
                  <c:v>15.812312715495965</c:v>
                </c:pt>
                <c:pt idx="36">
                  <c:v>23.344750820334983</c:v>
                </c:pt>
                <c:pt idx="37">
                  <c:v>35.180248120405857</c:v>
                </c:pt>
                <c:pt idx="38">
                  <c:v>54.239504994725849</c:v>
                </c:pt>
                <c:pt idx="39">
                  <c:v>85.747773096660865</c:v>
                </c:pt>
                <c:pt idx="40">
                  <c:v>139.31528939032131</c:v>
                </c:pt>
                <c:pt idx="41">
                  <c:v>233.14094623355646</c:v>
                </c:pt>
                <c:pt idx="42">
                  <c:v>402.76720497530511</c:v>
                </c:pt>
                <c:pt idx="43">
                  <c:v>719.90408409071586</c:v>
                </c:pt>
                <c:pt idx="44">
                  <c:v>1334.2822139223372</c:v>
                </c:pt>
                <c:pt idx="45">
                  <c:v>2570.0466781979353</c:v>
                </c:pt>
              </c:numCache>
            </c:numRef>
          </c:xVal>
          <c:yVal>
            <c:numRef>
              <c:f>Isotherms!$N$2:$N$47</c:f>
              <c:numCache>
                <c:formatCode>General</c:formatCode>
                <c:ptCount val="46"/>
                <c:pt idx="0">
                  <c:v>8.0836149165030638E-3</c:v>
                </c:pt>
                <c:pt idx="1">
                  <c:v>1.6207266195744433E-2</c:v>
                </c:pt>
                <c:pt idx="2">
                  <c:v>3.1258875210762156E-2</c:v>
                </c:pt>
                <c:pt idx="3">
                  <c:v>5.811723116708116E-2</c:v>
                </c:pt>
                <c:pt idx="4">
                  <c:v>0.10437433943134912</c:v>
                </c:pt>
                <c:pt idx="5">
                  <c:v>0.18143013473605477</c:v>
                </c:pt>
                <c:pt idx="6">
                  <c:v>0.30584494184815675</c:v>
                </c:pt>
                <c:pt idx="7">
                  <c:v>0.50095379404491969</c:v>
                </c:pt>
                <c:pt idx="8">
                  <c:v>0.79873897287460038</c:v>
                </c:pt>
                <c:pt idx="9">
                  <c:v>1.2419565662834327</c:v>
                </c:pt>
                <c:pt idx="10">
                  <c:v>1.8865230429204805</c:v>
                </c:pt>
                <c:pt idx="11">
                  <c:v>2.804192214432971</c:v>
                </c:pt>
                <c:pt idx="12">
                  <c:v>4.0855960438249053</c:v>
                </c:pt>
                <c:pt idx="13">
                  <c:v>5.8437937282110406</c:v>
                </c:pt>
                <c:pt idx="14">
                  <c:v>8.2185939153590262</c:v>
                </c:pt>
                <c:pt idx="15">
                  <c:v>11.382136605289334</c:v>
                </c:pt>
                <c:pt idx="16">
                  <c:v>15.546672704686031</c:v>
                </c:pt>
                <c:pt idx="17">
                  <c:v>20.976510874317992</c:v>
                </c:pt>
                <c:pt idx="18">
                  <c:v>28.00886735613841</c:v>
                </c:pt>
                <c:pt idx="19">
                  <c:v>37.098209498714525</c:v>
                </c:pt>
                <c:pt idx="20">
                  <c:v>47.647861753356409</c:v>
                </c:pt>
                <c:pt idx="21">
                  <c:v>48.98</c:v>
                </c:pt>
                <c:pt idx="25">
                  <c:v>47.647861753356409</c:v>
                </c:pt>
                <c:pt idx="26">
                  <c:v>37.098209498714525</c:v>
                </c:pt>
                <c:pt idx="27">
                  <c:v>28.00886735613841</c:v>
                </c:pt>
                <c:pt idx="28">
                  <c:v>20.976510874317992</c:v>
                </c:pt>
                <c:pt idx="29">
                  <c:v>15.546672704686031</c:v>
                </c:pt>
                <c:pt idx="30">
                  <c:v>11.382136605289334</c:v>
                </c:pt>
                <c:pt idx="31">
                  <c:v>8.2185939153590262</c:v>
                </c:pt>
                <c:pt idx="32">
                  <c:v>5.8437937282110406</c:v>
                </c:pt>
                <c:pt idx="33">
                  <c:v>4.0855960438249053</c:v>
                </c:pt>
                <c:pt idx="34">
                  <c:v>2.804192214432971</c:v>
                </c:pt>
                <c:pt idx="35">
                  <c:v>1.8865230429204805</c:v>
                </c:pt>
                <c:pt idx="36">
                  <c:v>1.2419565662834327</c:v>
                </c:pt>
                <c:pt idx="37">
                  <c:v>0.79873897287460038</c:v>
                </c:pt>
                <c:pt idx="38">
                  <c:v>0.50095379404491969</c:v>
                </c:pt>
                <c:pt idx="39">
                  <c:v>0.30584494184815675</c:v>
                </c:pt>
                <c:pt idx="40">
                  <c:v>0.18143013473605477</c:v>
                </c:pt>
                <c:pt idx="41">
                  <c:v>0.10437433943134912</c:v>
                </c:pt>
                <c:pt idx="42">
                  <c:v>5.811723116708116E-2</c:v>
                </c:pt>
                <c:pt idx="43">
                  <c:v>3.1258875210762156E-2</c:v>
                </c:pt>
                <c:pt idx="44">
                  <c:v>1.6207266195744433E-2</c:v>
                </c:pt>
                <c:pt idx="45">
                  <c:v>8.0836149165030638E-3</c:v>
                </c:pt>
              </c:numCache>
            </c:numRef>
          </c:yVal>
          <c:smooth val="1"/>
        </c:ser>
        <c:ser>
          <c:idx val="0"/>
          <c:order val="4"/>
          <c:tx>
            <c:v>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Isotherms!$C$25:$C$107</c:f>
              <c:numCache>
                <c:formatCode>General</c:formatCode>
                <c:ptCount val="83"/>
                <c:pt idx="0">
                  <c:v>0.12047840422151899</c:v>
                </c:pt>
                <c:pt idx="1">
                  <c:v>0.12650232443259496</c:v>
                </c:pt>
                <c:pt idx="2">
                  <c:v>0.13282744065422472</c:v>
                </c:pt>
                <c:pt idx="3">
                  <c:v>0.13946881268693595</c:v>
                </c:pt>
                <c:pt idx="4">
                  <c:v>0.14644225332128274</c:v>
                </c:pt>
                <c:pt idx="5">
                  <c:v>0.15376436598734688</c:v>
                </c:pt>
                <c:pt idx="6">
                  <c:v>0.16145258428671425</c:v>
                </c:pt>
                <c:pt idx="7">
                  <c:v>0.16952521350104996</c:v>
                </c:pt>
                <c:pt idx="8">
                  <c:v>0.17800147417610246</c:v>
                </c:pt>
                <c:pt idx="9">
                  <c:v>0.18690154788490759</c:v>
                </c:pt>
                <c:pt idx="10">
                  <c:v>0.19624662527915299</c:v>
                </c:pt>
                <c:pt idx="11">
                  <c:v>0.20605895654311066</c:v>
                </c:pt>
                <c:pt idx="12">
                  <c:v>0.2163619043702662</c:v>
                </c:pt>
                <c:pt idx="13">
                  <c:v>0.22717999958877952</c:v>
                </c:pt>
                <c:pt idx="14">
                  <c:v>0.23172359958055511</c:v>
                </c:pt>
                <c:pt idx="15">
                  <c:v>0.23635807157216621</c:v>
                </c:pt>
                <c:pt idx="16">
                  <c:v>0.24108523300360954</c:v>
                </c:pt>
                <c:pt idx="17">
                  <c:v>0.24590693766368174</c:v>
                </c:pt>
                <c:pt idx="18">
                  <c:v>0.25082507641695539</c:v>
                </c:pt>
                <c:pt idx="19">
                  <c:v>0.2558415779452945</c:v>
                </c:pt>
                <c:pt idx="20">
                  <c:v>0.26095840950420041</c:v>
                </c:pt>
                <c:pt idx="21">
                  <c:v>0.26617757769428441</c:v>
                </c:pt>
                <c:pt idx="22">
                  <c:v>0.2715011292481701</c:v>
                </c:pt>
                <c:pt idx="23">
                  <c:v>0.27693115183313349</c:v>
                </c:pt>
                <c:pt idx="24">
                  <c:v>0.28246977486979619</c:v>
                </c:pt>
                <c:pt idx="25">
                  <c:v>0.29659326361328603</c:v>
                </c:pt>
                <c:pt idx="26">
                  <c:v>0.31142292679395034</c:v>
                </c:pt>
                <c:pt idx="27">
                  <c:v>0.32699407313364787</c:v>
                </c:pt>
                <c:pt idx="28">
                  <c:v>0.34334377679033029</c:v>
                </c:pt>
                <c:pt idx="29">
                  <c:v>0.3605109656298468</c:v>
                </c:pt>
                <c:pt idx="30">
                  <c:v>0.37853651391133913</c:v>
                </c:pt>
                <c:pt idx="31">
                  <c:v>0.39746333960690611</c:v>
                </c:pt>
                <c:pt idx="32">
                  <c:v>0.41733650658725141</c:v>
                </c:pt>
                <c:pt idx="33">
                  <c:v>0.43820333191661398</c:v>
                </c:pt>
                <c:pt idx="34">
                  <c:v>0.46011349851244471</c:v>
                </c:pt>
                <c:pt idx="35">
                  <c:v>0.48311917343806698</c:v>
                </c:pt>
                <c:pt idx="36">
                  <c:v>0.50727513210997033</c:v>
                </c:pt>
                <c:pt idx="37">
                  <c:v>0.53263888871546883</c:v>
                </c:pt>
                <c:pt idx="38">
                  <c:v>0.55927083315124226</c:v>
                </c:pt>
                <c:pt idx="39">
                  <c:v>0.58723437480880436</c:v>
                </c:pt>
                <c:pt idx="40">
                  <c:v>0.61659609354924461</c:v>
                </c:pt>
                <c:pt idx="41">
                  <c:v>0.64742589822670682</c:v>
                </c:pt>
                <c:pt idx="42">
                  <c:v>0.67979719313804221</c:v>
                </c:pt>
                <c:pt idx="43">
                  <c:v>0.71378705279494437</c:v>
                </c:pt>
                <c:pt idx="44">
                  <c:v>0.74947640543469163</c:v>
                </c:pt>
                <c:pt idx="45">
                  <c:v>0.78695022570642625</c:v>
                </c:pt>
                <c:pt idx="46">
                  <c:v>0.82629773699174758</c:v>
                </c:pt>
                <c:pt idx="47">
                  <c:v>0.86761262384133497</c:v>
                </c:pt>
                <c:pt idx="48">
                  <c:v>0.91099325503340178</c:v>
                </c:pt>
                <c:pt idx="49">
                  <c:v>0.95654291778507194</c:v>
                </c:pt>
                <c:pt idx="50">
                  <c:v>1.0043700636743256</c:v>
                </c:pt>
                <c:pt idx="51">
                  <c:v>1.0545885668580419</c:v>
                </c:pt>
                <c:pt idx="52">
                  <c:v>1.107317995200944</c:v>
                </c:pt>
                <c:pt idx="53">
                  <c:v>1.1626838949609912</c:v>
                </c:pt>
                <c:pt idx="54">
                  <c:v>1.2208180897090408</c:v>
                </c:pt>
                <c:pt idx="55">
                  <c:v>1.2818589941944929</c:v>
                </c:pt>
                <c:pt idx="56">
                  <c:v>1.3459519439042176</c:v>
                </c:pt>
                <c:pt idx="57">
                  <c:v>1.4132495410994286</c:v>
                </c:pt>
                <c:pt idx="58">
                  <c:v>1.4839120181544001</c:v>
                </c:pt>
                <c:pt idx="59">
                  <c:v>1.5581076190621201</c:v>
                </c:pt>
                <c:pt idx="60">
                  <c:v>1.6360130000152262</c:v>
                </c:pt>
                <c:pt idx="61">
                  <c:v>1.7178136500159875</c:v>
                </c:pt>
                <c:pt idx="62">
                  <c:v>1.803704332516787</c:v>
                </c:pt>
                <c:pt idx="63">
                  <c:v>1.8938895491426264</c:v>
                </c:pt>
                <c:pt idx="64">
                  <c:v>1.9885840265997579</c:v>
                </c:pt>
                <c:pt idx="65">
                  <c:v>2.0880132279297459</c:v>
                </c:pt>
                <c:pt idx="66">
                  <c:v>2.1924138893262333</c:v>
                </c:pt>
                <c:pt idx="67">
                  <c:v>2.3020345837925449</c:v>
                </c:pt>
                <c:pt idx="68">
                  <c:v>2.4171363129821724</c:v>
                </c:pt>
                <c:pt idx="69">
                  <c:v>2.5379931286312809</c:v>
                </c:pt>
                <c:pt idx="70">
                  <c:v>2.664892785062845</c:v>
                </c:pt>
                <c:pt idx="71">
                  <c:v>2.7981374243159873</c:v>
                </c:pt>
                <c:pt idx="72">
                  <c:v>2.9380442955317867</c:v>
                </c:pt>
                <c:pt idx="73">
                  <c:v>3.084946510308376</c:v>
                </c:pt>
                <c:pt idx="74">
                  <c:v>3.2391938358237948</c:v>
                </c:pt>
                <c:pt idx="75">
                  <c:v>3.4011535276149849</c:v>
                </c:pt>
                <c:pt idx="76">
                  <c:v>3.5712112039957344</c:v>
                </c:pt>
                <c:pt idx="77">
                  <c:v>3.7497717641955215</c:v>
                </c:pt>
                <c:pt idx="78">
                  <c:v>3.9372603524052976</c:v>
                </c:pt>
                <c:pt idx="79">
                  <c:v>4.1341233700255628</c:v>
                </c:pt>
                <c:pt idx="80">
                  <c:v>4.3408295385268412</c:v>
                </c:pt>
                <c:pt idx="81">
                  <c:v>4.5578710154531832</c:v>
                </c:pt>
                <c:pt idx="82">
                  <c:v>4.7857645662258426</c:v>
                </c:pt>
              </c:numCache>
            </c:numRef>
          </c:xVal>
          <c:yVal>
            <c:numRef>
              <c:f>Isotherms!$D$25:$D$107</c:f>
              <c:numCache>
                <c:formatCode>General</c:formatCode>
                <c:ptCount val="83"/>
                <c:pt idx="0">
                  <c:v>37887.597686501365</c:v>
                </c:pt>
                <c:pt idx="1">
                  <c:v>5300.8191005915069</c:v>
                </c:pt>
                <c:pt idx="2">
                  <c:v>2385.0211514109019</c:v>
                </c:pt>
                <c:pt idx="3">
                  <c:v>1348.4267683156963</c:v>
                </c:pt>
                <c:pt idx="4">
                  <c:v>843.69710046041689</c:v>
                </c:pt>
                <c:pt idx="5">
                  <c:v>559.76102002698576</c:v>
                </c:pt>
                <c:pt idx="6">
                  <c:v>386.58362791028497</c:v>
                </c:pt>
                <c:pt idx="7">
                  <c:v>275.58624726769546</c:v>
                </c:pt>
                <c:pt idx="8">
                  <c:v>202.15379265691067</c:v>
                </c:pt>
                <c:pt idx="9">
                  <c:v>152.587140093427</c:v>
                </c:pt>
                <c:pt idx="10">
                  <c:v>118.73062633755529</c:v>
                </c:pt>
                <c:pt idx="11">
                  <c:v>95.479107774686199</c:v>
                </c:pt>
                <c:pt idx="12">
                  <c:v>79.512659137376616</c:v>
                </c:pt>
                <c:pt idx="13">
                  <c:v>68.607881467236879</c:v>
                </c:pt>
                <c:pt idx="14">
                  <c:v>65.259894926199848</c:v>
                </c:pt>
                <c:pt idx="15">
                  <c:v>62.411869902535251</c:v>
                </c:pt>
                <c:pt idx="16">
                  <c:v>59.996433251859273</c:v>
                </c:pt>
                <c:pt idx="17">
                  <c:v>57.955094840277887</c:v>
                </c:pt>
                <c:pt idx="18">
                  <c:v>56.23698593664583</c:v>
                </c:pt>
                <c:pt idx="19">
                  <c:v>54.797797817839779</c:v>
                </c:pt>
                <c:pt idx="20">
                  <c:v>53.598884962328633</c:v>
                </c:pt>
                <c:pt idx="21">
                  <c:v>52.606504246405969</c:v>
                </c:pt>
                <c:pt idx="22">
                  <c:v>51.791167070845916</c:v>
                </c:pt>
                <c:pt idx="23">
                  <c:v>51.127085692158396</c:v>
                </c:pt>
                <c:pt idx="24">
                  <c:v>50.591698480152154</c:v>
                </c:pt>
                <c:pt idx="25">
                  <c:v>49.702057027211595</c:v>
                </c:pt>
                <c:pt idx="26">
                  <c:v>49.243151696985585</c:v>
                </c:pt>
                <c:pt idx="27">
                  <c:v>49.044830756866652</c:v>
                </c:pt>
                <c:pt idx="28">
                  <c:v>48.985668385598366</c:v>
                </c:pt>
                <c:pt idx="29">
                  <c:v>48.979970784164308</c:v>
                </c:pt>
                <c:pt idx="30">
                  <c:v>48.968339260025132</c:v>
                </c:pt>
                <c:pt idx="31">
                  <c:v>48.910751888851316</c:v>
                </c:pt>
                <c:pt idx="32">
                  <c:v>48.781452086492067</c:v>
                </c:pt>
                <c:pt idx="33">
                  <c:v>48.56514856755939</c:v>
                </c:pt>
                <c:pt idx="34">
                  <c:v>48.254176726280967</c:v>
                </c:pt>
                <c:pt idx="35">
                  <c:v>47.846371099429831</c:v>
                </c:pt>
                <c:pt idx="36">
                  <c:v>47.343467767511832</c:v>
                </c:pt>
                <c:pt idx="37">
                  <c:v>46.749904261761841</c:v>
                </c:pt>
                <c:pt idx="38">
                  <c:v>46.071919257890734</c:v>
                </c:pt>
                <c:pt idx="39">
                  <c:v>45.31687935379221</c:v>
                </c:pt>
                <c:pt idx="40">
                  <c:v>44.492778441644447</c:v>
                </c:pt>
                <c:pt idx="41">
                  <c:v>43.607868569413512</c:v>
                </c:pt>
                <c:pt idx="42">
                  <c:v>42.670391106947029</c:v>
                </c:pt>
                <c:pt idx="43">
                  <c:v>41.688384441563031</c:v>
                </c:pt>
                <c:pt idx="44">
                  <c:v>40.669550001706298</c:v>
                </c:pt>
                <c:pt idx="45">
                  <c:v>39.62116262661138</c:v>
                </c:pt>
                <c:pt idx="46">
                  <c:v>38.55001451241624</c:v>
                </c:pt>
                <c:pt idx="47">
                  <c:v>37.462384423656701</c:v>
                </c:pt>
                <c:pt idx="48">
                  <c:v>36.364025749081684</c:v>
                </c:pt>
                <c:pt idx="49">
                  <c:v>35.260168439499232</c:v>
                </c:pt>
                <c:pt idx="50">
                  <c:v>34.155530995137262</c:v>
                </c:pt>
                <c:pt idx="51">
                  <c:v>33.054339547484744</c:v>
                </c:pt>
                <c:pt idx="52">
                  <c:v>31.960351763672293</c:v>
                </c:pt>
                <c:pt idx="53">
                  <c:v>30.876883834135132</c:v>
                </c:pt>
                <c:pt idx="54">
                  <c:v>29.806839220158437</c:v>
                </c:pt>
                <c:pt idx="55">
                  <c:v>28.752738162713577</c:v>
                </c:pt>
                <c:pt idx="56">
                  <c:v>27.716747207633954</c:v>
                </c:pt>
                <c:pt idx="57">
                  <c:v>26.700708200051285</c:v>
                </c:pt>
                <c:pt idx="58">
                  <c:v>25.706166355092911</c:v>
                </c:pt>
                <c:pt idx="59">
                  <c:v>24.734397131477291</c:v>
                </c:pt>
                <c:pt idx="60">
                  <c:v>23.78643172715876</c:v>
                </c:pt>
                <c:pt idx="61">
                  <c:v>22.863081087315422</c:v>
                </c:pt>
                <c:pt idx="62">
                  <c:v>21.964958369273756</c:v>
                </c:pt>
                <c:pt idx="63">
                  <c:v>21.092499849996472</c:v>
                </c:pt>
                <c:pt idx="64">
                  <c:v>20.245984292352524</c:v>
                </c:pt>
                <c:pt idx="65">
                  <c:v>19.42555080878067</c:v>
                </c:pt>
                <c:pt idx="66">
                  <c:v>18.631215276926643</c:v>
                </c:pt>
                <c:pt idx="67">
                  <c:v>17.862885372789094</c:v>
                </c:pt>
                <c:pt idx="68">
                  <c:v>17.120374293970457</c:v>
                </c:pt>
                <c:pt idx="69">
                  <c:v>16.403413249685329</c:v>
                </c:pt>
                <c:pt idx="70">
                  <c:v>15.711662795936554</c:v>
                </c:pt>
                <c:pt idx="71">
                  <c:v>15.044723094287157</c:v>
                </c:pt>
                <c:pt idx="72">
                  <c:v>14.402143171378052</c:v>
                </c:pt>
                <c:pt idx="73">
                  <c:v>13.783429254116307</c:v>
                </c:pt>
                <c:pt idx="74">
                  <c:v>13.188052252562347</c:v>
                </c:pt>
                <c:pt idx="75">
                  <c:v>12.615454459192451</c:v>
                </c:pt>
                <c:pt idx="76">
                  <c:v>12.065055529573224</c:v>
                </c:pt>
                <c:pt idx="77">
                  <c:v>11.536257805688177</c:v>
                </c:pt>
                <c:pt idx="78">
                  <c:v>11.028451039302329</c:v>
                </c:pt>
                <c:pt idx="79">
                  <c:v>10.541016568914888</c:v>
                </c:pt>
                <c:pt idx="80">
                  <c:v>10.073331000088968</c:v>
                </c:pt>
                <c:pt idx="81">
                  <c:v>9.6247694353019817</c:v>
                </c:pt>
                <c:pt idx="82">
                  <c:v>9.1947082959601669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536768"/>
        <c:axId val="149538688"/>
      </c:scatterChart>
      <c:valAx>
        <c:axId val="149536768"/>
        <c:scaling>
          <c:logBase val="10"/>
          <c:orientation val="minMax"/>
          <c:max val="1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1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Volume, </a:t>
                </a:r>
                <a:r>
                  <a:rPr lang="en-ZA" sz="115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V</a:t>
                </a:r>
                <a:r>
                  <a:rPr lang="en-ZA" sz="11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</a:t>
                </a:r>
                <a:r>
                  <a:rPr lang="en-ZA" sz="1150" b="0" i="0" u="none" strike="noStrike" baseline="0">
                    <a:solidFill>
                      <a:srgbClr val="000000"/>
                    </a:solidFill>
                    <a:latin typeface="MT Extra"/>
                    <a:cs typeface="Times New Roman"/>
                  </a:rPr>
                  <a:t>l</a:t>
                </a:r>
                <a:r>
                  <a:rPr lang="en-ZA" sz="11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/mol]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0.416084981642456"/>
              <c:y val="0.8865546218487394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49538688"/>
        <c:crossesAt val="-1000000"/>
        <c:crossBetween val="midCat"/>
        <c:minorUnit val="10"/>
      </c:valAx>
      <c:valAx>
        <c:axId val="149538688"/>
        <c:scaling>
          <c:orientation val="minMax"/>
          <c:max val="200"/>
          <c:min val="-350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ZA" sz="11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Pressure, </a:t>
                </a:r>
                <a:r>
                  <a:rPr lang="en-ZA" sz="1150" b="0" i="1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P</a:t>
                </a:r>
                <a:r>
                  <a:rPr lang="en-ZA" sz="11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 [bar]</a:t>
                </a:r>
                <a:endParaRPr lang="en-ZA"/>
              </a:p>
            </c:rich>
          </c:tx>
          <c:layout>
            <c:manualLayout>
              <c:xMode val="edge"/>
              <c:yMode val="edge"/>
              <c:x val="1.9230818479273177E-2"/>
              <c:y val="0.2415966386554621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49536768"/>
        <c:crossesAt val="1E-3"/>
        <c:crossBetween val="midCat"/>
        <c:majorUnit val="100"/>
        <c:minorUnit val="5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7622397142693732"/>
          <c:y val="0.48109243697478993"/>
          <c:w val="0.17132911008807011"/>
          <c:h val="0.21218487394957983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FFFFFF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11</xdr:col>
          <xdr:colOff>66675</xdr:colOff>
          <xdr:row>4</xdr:row>
          <xdr:rowOff>28575</xdr:rowOff>
        </xdr:to>
        <xdr:sp macro="" textlink="">
          <xdr:nvSpPr>
            <xdr:cNvPr id="189441" name="Object 1" hidden="1">
              <a:extLst>
                <a:ext uri="{63B3BB69-23CF-44E3-9099-C40C66FF867C}">
                  <a14:compatExt spid="_x0000_s189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488950</xdr:colOff>
      <xdr:row>6</xdr:row>
      <xdr:rowOff>196850</xdr:rowOff>
    </xdr:from>
    <xdr:to>
      <xdr:col>15</xdr:col>
      <xdr:colOff>355600</xdr:colOff>
      <xdr:row>31</xdr:row>
      <xdr:rowOff>133350</xdr:rowOff>
    </xdr:to>
    <xdr:graphicFrame macro="">
      <xdr:nvGraphicFramePr>
        <xdr:cNvPr id="4198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21</xdr:row>
          <xdr:rowOff>9525</xdr:rowOff>
        </xdr:from>
        <xdr:to>
          <xdr:col>5</xdr:col>
          <xdr:colOff>352425</xdr:colOff>
          <xdr:row>23</xdr:row>
          <xdr:rowOff>104775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SOLVE ALL SHEETS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0.52055</cdr:x>
      <cdr:y>0.44</cdr:y>
    </cdr:from>
    <cdr:to>
      <cdr:x>0.72679</cdr:x>
      <cdr:y>0.53551</cdr:y>
    </cdr:to>
    <cdr:sp macro="" textlink="">
      <cdr:nvSpPr>
        <cdr:cNvPr id="1740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72512" y="2193282"/>
          <a:ext cx="979608" cy="47610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36576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ZA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 = T</a:t>
          </a:r>
          <a:r>
            <a:rPr lang="en-ZA" sz="12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b</a:t>
          </a:r>
          <a:endParaRPr lang="en-ZA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381000</xdr:colOff>
      <xdr:row>9</xdr:row>
      <xdr:rowOff>266700</xdr:rowOff>
    </xdr:from>
    <xdr:to>
      <xdr:col>11</xdr:col>
      <xdr:colOff>495300</xdr:colOff>
      <xdr:row>25</xdr:row>
      <xdr:rowOff>63500</xdr:rowOff>
    </xdr:to>
    <xdr:graphicFrame macro="">
      <xdr:nvGraphicFramePr>
        <xdr:cNvPr id="430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762000</xdr:colOff>
      <xdr:row>14</xdr:row>
      <xdr:rowOff>133350</xdr:rowOff>
    </xdr:from>
    <xdr:to>
      <xdr:col>10</xdr:col>
      <xdr:colOff>50800</xdr:colOff>
      <xdr:row>33</xdr:row>
      <xdr:rowOff>19050</xdr:rowOff>
    </xdr:to>
    <xdr:graphicFrame macro="">
      <xdr:nvGraphicFramePr>
        <xdr:cNvPr id="4403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14</xdr:row>
      <xdr:rowOff>165100</xdr:rowOff>
    </xdr:from>
    <xdr:to>
      <xdr:col>11</xdr:col>
      <xdr:colOff>457200</xdr:colOff>
      <xdr:row>28</xdr:row>
      <xdr:rowOff>95250</xdr:rowOff>
    </xdr:to>
    <xdr:graphicFrame macro="">
      <xdr:nvGraphicFramePr>
        <xdr:cNvPr id="450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393700</xdr:colOff>
      <xdr:row>4</xdr:row>
      <xdr:rowOff>171450</xdr:rowOff>
    </xdr:from>
    <xdr:to>
      <xdr:col>14</xdr:col>
      <xdr:colOff>381000</xdr:colOff>
      <xdr:row>22</xdr:row>
      <xdr:rowOff>25400</xdr:rowOff>
    </xdr:to>
    <xdr:graphicFrame macro="">
      <xdr:nvGraphicFramePr>
        <xdr:cNvPr id="4608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571500</xdr:colOff>
      <xdr:row>7</xdr:row>
      <xdr:rowOff>63500</xdr:rowOff>
    </xdr:from>
    <xdr:to>
      <xdr:col>12</xdr:col>
      <xdr:colOff>50800</xdr:colOff>
      <xdr:row>24</xdr:row>
      <xdr:rowOff>44450</xdr:rowOff>
    </xdr:to>
    <xdr:graphicFrame macro="">
      <xdr:nvGraphicFramePr>
        <xdr:cNvPr id="4710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11</xdr:row>
      <xdr:rowOff>19050</xdr:rowOff>
    </xdr:from>
    <xdr:to>
      <xdr:col>11</xdr:col>
      <xdr:colOff>336550</xdr:colOff>
      <xdr:row>28</xdr:row>
      <xdr:rowOff>76200</xdr:rowOff>
    </xdr:to>
    <xdr:graphicFrame macro="">
      <xdr:nvGraphicFramePr>
        <xdr:cNvPr id="4812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15</xdr:row>
      <xdr:rowOff>0</xdr:rowOff>
    </xdr:from>
    <xdr:to>
      <xdr:col>11</xdr:col>
      <xdr:colOff>88900</xdr:colOff>
      <xdr:row>32</xdr:row>
      <xdr:rowOff>82550</xdr:rowOff>
    </xdr:to>
    <xdr:graphicFrame macro="">
      <xdr:nvGraphicFramePr>
        <xdr:cNvPr id="4915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431800</xdr:colOff>
      <xdr:row>3</xdr:row>
      <xdr:rowOff>139700</xdr:rowOff>
    </xdr:from>
    <xdr:to>
      <xdr:col>11</xdr:col>
      <xdr:colOff>527050</xdr:colOff>
      <xdr:row>21</xdr:row>
      <xdr:rowOff>95250</xdr:rowOff>
    </xdr:to>
    <xdr:graphicFrame macro="">
      <xdr:nvGraphicFramePr>
        <xdr:cNvPr id="5017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0</xdr:rowOff>
    </xdr:from>
    <xdr:to>
      <xdr:col>11</xdr:col>
      <xdr:colOff>107950</xdr:colOff>
      <xdr:row>21</xdr:row>
      <xdr:rowOff>158750</xdr:rowOff>
    </xdr:to>
    <xdr:graphicFrame macro="">
      <xdr:nvGraphicFramePr>
        <xdr:cNvPr id="5120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260350</xdr:colOff>
      <xdr:row>3</xdr:row>
      <xdr:rowOff>120650</xdr:rowOff>
    </xdr:from>
    <xdr:to>
      <xdr:col>12</xdr:col>
      <xdr:colOff>342900</xdr:colOff>
      <xdr:row>21</xdr:row>
      <xdr:rowOff>139700</xdr:rowOff>
    </xdr:to>
    <xdr:graphicFrame macro="">
      <xdr:nvGraphicFramePr>
        <xdr:cNvPr id="522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10</xdr:row>
      <xdr:rowOff>95250</xdr:rowOff>
    </xdr:from>
    <xdr:to>
      <xdr:col>11</xdr:col>
      <xdr:colOff>146050</xdr:colOff>
      <xdr:row>29</xdr:row>
      <xdr:rowOff>38100</xdr:rowOff>
    </xdr:to>
    <xdr:graphicFrame macro="">
      <xdr:nvGraphicFramePr>
        <xdr:cNvPr id="532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88900</xdr:colOff>
      <xdr:row>4</xdr:row>
      <xdr:rowOff>171450</xdr:rowOff>
    </xdr:from>
    <xdr:to>
      <xdr:col>10</xdr:col>
      <xdr:colOff>546100</xdr:colOff>
      <xdr:row>23</xdr:row>
      <xdr:rowOff>25400</xdr:rowOff>
    </xdr:to>
    <xdr:graphicFrame macro="">
      <xdr:nvGraphicFramePr>
        <xdr:cNvPr id="542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393700</xdr:colOff>
      <xdr:row>5</xdr:row>
      <xdr:rowOff>152400</xdr:rowOff>
    </xdr:from>
    <xdr:to>
      <xdr:col>10</xdr:col>
      <xdr:colOff>476250</xdr:colOff>
      <xdr:row>23</xdr:row>
      <xdr:rowOff>57150</xdr:rowOff>
    </xdr:to>
    <xdr:graphicFrame macro="">
      <xdr:nvGraphicFramePr>
        <xdr:cNvPr id="552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10</xdr:row>
      <xdr:rowOff>95250</xdr:rowOff>
    </xdr:from>
    <xdr:to>
      <xdr:col>11</xdr:col>
      <xdr:colOff>107950</xdr:colOff>
      <xdr:row>28</xdr:row>
      <xdr:rowOff>44450</xdr:rowOff>
    </xdr:to>
    <xdr:graphicFrame macro="">
      <xdr:nvGraphicFramePr>
        <xdr:cNvPr id="563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692150</xdr:colOff>
      <xdr:row>9</xdr:row>
      <xdr:rowOff>152400</xdr:rowOff>
    </xdr:from>
    <xdr:to>
      <xdr:col>10</xdr:col>
      <xdr:colOff>57150</xdr:colOff>
      <xdr:row>23</xdr:row>
      <xdr:rowOff>139700</xdr:rowOff>
    </xdr:to>
    <xdr:graphicFrame macro="">
      <xdr:nvGraphicFramePr>
        <xdr:cNvPr id="573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7</xdr:row>
      <xdr:rowOff>139700</xdr:rowOff>
    </xdr:from>
    <xdr:to>
      <xdr:col>11</xdr:col>
      <xdr:colOff>12700</xdr:colOff>
      <xdr:row>25</xdr:row>
      <xdr:rowOff>44450</xdr:rowOff>
    </xdr:to>
    <xdr:graphicFrame macro="">
      <xdr:nvGraphicFramePr>
        <xdr:cNvPr id="583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514350</xdr:colOff>
      <xdr:row>5</xdr:row>
      <xdr:rowOff>50800</xdr:rowOff>
    </xdr:from>
    <xdr:to>
      <xdr:col>11</xdr:col>
      <xdr:colOff>533400</xdr:colOff>
      <xdr:row>20</xdr:row>
      <xdr:rowOff>139700</xdr:rowOff>
    </xdr:to>
    <xdr:graphicFrame macro="">
      <xdr:nvGraphicFramePr>
        <xdr:cNvPr id="593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12700</xdr:rowOff>
    </xdr:from>
    <xdr:to>
      <xdr:col>14</xdr:col>
      <xdr:colOff>590550</xdr:colOff>
      <xdr:row>15</xdr:row>
      <xdr:rowOff>196850</xdr:rowOff>
    </xdr:to>
    <xdr:graphicFrame macro="">
      <xdr:nvGraphicFramePr>
        <xdr:cNvPr id="6041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0.18265</cdr:x>
      <cdr:y>0.25744</cdr:y>
    </cdr:from>
    <cdr:to>
      <cdr:x>0.49738</cdr:x>
      <cdr:y>0.25744</cdr:y>
    </cdr:to>
    <cdr:sp macro="" textlink="">
      <cdr:nvSpPr>
        <cdr:cNvPr id="190465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664564" y="836973"/>
          <a:ext cx="1145161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 type="triangle" w="med" len="med"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</cdr:sp>
  </cdr:relSizeAnchor>
  <cdr:relSizeAnchor xmlns:cdr="http://schemas.openxmlformats.org/drawingml/2006/chartDrawing">
    <cdr:from>
      <cdr:x>0.16694</cdr:x>
      <cdr:y>0.71972</cdr:y>
    </cdr:from>
    <cdr:to>
      <cdr:x>0.30984</cdr:x>
      <cdr:y>0.71972</cdr:y>
    </cdr:to>
    <cdr:sp macro="" textlink="">
      <cdr:nvSpPr>
        <cdr:cNvPr id="190466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607414" y="2339941"/>
          <a:ext cx="519948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 type="triangle" w="med" len="med"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</cdr:sp>
  </cdr:relSizeAnchor>
  <cdr:relSizeAnchor xmlns:cdr="http://schemas.openxmlformats.org/drawingml/2006/chartDrawing">
    <cdr:from>
      <cdr:x>0.49563</cdr:x>
      <cdr:y>0.25353</cdr:y>
    </cdr:from>
    <cdr:to>
      <cdr:x>0.49563</cdr:x>
      <cdr:y>0.8043</cdr:y>
    </cdr:to>
    <cdr:sp macro="" textlink="">
      <cdr:nvSpPr>
        <cdr:cNvPr id="190467" name="Line 3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1803375" y="824273"/>
          <a:ext cx="0" cy="1790663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 type="triangle" w="med" len="med"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</cdr:sp>
  </cdr:relSizeAnchor>
  <cdr:relSizeAnchor xmlns:cdr="http://schemas.openxmlformats.org/drawingml/2006/chartDrawing">
    <cdr:from>
      <cdr:x>0.30635</cdr:x>
      <cdr:y>0.72167</cdr:y>
    </cdr:from>
    <cdr:to>
      <cdr:x>0.30635</cdr:x>
      <cdr:y>0.82969</cdr:y>
    </cdr:to>
    <cdr:sp macro="" textlink="">
      <cdr:nvSpPr>
        <cdr:cNvPr id="190468" name="Line 4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1114662" y="2346291"/>
          <a:ext cx="0" cy="351195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 type="triangle" w="med" len="med"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</cdr:sp>
  </cdr:relSizeAnchor>
  <cdr:relSizeAnchor xmlns:cdr="http://schemas.openxmlformats.org/drawingml/2006/chartDrawing">
    <cdr:from>
      <cdr:x>0.3238</cdr:x>
      <cdr:y>0.671</cdr:y>
    </cdr:from>
    <cdr:to>
      <cdr:x>0.49563</cdr:x>
      <cdr:y>0.74608</cdr:y>
    </cdr:to>
    <cdr:sp macro="" textlink="">
      <cdr:nvSpPr>
        <cdr:cNvPr id="19046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80227" y="2185800"/>
          <a:ext cx="626278" cy="244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32004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ZA" sz="105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(</a:t>
          </a:r>
          <a:r>
            <a:rPr lang="en-ZA" sz="105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V</a:t>
          </a:r>
          <a:r>
            <a:rPr lang="en-ZA" sz="105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D</a:t>
          </a:r>
          <a:r>
            <a:rPr lang="en-ZA" sz="105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, </a:t>
          </a:r>
          <a:r>
            <a:rPr lang="en-ZA" sz="105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</a:t>
          </a:r>
          <a:r>
            <a:rPr lang="en-ZA" sz="105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D</a:t>
          </a:r>
          <a:r>
            <a:rPr lang="en-ZA" sz="105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</a:t>
          </a:r>
          <a:endParaRPr lang="en-ZA"/>
        </a:p>
      </cdr:txBody>
    </cdr:sp>
  </cdr:relSizeAnchor>
  <cdr:relSizeAnchor xmlns:cdr="http://schemas.openxmlformats.org/drawingml/2006/chartDrawing">
    <cdr:from>
      <cdr:x>0.20768</cdr:x>
      <cdr:y>0.33264</cdr:y>
    </cdr:from>
    <cdr:to>
      <cdr:x>0.7807</cdr:x>
      <cdr:y>0.44357</cdr:y>
    </cdr:to>
    <cdr:sp macro="" textlink="">
      <cdr:nvSpPr>
        <cdr:cNvPr id="190470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55651" y="1081479"/>
          <a:ext cx="2084966" cy="36065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32004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ZA" sz="105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V</a:t>
          </a:r>
          <a:r>
            <a:rPr lang="en-ZA" sz="105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L</a:t>
          </a:r>
          <a:r>
            <a:rPr lang="en-ZA" sz="105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              </a:t>
          </a:r>
          <a:r>
            <a:rPr lang="en-ZA" sz="105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V</a:t>
          </a:r>
          <a:r>
            <a:rPr lang="en-ZA" sz="105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i</a:t>
          </a:r>
          <a:r>
            <a:rPr lang="en-ZA" sz="105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               </a:t>
          </a:r>
          <a:r>
            <a:rPr lang="en-ZA" sz="105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V</a:t>
          </a:r>
          <a:r>
            <a:rPr lang="en-ZA" sz="105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v</a:t>
          </a:r>
          <a:endParaRPr lang="en-ZA"/>
        </a:p>
      </cdr:txBody>
    </cdr:sp>
  </cdr:relSizeAnchor>
  <cdr:relSizeAnchor xmlns:cdr="http://schemas.openxmlformats.org/drawingml/2006/chartDrawing">
    <cdr:from>
      <cdr:x>0.1809</cdr:x>
      <cdr:y>0.31907</cdr:y>
    </cdr:from>
    <cdr:to>
      <cdr:x>0.62905</cdr:x>
      <cdr:y>0.31907</cdr:y>
    </cdr:to>
    <cdr:sp macro="" textlink="">
      <cdr:nvSpPr>
        <cdr:cNvPr id="190472" name="Line 8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659362" y="1039401"/>
          <a:ext cx="1633461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</cdr:sp>
  </cdr:relSizeAnchor>
  <cdr:relSizeAnchor xmlns:cdr="http://schemas.openxmlformats.org/drawingml/2006/chartDrawing">
    <cdr:from>
      <cdr:x>0.18625</cdr:x>
      <cdr:y>0.26119</cdr:y>
    </cdr:from>
    <cdr:to>
      <cdr:x>0.32453</cdr:x>
      <cdr:y>0.35662</cdr:y>
    </cdr:to>
    <cdr:sp macro="" textlink="">
      <cdr:nvSpPr>
        <cdr:cNvPr id="190473" name="Text Box 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78850" y="850833"/>
          <a:ext cx="504034" cy="3108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32004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ZA" sz="105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</a:t>
          </a:r>
          <a:r>
            <a:rPr lang="en-ZA" sz="1050" b="0" i="0" u="none" strike="noStrike" baseline="30000">
              <a:solidFill>
                <a:srgbClr val="000000"/>
              </a:solidFill>
              <a:latin typeface="Times New Roman"/>
              <a:cs typeface="Times New Roman"/>
            </a:rPr>
            <a:t>vap</a:t>
          </a:r>
          <a:endParaRPr lang="en-ZA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184150</xdr:colOff>
      <xdr:row>17</xdr:row>
      <xdr:rowOff>31750</xdr:rowOff>
    </xdr:from>
    <xdr:to>
      <xdr:col>10</xdr:col>
      <xdr:colOff>533400</xdr:colOff>
      <xdr:row>33</xdr:row>
      <xdr:rowOff>177800</xdr:rowOff>
    </xdr:to>
    <xdr:graphicFrame macro="">
      <xdr:nvGraphicFramePr>
        <xdr:cNvPr id="614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5</xdr:row>
      <xdr:rowOff>0</xdr:rowOff>
    </xdr:from>
    <xdr:to>
      <xdr:col>10</xdr:col>
      <xdr:colOff>114300</xdr:colOff>
      <xdr:row>18</xdr:row>
      <xdr:rowOff>31750</xdr:rowOff>
    </xdr:to>
    <xdr:graphicFrame macro="">
      <xdr:nvGraphicFramePr>
        <xdr:cNvPr id="6246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8</xdr:row>
      <xdr:rowOff>0</xdr:rowOff>
    </xdr:from>
    <xdr:to>
      <xdr:col>10</xdr:col>
      <xdr:colOff>495300</xdr:colOff>
      <xdr:row>22</xdr:row>
      <xdr:rowOff>190500</xdr:rowOff>
    </xdr:to>
    <xdr:graphicFrame macro="">
      <xdr:nvGraphicFramePr>
        <xdr:cNvPr id="6348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374650</xdr:colOff>
      <xdr:row>3</xdr:row>
      <xdr:rowOff>120650</xdr:rowOff>
    </xdr:from>
    <xdr:to>
      <xdr:col>16</xdr:col>
      <xdr:colOff>374650</xdr:colOff>
      <xdr:row>25</xdr:row>
      <xdr:rowOff>82550</xdr:rowOff>
    </xdr:to>
    <xdr:graphicFrame macro="">
      <xdr:nvGraphicFramePr>
        <xdr:cNvPr id="6451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374650</xdr:colOff>
      <xdr:row>2</xdr:row>
      <xdr:rowOff>6350</xdr:rowOff>
    </xdr:from>
    <xdr:to>
      <xdr:col>10</xdr:col>
      <xdr:colOff>488950</xdr:colOff>
      <xdr:row>22</xdr:row>
      <xdr:rowOff>63500</xdr:rowOff>
    </xdr:to>
    <xdr:graphicFrame macro="">
      <xdr:nvGraphicFramePr>
        <xdr:cNvPr id="6553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49</xdr:row>
      <xdr:rowOff>139700</xdr:rowOff>
    </xdr:from>
    <xdr:to>
      <xdr:col>14</xdr:col>
      <xdr:colOff>0</xdr:colOff>
      <xdr:row>69</xdr:row>
      <xdr:rowOff>95250</xdr:rowOff>
    </xdr:to>
    <xdr:graphicFrame macro="">
      <xdr:nvGraphicFramePr>
        <xdr:cNvPr id="665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50800</xdr:colOff>
      <xdr:row>0</xdr:row>
      <xdr:rowOff>107950</xdr:rowOff>
    </xdr:from>
    <xdr:to>
      <xdr:col>24</xdr:col>
      <xdr:colOff>463550</xdr:colOff>
      <xdr:row>18</xdr:row>
      <xdr:rowOff>38100</xdr:rowOff>
    </xdr:to>
    <xdr:graphicFrame macro="">
      <xdr:nvGraphicFramePr>
        <xdr:cNvPr id="6656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165100</xdr:colOff>
      <xdr:row>0</xdr:row>
      <xdr:rowOff>101600</xdr:rowOff>
    </xdr:from>
    <xdr:to>
      <xdr:col>30</xdr:col>
      <xdr:colOff>406400</xdr:colOff>
      <xdr:row>19</xdr:row>
      <xdr:rowOff>63500</xdr:rowOff>
    </xdr:to>
    <xdr:graphicFrame macro="">
      <xdr:nvGraphicFramePr>
        <xdr:cNvPr id="6656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463550</xdr:colOff>
      <xdr:row>0</xdr:row>
      <xdr:rowOff>0</xdr:rowOff>
    </xdr:from>
    <xdr:to>
      <xdr:col>18</xdr:col>
      <xdr:colOff>450850</xdr:colOff>
      <xdr:row>19</xdr:row>
      <xdr:rowOff>133350</xdr:rowOff>
    </xdr:to>
    <xdr:graphicFrame macro="">
      <xdr:nvGraphicFramePr>
        <xdr:cNvPr id="6656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0.68685</cdr:x>
      <cdr:y>0.49395</cdr:y>
    </cdr:from>
    <cdr:to>
      <cdr:x>0.82953</cdr:x>
      <cdr:y>0.59411</cdr:y>
    </cdr:to>
    <cdr:sp macro="" textlink="">
      <cdr:nvSpPr>
        <cdr:cNvPr id="6758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5936" y="1552615"/>
          <a:ext cx="105093" cy="314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288" tIns="18288" rIns="18288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ZA" sz="250" b="0" i="0" u="none" strike="noStrike" baseline="0">
              <a:solidFill>
                <a:srgbClr val="000000"/>
              </a:solidFill>
              <a:latin typeface="Arial"/>
              <a:cs typeface="Arial"/>
            </a:rPr>
            <a:t>Acetone</a:t>
          </a:r>
          <a:endParaRPr lang="en-ZA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0.52139</cdr:x>
      <cdr:y>0.2088</cdr:y>
    </cdr:from>
    <cdr:to>
      <cdr:x>0.7394</cdr:x>
      <cdr:y>0.2955</cdr:y>
    </cdr:to>
    <cdr:sp macro="" textlink="">
      <cdr:nvSpPr>
        <cdr:cNvPr id="15462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03717" y="743815"/>
          <a:ext cx="796009" cy="3088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32004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ZA" sz="115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benzene</a:t>
          </a:r>
          <a:endParaRPr lang="en-ZA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88900</xdr:colOff>
      <xdr:row>0</xdr:row>
      <xdr:rowOff>82550</xdr:rowOff>
    </xdr:from>
    <xdr:to>
      <xdr:col>18</xdr:col>
      <xdr:colOff>596900</xdr:colOff>
      <xdr:row>14</xdr:row>
      <xdr:rowOff>88900</xdr:rowOff>
    </xdr:to>
    <xdr:graphicFrame macro="">
      <xdr:nvGraphicFramePr>
        <xdr:cNvPr id="706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152400</xdr:colOff>
      <xdr:row>0</xdr:row>
      <xdr:rowOff>0</xdr:rowOff>
    </xdr:from>
    <xdr:to>
      <xdr:col>13</xdr:col>
      <xdr:colOff>215900</xdr:colOff>
      <xdr:row>13</xdr:row>
      <xdr:rowOff>69850</xdr:rowOff>
    </xdr:to>
    <xdr:graphicFrame macro="">
      <xdr:nvGraphicFramePr>
        <xdr:cNvPr id="7065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0.51644</cdr:x>
      <cdr:y>0.10365</cdr:y>
    </cdr:from>
    <cdr:to>
      <cdr:x>0.8843</cdr:x>
      <cdr:y>0.18658</cdr:y>
    </cdr:to>
    <cdr:sp macro="" textlink="">
      <cdr:nvSpPr>
        <cdr:cNvPr id="716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80655" y="295510"/>
          <a:ext cx="1125937" cy="2364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32004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ZA" sz="11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acetone</a:t>
          </a:r>
          <a:endParaRPr lang="en-ZA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0.25859</cdr:x>
      <cdr:y>0.09507</cdr:y>
    </cdr:from>
    <cdr:to>
      <cdr:x>0.65194</cdr:x>
      <cdr:y>0.20076</cdr:y>
    </cdr:to>
    <cdr:sp macro="" textlink="">
      <cdr:nvSpPr>
        <cdr:cNvPr id="7270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43844" y="260807"/>
          <a:ext cx="1131486" cy="28991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32004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ZA" sz="1075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acetone</a:t>
          </a:r>
          <a:endParaRPr lang="en-ZA"/>
        </a:p>
      </cdr:txBody>
    </cdr:sp>
  </cdr:relSizeAnchor>
</c:userShapes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</xdr:colOff>
      <xdr:row>0</xdr:row>
      <xdr:rowOff>0</xdr:rowOff>
    </xdr:from>
    <xdr:to>
      <xdr:col>8</xdr:col>
      <xdr:colOff>222250</xdr:colOff>
      <xdr:row>17</xdr:row>
      <xdr:rowOff>6350</xdr:rowOff>
    </xdr:to>
    <xdr:graphicFrame macro="">
      <xdr:nvGraphicFramePr>
        <xdr:cNvPr id="7372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0.62208</cdr:x>
      <cdr:y>0.6471</cdr:y>
    </cdr:from>
    <cdr:to>
      <cdr:x>0.8534</cdr:x>
      <cdr:y>0.73599</cdr:y>
    </cdr:to>
    <cdr:sp macro="" textlink="">
      <cdr:nvSpPr>
        <cdr:cNvPr id="7475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0400" y="1943597"/>
          <a:ext cx="754999" cy="26697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0" tIns="36576" rIns="45720" bIns="0" anchor="t" upright="1"/>
        <a:lstStyle xmlns:a="http://schemas.openxmlformats.org/drawingml/2006/main"/>
        <a:p xmlns:a="http://schemas.openxmlformats.org/drawingml/2006/main">
          <a:pPr algn="r" rtl="0">
            <a:defRPr sz="1000"/>
          </a:pPr>
          <a:r>
            <a:rPr lang="en-ZA" sz="1175" b="0" i="0" u="none" strike="noStrike" baseline="0">
              <a:solidFill>
                <a:srgbClr val="000000"/>
              </a:solidFill>
              <a:latin typeface="Arial"/>
              <a:cs typeface="Arial"/>
            </a:rPr>
            <a:t>Benzene</a:t>
          </a:r>
          <a:endParaRPr lang="en-ZA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508000</xdr:colOff>
      <xdr:row>2</xdr:row>
      <xdr:rowOff>44450</xdr:rowOff>
    </xdr:from>
    <xdr:to>
      <xdr:col>19</xdr:col>
      <xdr:colOff>514350</xdr:colOff>
      <xdr:row>22</xdr:row>
      <xdr:rowOff>114300</xdr:rowOff>
    </xdr:to>
    <xdr:graphicFrame macro="">
      <xdr:nvGraphicFramePr>
        <xdr:cNvPr id="7577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0.33422</cdr:x>
      <cdr:y>0.25991</cdr:y>
    </cdr:from>
    <cdr:to>
      <cdr:x>0.57535</cdr:x>
      <cdr:y>0.34115</cdr:y>
    </cdr:to>
    <cdr:sp macro="" textlink="">
      <cdr:nvSpPr>
        <cdr:cNvPr id="768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26687" y="978695"/>
          <a:ext cx="885037" cy="3059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36576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ZA" sz="115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Benzene</a:t>
          </a:r>
          <a:endParaRPr lang="en-ZA"/>
        </a:p>
      </cdr:txBody>
    </cdr:sp>
  </cdr:relSizeAnchor>
</c:userShapes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2</xdr:row>
          <xdr:rowOff>19050</xdr:rowOff>
        </xdr:from>
        <xdr:to>
          <xdr:col>7</xdr:col>
          <xdr:colOff>371475</xdr:colOff>
          <xdr:row>3</xdr:row>
          <xdr:rowOff>171450</xdr:rowOff>
        </xdr:to>
        <xdr:sp macro="" textlink="">
          <xdr:nvSpPr>
            <xdr:cNvPr id="80897" name="Object 1" hidden="1">
              <a:extLst>
                <a:ext uri="{63B3BB69-23CF-44E3-9099-C40C66FF867C}">
                  <a14:compatExt spid="_x0000_s80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469900</xdr:colOff>
      <xdr:row>1</xdr:row>
      <xdr:rowOff>57150</xdr:rowOff>
    </xdr:from>
    <xdr:to>
      <xdr:col>14</xdr:col>
      <xdr:colOff>76200</xdr:colOff>
      <xdr:row>18</xdr:row>
      <xdr:rowOff>158750</xdr:rowOff>
    </xdr:to>
    <xdr:graphicFrame macro="">
      <xdr:nvGraphicFramePr>
        <xdr:cNvPr id="8089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355600</xdr:colOff>
      <xdr:row>20</xdr:row>
      <xdr:rowOff>25400</xdr:rowOff>
    </xdr:from>
    <xdr:to>
      <xdr:col>13</xdr:col>
      <xdr:colOff>584200</xdr:colOff>
      <xdr:row>39</xdr:row>
      <xdr:rowOff>82550</xdr:rowOff>
    </xdr:to>
    <xdr:graphicFrame macro="">
      <xdr:nvGraphicFramePr>
        <xdr:cNvPr id="8089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</xdr:row>
      <xdr:rowOff>133350</xdr:rowOff>
    </xdr:from>
    <xdr:to>
      <xdr:col>8</xdr:col>
      <xdr:colOff>50800</xdr:colOff>
      <xdr:row>20</xdr:row>
      <xdr:rowOff>139700</xdr:rowOff>
    </xdr:to>
    <xdr:graphicFrame macro="">
      <xdr:nvGraphicFramePr>
        <xdr:cNvPr id="819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0.82808</cdr:x>
      <cdr:y>0.34778</cdr:y>
    </cdr:from>
    <cdr:to>
      <cdr:x>0.9231</cdr:x>
      <cdr:y>0.43331</cdr:y>
    </cdr:to>
    <cdr:sp macro="" textlink="">
      <cdr:nvSpPr>
        <cdr:cNvPr id="829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12996" y="1053417"/>
          <a:ext cx="345736" cy="2590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45720" tIns="4114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ZA" sz="14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</a:t>
          </a:r>
          <a:r>
            <a:rPr lang="en-ZA" sz="14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R</a:t>
          </a:r>
          <a:endParaRPr lang="en-ZA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8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2.wmf"/><Relationship Id="rId4" Type="http://schemas.openxmlformats.org/officeDocument/2006/relationships/oleObject" Target="../embeddings/oleObject2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3:D27"/>
  <sheetViews>
    <sheetView workbookViewId="0">
      <selection activeCell="H4" sqref="H4"/>
    </sheetView>
  </sheetViews>
  <sheetFormatPr defaultRowHeight="15.75" x14ac:dyDescent="0.25"/>
  <sheetData>
    <row r="3" spans="1:3" x14ac:dyDescent="0.25">
      <c r="B3" t="s">
        <v>171</v>
      </c>
    </row>
    <row r="6" spans="1:3" x14ac:dyDescent="0.25">
      <c r="B6" t="s">
        <v>172</v>
      </c>
    </row>
    <row r="7" spans="1:3" x14ac:dyDescent="0.25">
      <c r="A7">
        <v>1</v>
      </c>
      <c r="B7" t="s">
        <v>173</v>
      </c>
    </row>
    <row r="8" spans="1:3" x14ac:dyDescent="0.25">
      <c r="A8">
        <v>2</v>
      </c>
      <c r="B8" t="s">
        <v>174</v>
      </c>
    </row>
    <row r="9" spans="1:3" ht="18.75" x14ac:dyDescent="0.25">
      <c r="C9" s="270" t="s">
        <v>175</v>
      </c>
    </row>
    <row r="10" spans="1:3" x14ac:dyDescent="0.25">
      <c r="A10">
        <v>3</v>
      </c>
      <c r="B10" t="s">
        <v>176</v>
      </c>
    </row>
    <row r="11" spans="1:3" x14ac:dyDescent="0.25">
      <c r="A11">
        <v>4</v>
      </c>
      <c r="B11" t="s">
        <v>177</v>
      </c>
    </row>
    <row r="12" spans="1:3" x14ac:dyDescent="0.25">
      <c r="A12">
        <v>5</v>
      </c>
      <c r="B12" t="s">
        <v>178</v>
      </c>
    </row>
    <row r="13" spans="1:3" x14ac:dyDescent="0.25">
      <c r="A13">
        <v>6</v>
      </c>
      <c r="B13" t="s">
        <v>179</v>
      </c>
    </row>
    <row r="14" spans="1:3" x14ac:dyDescent="0.25">
      <c r="A14">
        <v>7</v>
      </c>
      <c r="B14" t="s">
        <v>180</v>
      </c>
    </row>
    <row r="15" spans="1:3" x14ac:dyDescent="0.25">
      <c r="A15">
        <v>8</v>
      </c>
      <c r="B15" t="s">
        <v>181</v>
      </c>
    </row>
    <row r="16" spans="1:3" x14ac:dyDescent="0.25">
      <c r="A16">
        <v>9</v>
      </c>
      <c r="B16" t="s">
        <v>182</v>
      </c>
    </row>
    <row r="17" spans="1:4" x14ac:dyDescent="0.25">
      <c r="D17" t="s">
        <v>183</v>
      </c>
    </row>
    <row r="18" spans="1:4" x14ac:dyDescent="0.25">
      <c r="D18" t="s">
        <v>184</v>
      </c>
    </row>
    <row r="19" spans="1:4" x14ac:dyDescent="0.25">
      <c r="C19" t="s">
        <v>185</v>
      </c>
    </row>
    <row r="20" spans="1:4" x14ac:dyDescent="0.25">
      <c r="C20" t="s">
        <v>186</v>
      </c>
    </row>
    <row r="21" spans="1:4" x14ac:dyDescent="0.25">
      <c r="A21">
        <v>10</v>
      </c>
      <c r="B21" t="s">
        <v>187</v>
      </c>
    </row>
    <row r="22" spans="1:4" x14ac:dyDescent="0.25">
      <c r="A22">
        <v>11</v>
      </c>
      <c r="B22" t="s">
        <v>188</v>
      </c>
    </row>
    <row r="23" spans="1:4" x14ac:dyDescent="0.25">
      <c r="C23" t="s">
        <v>189</v>
      </c>
    </row>
    <row r="24" spans="1:4" x14ac:dyDescent="0.25">
      <c r="A24">
        <v>14</v>
      </c>
      <c r="B24" t="s">
        <v>190</v>
      </c>
    </row>
    <row r="25" spans="1:4" x14ac:dyDescent="0.25">
      <c r="C25" t="s">
        <v>191</v>
      </c>
    </row>
    <row r="26" spans="1:4" x14ac:dyDescent="0.25">
      <c r="C26" t="s">
        <v>192</v>
      </c>
    </row>
    <row r="27" spans="1:4" x14ac:dyDescent="0.25">
      <c r="C27" t="s">
        <v>193</v>
      </c>
    </row>
  </sheetData>
  <phoneticPr fontId="43" type="noConversion"/>
  <pageMargins left="0.75" right="0.75" top="1" bottom="1" header="0.5" footer="0.5"/>
  <headerFooter alignWithMargins="0"/>
  <drawing r:id="rId1"/>
  <legacyDrawing r:id="rId2"/>
  <oleObjects>
    <mc:AlternateContent xmlns:mc="http://schemas.openxmlformats.org/markup-compatibility/2006">
      <mc:Choice Requires="x14">
        <oleObject progId="Equation.DSMT4" shapeId="189441" r:id="rId3">
          <objectPr defaultSize="0" autoPict="0" r:id="rId4">
            <anchor moveWithCells="1" sizeWithCells="1">
              <from>
                <xdr:col>8</xdr:col>
                <xdr:colOff>0</xdr:colOff>
                <xdr:row>2</xdr:row>
                <xdr:rowOff>0</xdr:rowOff>
              </from>
              <to>
                <xdr:col>11</xdr:col>
                <xdr:colOff>66675</xdr:colOff>
                <xdr:row>4</xdr:row>
                <xdr:rowOff>28575</xdr:rowOff>
              </to>
            </anchor>
          </objectPr>
        </oleObject>
      </mc:Choice>
      <mc:Fallback>
        <oleObject progId="Equation.DSMT4" shapeId="189441" r:id="rId3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Q101"/>
  <sheetViews>
    <sheetView zoomScale="75" workbookViewId="0">
      <selection activeCell="J39" sqref="J39"/>
    </sheetView>
  </sheetViews>
  <sheetFormatPr defaultColWidth="8" defaultRowHeight="12.75" x14ac:dyDescent="0.2"/>
  <cols>
    <col min="1" max="1" width="8" style="112" customWidth="1"/>
    <col min="2" max="2" width="10.5" style="112" bestFit="1" customWidth="1"/>
    <col min="3" max="3" width="8" style="112" customWidth="1"/>
    <col min="4" max="4" width="12.125" style="112" customWidth="1"/>
    <col min="5" max="5" width="12.25" style="112" customWidth="1"/>
    <col min="6" max="6" width="12" style="112" customWidth="1"/>
    <col min="7" max="16384" width="8" style="112"/>
  </cols>
  <sheetData>
    <row r="1" spans="1:17" ht="18" x14ac:dyDescent="0.25">
      <c r="A1" s="252" t="s">
        <v>194</v>
      </c>
      <c r="B1"/>
      <c r="C1"/>
      <c r="D1"/>
      <c r="E1" t="s">
        <v>0</v>
      </c>
      <c r="F1" s="253">
        <v>3</v>
      </c>
      <c r="H1" s="113" t="s">
        <v>1</v>
      </c>
      <c r="I1" s="114">
        <f>F8</f>
        <v>353.24</v>
      </c>
      <c r="J1" s="112" t="s">
        <v>2</v>
      </c>
    </row>
    <row r="2" spans="1:17" ht="21.75" x14ac:dyDescent="0.4">
      <c r="A2" s="217" t="s">
        <v>159</v>
      </c>
      <c r="B2" s="267">
        <v>78.114000000000004</v>
      </c>
      <c r="C2" t="s">
        <v>3</v>
      </c>
      <c r="D2"/>
      <c r="E2" s="217" t="s">
        <v>4</v>
      </c>
      <c r="F2" s="271">
        <v>-7.0143300000000002</v>
      </c>
      <c r="H2" s="113" t="s">
        <v>16</v>
      </c>
      <c r="I2" s="112">
        <f>1-I1/B3</f>
        <v>0.3716379678383378</v>
      </c>
      <c r="M2" s="116" t="s">
        <v>98</v>
      </c>
    </row>
    <row r="3" spans="1:17" ht="16.5" x14ac:dyDescent="0.3">
      <c r="A3" s="217" t="s">
        <v>160</v>
      </c>
      <c r="B3" s="267">
        <v>562.16</v>
      </c>
      <c r="C3" t="s">
        <v>2</v>
      </c>
      <c r="D3"/>
      <c r="E3" s="217" t="s">
        <v>5</v>
      </c>
      <c r="F3" s="272">
        <v>1.5525599999999999</v>
      </c>
      <c r="H3" s="113" t="s">
        <v>6</v>
      </c>
      <c r="I3" s="144">
        <f>(B4*EXP((F2*I2+F3*I2^1.5+F4*I2^2.5+F5*I2^5)/(1-I2)))</f>
        <v>1.0132294808711386</v>
      </c>
      <c r="J3" s="112" t="s">
        <v>7</v>
      </c>
      <c r="M3" s="115"/>
      <c r="O3" s="117" t="s">
        <v>126</v>
      </c>
      <c r="P3" s="118">
        <f>LN(B13/B12)/I2</f>
        <v>0.84777518774940741</v>
      </c>
    </row>
    <row r="4" spans="1:17" ht="16.5" x14ac:dyDescent="0.3">
      <c r="A4" s="217" t="s">
        <v>161</v>
      </c>
      <c r="B4" s="267">
        <v>48.98</v>
      </c>
      <c r="C4" t="s">
        <v>7</v>
      </c>
      <c r="D4"/>
      <c r="E4" s="217" t="s">
        <v>8</v>
      </c>
      <c r="F4" s="271">
        <v>-1.8479000000000001</v>
      </c>
      <c r="H4" s="113" t="s">
        <v>6</v>
      </c>
      <c r="I4" s="144">
        <f>I3*100</f>
        <v>101.32294808711386</v>
      </c>
      <c r="J4" s="112" t="s">
        <v>9</v>
      </c>
      <c r="M4" s="115"/>
      <c r="N4" s="119" t="s">
        <v>122</v>
      </c>
      <c r="O4" s="119"/>
    </row>
    <row r="5" spans="1:17" ht="16.5" x14ac:dyDescent="0.3">
      <c r="A5" s="217" t="s">
        <v>161</v>
      </c>
      <c r="B5" s="267">
        <f>B4*100</f>
        <v>4898</v>
      </c>
      <c r="C5" t="s">
        <v>9</v>
      </c>
      <c r="D5"/>
      <c r="E5" s="217" t="s">
        <v>10</v>
      </c>
      <c r="F5" s="271">
        <v>-3.7130000000000001</v>
      </c>
      <c r="H5" s="115"/>
      <c r="M5" s="115"/>
      <c r="N5" s="120" t="s">
        <v>110</v>
      </c>
      <c r="O5" s="120" t="s">
        <v>123</v>
      </c>
      <c r="P5" s="121" t="s">
        <v>127</v>
      </c>
    </row>
    <row r="6" spans="1:17" ht="16.5" x14ac:dyDescent="0.3">
      <c r="A6" s="217" t="s">
        <v>162</v>
      </c>
      <c r="B6" s="267">
        <v>256</v>
      </c>
      <c r="C6" t="s">
        <v>163</v>
      </c>
      <c r="D6"/>
      <c r="E6" s="217" t="s">
        <v>164</v>
      </c>
      <c r="F6" s="253">
        <v>250</v>
      </c>
      <c r="G6" s="122">
        <f>F6/B3</f>
        <v>0.44471324889711117</v>
      </c>
      <c r="H6" s="112" t="s">
        <v>22</v>
      </c>
      <c r="I6" s="112">
        <v>2.5712194055283128E-3</v>
      </c>
      <c r="K6" s="112" t="s">
        <v>124</v>
      </c>
      <c r="M6" s="112">
        <f>EXP(LN(F7/F6)/20)</f>
        <v>1.0413482621426247</v>
      </c>
      <c r="N6" s="122">
        <f>G6</f>
        <v>0.44471324889711117</v>
      </c>
      <c r="O6" s="123">
        <f t="shared" ref="O6:O25" si="0">N6*$B$3</f>
        <v>250</v>
      </c>
      <c r="P6" s="124">
        <f t="shared" ref="P6:P28" si="1">$B$12*EXP($P$3*(1-N6))</f>
        <v>3013.0473405304078</v>
      </c>
      <c r="Q6" s="112" t="s">
        <v>125</v>
      </c>
    </row>
    <row r="7" spans="1:17" ht="16.5" x14ac:dyDescent="0.3">
      <c r="A7" s="217" t="s">
        <v>162</v>
      </c>
      <c r="B7" s="267">
        <f>B6/1000</f>
        <v>0.25600000000000001</v>
      </c>
      <c r="C7" s="254" t="s">
        <v>23</v>
      </c>
      <c r="D7"/>
      <c r="E7" s="217" t="s">
        <v>165</v>
      </c>
      <c r="F7" s="253">
        <f>B3</f>
        <v>562.16</v>
      </c>
      <c r="G7" s="122">
        <f>F7/B3</f>
        <v>1</v>
      </c>
      <c r="H7" s="112" t="s">
        <v>25</v>
      </c>
      <c r="I7" s="112">
        <f>I6/I3</f>
        <v>2.5376476445569565E-3</v>
      </c>
      <c r="N7" s="122">
        <f t="shared" ref="N7:N25" si="2">N6*$M$6</f>
        <v>0.46310136889080722</v>
      </c>
      <c r="O7" s="123">
        <f t="shared" si="0"/>
        <v>260.33706553565617</v>
      </c>
      <c r="P7" s="124">
        <f t="shared" si="1"/>
        <v>2966.441185327842</v>
      </c>
      <c r="Q7" s="112" t="s">
        <v>53</v>
      </c>
    </row>
    <row r="8" spans="1:17" ht="16.5" x14ac:dyDescent="0.3">
      <c r="A8" s="217" t="s">
        <v>166</v>
      </c>
      <c r="B8" s="268">
        <v>0.26800000000000002</v>
      </c>
      <c r="C8"/>
      <c r="D8"/>
      <c r="E8" s="217" t="s">
        <v>167</v>
      </c>
      <c r="F8" s="273">
        <v>353.24</v>
      </c>
      <c r="G8" s="122">
        <f>F8/B3</f>
        <v>0.6283620321616622</v>
      </c>
      <c r="H8" s="112" t="s">
        <v>28</v>
      </c>
      <c r="N8" s="122">
        <f t="shared" si="2"/>
        <v>0.48224980569031262</v>
      </c>
      <c r="O8" s="123">
        <f t="shared" si="0"/>
        <v>271.10155076686613</v>
      </c>
      <c r="P8" s="124">
        <f t="shared" si="1"/>
        <v>2918.6740206666004</v>
      </c>
      <c r="Q8" s="112" t="s">
        <v>54</v>
      </c>
    </row>
    <row r="9" spans="1:17" ht="15.75" x14ac:dyDescent="0.25">
      <c r="A9" s="255" t="s">
        <v>168</v>
      </c>
      <c r="B9" s="267">
        <v>0.21</v>
      </c>
      <c r="C9"/>
      <c r="D9"/>
      <c r="E9" s="217"/>
      <c r="F9" s="253">
        <v>101.325</v>
      </c>
      <c r="K9" s="115"/>
      <c r="N9" s="122">
        <f t="shared" si="2"/>
        <v>0.50218999707422551</v>
      </c>
      <c r="O9" s="123">
        <f t="shared" si="0"/>
        <v>282.31112875524661</v>
      </c>
      <c r="P9" s="124">
        <f t="shared" si="1"/>
        <v>2869.7491194898312</v>
      </c>
      <c r="Q9" s="112" t="s">
        <v>55</v>
      </c>
    </row>
    <row r="10" spans="1:17" ht="22.5" x14ac:dyDescent="0.35">
      <c r="A10" s="112" t="s">
        <v>11</v>
      </c>
      <c r="B10" s="112">
        <v>8.3145100000000003</v>
      </c>
      <c r="C10" s="112" t="s">
        <v>12</v>
      </c>
      <c r="H10" s="111" t="s">
        <v>30</v>
      </c>
      <c r="N10" s="122">
        <f t="shared" si="2"/>
        <v>0.52295468071865447</v>
      </c>
      <c r="O10" s="123">
        <f t="shared" si="0"/>
        <v>293.9842033127988</v>
      </c>
      <c r="P10" s="124">
        <f t="shared" si="1"/>
        <v>2819.6727371610491</v>
      </c>
      <c r="Q10" s="112" t="s">
        <v>56</v>
      </c>
    </row>
    <row r="11" spans="1:17" x14ac:dyDescent="0.2">
      <c r="A11" s="125" t="s">
        <v>13</v>
      </c>
      <c r="B11" s="126"/>
      <c r="K11" s="127"/>
      <c r="M11" s="124"/>
      <c r="N11" s="122">
        <f t="shared" si="2"/>
        <v>0.54457794794572201</v>
      </c>
      <c r="O11" s="123">
        <f t="shared" si="0"/>
        <v>306.13993921716707</v>
      </c>
      <c r="P11" s="124">
        <f t="shared" si="1"/>
        <v>2768.4543224785134</v>
      </c>
      <c r="Q11" s="112" t="s">
        <v>57</v>
      </c>
    </row>
    <row r="12" spans="1:17" ht="18.75" x14ac:dyDescent="0.3">
      <c r="A12" s="128" t="s">
        <v>31</v>
      </c>
      <c r="B12" s="129">
        <f>27/64*(B10*B3)^2/B5</f>
        <v>1881.7339064250737</v>
      </c>
      <c r="C12" s="130"/>
      <c r="E12" s="131" t="s">
        <v>14</v>
      </c>
      <c r="H12" s="115" t="s">
        <v>32</v>
      </c>
      <c r="I12" s="145">
        <f>(2*B19)-B14-(B10*I1/I4)</f>
        <v>-29.105981730085485</v>
      </c>
      <c r="J12" s="132">
        <f>-(B18+B15+B16)</f>
        <v>-29.105981730085485</v>
      </c>
      <c r="K12" s="119"/>
      <c r="N12" s="122">
        <f t="shared" si="2"/>
        <v>0.56709529969447436</v>
      </c>
      <c r="O12" s="123">
        <f t="shared" si="0"/>
        <v>318.79829367624569</v>
      </c>
      <c r="P12" s="124">
        <f t="shared" si="1"/>
        <v>2716.1067309224436</v>
      </c>
      <c r="Q12" s="112" t="s">
        <v>58</v>
      </c>
    </row>
    <row r="13" spans="1:17" ht="18.75" x14ac:dyDescent="0.3">
      <c r="A13" s="128" t="s">
        <v>33</v>
      </c>
      <c r="B13" s="133">
        <v>2578.6321667120646</v>
      </c>
      <c r="E13" s="146">
        <f>ABS(B10*I1*LN((B16-B14)/(B15-B14))+B13*(1/(B16+B19)-1/(B15+B19))-I4*(B16-B15))</f>
        <v>1.9308067749079783E-6</v>
      </c>
      <c r="F13" s="134">
        <f>E13+E15+E16</f>
        <v>3.4689706311930024E-6</v>
      </c>
      <c r="H13" s="115" t="s">
        <v>34</v>
      </c>
      <c r="I13" s="145">
        <f>(B19^2)-(2*B19*B14)-(2*B10*I1*B19/I4)+(B13/I4)</f>
        <v>25.449636191941917</v>
      </c>
      <c r="J13" s="132">
        <f>B15*B16+B15*B18+B18*B16</f>
        <v>25.449636192047045</v>
      </c>
      <c r="K13" s="119"/>
      <c r="L13" s="132">
        <f>B13/B12</f>
        <v>1.3703489945669105</v>
      </c>
      <c r="N13" s="122">
        <f t="shared" si="2"/>
        <v>0.59054370480609175</v>
      </c>
      <c r="O13" s="123">
        <f t="shared" si="0"/>
        <v>331.9800490937925</v>
      </c>
      <c r="P13" s="124">
        <f t="shared" si="1"/>
        <v>2662.6464387112073</v>
      </c>
      <c r="Q13" s="112" t="s">
        <v>59</v>
      </c>
    </row>
    <row r="14" spans="1:17" ht="18.75" x14ac:dyDescent="0.5">
      <c r="A14" s="147" t="s">
        <v>35</v>
      </c>
      <c r="B14" s="262">
        <f>B10*B3/8/B5</f>
        <v>0.11928554873417722</v>
      </c>
      <c r="C14" s="263" t="s">
        <v>23</v>
      </c>
      <c r="H14" s="115" t="s">
        <v>36</v>
      </c>
      <c r="I14" s="145">
        <f>(-B14*(B19^2))-(B10*I1*(B19^2)/I4)-(B13*B14/I4)</f>
        <v>-3.0357738182409677</v>
      </c>
      <c r="J14" s="132">
        <f>-(B18*B15*B16)</f>
        <v>-3.0357738182574678</v>
      </c>
      <c r="K14" s="119"/>
      <c r="L14" s="132">
        <f>B15/B14</f>
        <v>1.1933176231164289</v>
      </c>
      <c r="N14" s="122">
        <f t="shared" si="2"/>
        <v>0.61496166071909075</v>
      </c>
      <c r="O14" s="123">
        <f t="shared" si="0"/>
        <v>345.70684718984404</v>
      </c>
      <c r="P14" s="124">
        <f t="shared" si="1"/>
        <v>2608.0937560381885</v>
      </c>
      <c r="Q14" s="112" t="s">
        <v>60</v>
      </c>
    </row>
    <row r="15" spans="1:17" ht="19.5" x14ac:dyDescent="0.5">
      <c r="A15" s="135" t="s">
        <v>37</v>
      </c>
      <c r="B15" s="264">
        <v>0.1423455474876073</v>
      </c>
      <c r="C15" s="263" t="s">
        <v>23</v>
      </c>
      <c r="D15" s="115" t="s">
        <v>128</v>
      </c>
      <c r="E15" s="137">
        <f>1000000*ABS(B15^3+I12*B15^2+I13*B15+I14)</f>
        <v>1.5352163984516665E-6</v>
      </c>
      <c r="K15" s="115"/>
      <c r="L15" s="136"/>
      <c r="N15" s="122">
        <f t="shared" si="2"/>
        <v>0.64038925667416757</v>
      </c>
      <c r="O15" s="123">
        <f t="shared" si="0"/>
        <v>360.00122453195002</v>
      </c>
      <c r="P15" s="124">
        <f t="shared" si="1"/>
        <v>2552.4730376455509</v>
      </c>
      <c r="Q15" s="112" t="s">
        <v>61</v>
      </c>
    </row>
    <row r="16" spans="1:17" ht="19.5" x14ac:dyDescent="0.5">
      <c r="A16" s="135" t="s">
        <v>39</v>
      </c>
      <c r="B16" s="265">
        <v>28.207569935444671</v>
      </c>
      <c r="C16" s="263" t="s">
        <v>23</v>
      </c>
      <c r="D16" s="115" t="s">
        <v>129</v>
      </c>
      <c r="E16" s="137">
        <f>ABS(B16^3+I12*B16^2+I13*B16+I14)</f>
        <v>2.9474578333577028E-9</v>
      </c>
      <c r="L16" s="138"/>
      <c r="N16" s="122">
        <f t="shared" si="2"/>
        <v>0.66686823953245156</v>
      </c>
      <c r="O16" s="123">
        <f t="shared" si="0"/>
        <v>374.88664953556292</v>
      </c>
      <c r="P16" s="124">
        <f t="shared" si="1"/>
        <v>2495.8128886660506</v>
      </c>
      <c r="Q16" s="112" t="s">
        <v>62</v>
      </c>
    </row>
    <row r="17" spans="1:17" ht="19.5" x14ac:dyDescent="0.5">
      <c r="A17" s="139" t="s">
        <v>41</v>
      </c>
      <c r="B17" s="148">
        <f>B10*I1/I4</f>
        <v>28.986696181351309</v>
      </c>
      <c r="C17" s="263" t="s">
        <v>23</v>
      </c>
      <c r="D17" s="115" t="s">
        <v>130</v>
      </c>
      <c r="E17" s="140">
        <f>1000*ABS(B18^3+I12*B18^2+I13*B18+I14)</f>
        <v>6.2988281257503331E-8</v>
      </c>
      <c r="H17" s="124"/>
      <c r="J17" s="132"/>
      <c r="L17" s="137"/>
      <c r="N17" s="122">
        <f t="shared" si="2"/>
        <v>0.69444208231522997</v>
      </c>
      <c r="O17" s="123">
        <f t="shared" si="0"/>
        <v>390.38756099432965</v>
      </c>
      <c r="P17" s="124">
        <f t="shared" si="1"/>
        <v>2438.1463634313372</v>
      </c>
      <c r="Q17" s="112" t="s">
        <v>63</v>
      </c>
    </row>
    <row r="18" spans="1:17" ht="19.5" x14ac:dyDescent="0.5">
      <c r="A18" s="135" t="s">
        <v>43</v>
      </c>
      <c r="B18" s="138">
        <f>-I12-B15-B16</f>
        <v>0.75606624715320692</v>
      </c>
      <c r="C18" s="263" t="s">
        <v>23</v>
      </c>
      <c r="H18" s="124"/>
      <c r="I18" s="115"/>
      <c r="J18" s="132"/>
      <c r="L18" s="137"/>
      <c r="N18" s="122">
        <f t="shared" si="2"/>
        <v>0.72315605557767026</v>
      </c>
      <c r="O18" s="123">
        <f t="shared" si="0"/>
        <v>406.52940820354308</v>
      </c>
      <c r="P18" s="124">
        <f t="shared" si="1"/>
        <v>2379.5111547073852</v>
      </c>
      <c r="Q18" s="112" t="s">
        <v>64</v>
      </c>
    </row>
    <row r="19" spans="1:17" x14ac:dyDescent="0.2">
      <c r="A19" s="149" t="s">
        <v>132</v>
      </c>
      <c r="B19" s="259">
        <v>0</v>
      </c>
      <c r="C19" s="258">
        <v>1.1499999999999999</v>
      </c>
      <c r="E19" s="115"/>
      <c r="G19" s="115"/>
      <c r="H19" s="124"/>
      <c r="I19" s="115"/>
      <c r="J19" s="132"/>
      <c r="L19" s="113"/>
      <c r="N19" s="122">
        <f t="shared" si="2"/>
        <v>0.75305730173372221</v>
      </c>
      <c r="O19" s="123">
        <f t="shared" si="0"/>
        <v>423.33869274262923</v>
      </c>
      <c r="P19" s="124">
        <f t="shared" si="1"/>
        <v>2319.9497705778249</v>
      </c>
      <c r="Q19" s="112" t="s">
        <v>65</v>
      </c>
    </row>
    <row r="20" spans="1:17" ht="15.75" x14ac:dyDescent="0.25">
      <c r="A20" s="256" t="s">
        <v>44</v>
      </c>
      <c r="B20" s="256" t="s">
        <v>45</v>
      </c>
      <c r="C20" s="256" t="s">
        <v>169</v>
      </c>
      <c r="E20" s="115"/>
      <c r="I20" s="115"/>
      <c r="J20" s="132"/>
      <c r="K20" s="134"/>
      <c r="N20" s="122">
        <f t="shared" si="2"/>
        <v>0.78419491245422579</v>
      </c>
      <c r="O20" s="123">
        <f t="shared" si="0"/>
        <v>440.84301198526754</v>
      </c>
      <c r="P20" s="124">
        <f t="shared" si="1"/>
        <v>2259.5096959578163</v>
      </c>
      <c r="Q20" s="112" t="s">
        <v>66</v>
      </c>
    </row>
    <row r="21" spans="1:17" ht="15.75" x14ac:dyDescent="0.25">
      <c r="A21" s="257">
        <f>B14+0.00001</f>
        <v>0.11929554873417722</v>
      </c>
      <c r="B21">
        <f>($B$10*$I$1/(A21-$B$14)-$B$13/A21^2)/100</f>
        <v>2935205.5844792384</v>
      </c>
      <c r="C21"/>
      <c r="D21" s="21"/>
      <c r="E21" s="115"/>
      <c r="N21" s="122">
        <f t="shared" si="2"/>
        <v>0.81662000926529577</v>
      </c>
      <c r="O21" s="123">
        <f t="shared" si="0"/>
        <v>459.07110440857866</v>
      </c>
      <c r="P21" s="124">
        <f t="shared" si="1"/>
        <v>2198.2435354891531</v>
      </c>
      <c r="Q21" s="112" t="s">
        <v>67</v>
      </c>
    </row>
    <row r="22" spans="1:17" ht="15.75" x14ac:dyDescent="0.25">
      <c r="A22" s="257">
        <f>A21*$C$19</f>
        <v>0.1371898810443038</v>
      </c>
      <c r="B22">
        <f t="shared" ref="B22:B85" si="3">($B$10*$I$1/(A22-$B$14)-$B$13/A22^2)/100</f>
        <v>270.31706031397187</v>
      </c>
      <c r="C22"/>
      <c r="D22" s="2"/>
      <c r="E22" s="144"/>
      <c r="N22" s="122">
        <f t="shared" si="2"/>
        <v>0.8503858274793098</v>
      </c>
      <c r="O22" s="123">
        <f t="shared" si="0"/>
        <v>478.05289677576877</v>
      </c>
      <c r="P22" s="124">
        <f t="shared" si="1"/>
        <v>2136.2091343467237</v>
      </c>
      <c r="Q22" s="112" t="s">
        <v>68</v>
      </c>
    </row>
    <row r="23" spans="1:17" ht="15.75" x14ac:dyDescent="0.25">
      <c r="A23" s="257">
        <f t="shared" ref="A23:A58" si="4">A22*$C$19</f>
        <v>0.15776836320094936</v>
      </c>
      <c r="B23">
        <f t="shared" si="3"/>
        <v>-272.77330224046864</v>
      </c>
      <c r="C23"/>
      <c r="D23" s="2"/>
      <c r="N23" s="122">
        <f t="shared" si="2"/>
        <v>0.88554780359629703</v>
      </c>
      <c r="O23" s="123">
        <f t="shared" si="0"/>
        <v>497.81955326969432</v>
      </c>
      <c r="P23" s="124">
        <f t="shared" si="1"/>
        <v>2073.4696732833054</v>
      </c>
      <c r="Q23" s="112" t="s">
        <v>69</v>
      </c>
    </row>
    <row r="24" spans="1:17" ht="15.75" x14ac:dyDescent="0.25">
      <c r="A24" s="257">
        <f t="shared" si="4"/>
        <v>0.18143361768109176</v>
      </c>
      <c r="B24">
        <f t="shared" si="3"/>
        <v>-310.76256941481472</v>
      </c>
      <c r="C24"/>
      <c r="D24" s="2"/>
      <c r="N24" s="122">
        <f t="shared" si="2"/>
        <v>0.9221636663192222</v>
      </c>
      <c r="O24" s="123">
        <f t="shared" si="0"/>
        <v>518.4035266580139</v>
      </c>
      <c r="P24" s="124">
        <f t="shared" si="1"/>
        <v>2010.0937340607759</v>
      </c>
      <c r="Q24" s="112" t="s">
        <v>70</v>
      </c>
    </row>
    <row r="25" spans="1:17" ht="15.75" x14ac:dyDescent="0.25">
      <c r="A25" s="257">
        <f t="shared" si="4"/>
        <v>0.20864866033325549</v>
      </c>
      <c r="B25">
        <f t="shared" si="3"/>
        <v>-263.66139017359092</v>
      </c>
      <c r="C25"/>
      <c r="D25" s="2"/>
      <c r="J25" s="132"/>
      <c r="K25" s="132"/>
      <c r="N25" s="122">
        <f t="shared" si="2"/>
        <v>0.96029353133259321</v>
      </c>
      <c r="O25" s="123">
        <f t="shared" si="0"/>
        <v>539.83861157393062</v>
      </c>
      <c r="P25" s="124">
        <f t="shared" si="1"/>
        <v>1946.1553312687608</v>
      </c>
      <c r="Q25" s="112" t="s">
        <v>71</v>
      </c>
    </row>
    <row r="26" spans="1:17" ht="15.75" x14ac:dyDescent="0.25">
      <c r="A26" s="257">
        <f t="shared" si="4"/>
        <v>0.23994595938324378</v>
      </c>
      <c r="B26">
        <f t="shared" si="3"/>
        <v>-204.46900973258448</v>
      </c>
      <c r="C26"/>
      <c r="J26" s="141"/>
      <c r="K26" s="132"/>
      <c r="N26" s="122">
        <f>0.9*(N27-N25)+N25</f>
        <v>0.99602935313325935</v>
      </c>
      <c r="O26" s="122">
        <f>N26*$B$3</f>
        <v>559.92786115739307</v>
      </c>
      <c r="P26" s="124">
        <f>$B$12*EXP($P$3*(1-N26))</f>
        <v>1888.0789023287093</v>
      </c>
      <c r="Q26" s="112" t="s">
        <v>72</v>
      </c>
    </row>
    <row r="27" spans="1:17" ht="15.75" x14ac:dyDescent="0.25">
      <c r="A27" s="257">
        <f t="shared" si="4"/>
        <v>0.27593785329073034</v>
      </c>
      <c r="B27">
        <f t="shared" si="3"/>
        <v>-151.17589385904338</v>
      </c>
      <c r="C27"/>
      <c r="J27" s="132"/>
      <c r="K27" s="132"/>
      <c r="N27" s="122">
        <f>N25*$M$6</f>
        <v>1</v>
      </c>
      <c r="O27" s="123">
        <f>N27*$B$3</f>
        <v>562.16</v>
      </c>
      <c r="P27" s="124">
        <f>$B$12*EXP($P$3*(1-N27))</f>
        <v>1881.7339064250737</v>
      </c>
      <c r="Q27" s="152" t="s">
        <v>94</v>
      </c>
    </row>
    <row r="28" spans="1:17" ht="15.75" x14ac:dyDescent="0.25">
      <c r="A28" s="257">
        <f t="shared" si="4"/>
        <v>0.31732853128433985</v>
      </c>
      <c r="B28">
        <f t="shared" si="3"/>
        <v>-107.77531770715548</v>
      </c>
      <c r="C28"/>
      <c r="D28" s="210" t="s">
        <v>143</v>
      </c>
      <c r="E28" s="211"/>
      <c r="F28" s="212"/>
      <c r="J28" s="132"/>
      <c r="K28" s="132"/>
      <c r="N28" s="122">
        <f>887/O27</f>
        <v>1.5778426070869505</v>
      </c>
      <c r="O28" s="122">
        <v>887</v>
      </c>
      <c r="P28" s="124">
        <f t="shared" si="1"/>
        <v>1152.9374819362224</v>
      </c>
      <c r="Q28" s="152" t="s">
        <v>149</v>
      </c>
    </row>
    <row r="29" spans="1:17" ht="15.75" x14ac:dyDescent="0.25">
      <c r="A29" s="257">
        <f t="shared" si="4"/>
        <v>0.36492781097699079</v>
      </c>
      <c r="B29">
        <f t="shared" si="3"/>
        <v>-74.06643098809846</v>
      </c>
      <c r="C29"/>
      <c r="D29" s="207" t="s">
        <v>133</v>
      </c>
      <c r="E29" s="208" t="s">
        <v>134</v>
      </c>
      <c r="F29" s="209" t="s">
        <v>135</v>
      </c>
    </row>
    <row r="30" spans="1:17" ht="15.75" x14ac:dyDescent="0.25">
      <c r="A30" s="257">
        <f t="shared" si="4"/>
        <v>0.41966698262353935</v>
      </c>
      <c r="B30">
        <f t="shared" si="3"/>
        <v>-48.636784690779024</v>
      </c>
      <c r="C30"/>
      <c r="D30" s="202">
        <f>MAX($E$13)</f>
        <v>1.9308067749079783E-6</v>
      </c>
      <c r="E30" s="197">
        <f>MAX($E$15)</f>
        <v>1.5352163984516665E-6</v>
      </c>
      <c r="F30" s="203">
        <f>MAX($E$16)</f>
        <v>2.9474578333577028E-9</v>
      </c>
    </row>
    <row r="31" spans="1:17" ht="15.75" x14ac:dyDescent="0.25">
      <c r="A31" s="257">
        <f t="shared" si="4"/>
        <v>0.48261703001707024</v>
      </c>
      <c r="B31">
        <f t="shared" si="3"/>
        <v>-29.873545019252269</v>
      </c>
      <c r="C31"/>
      <c r="D31" s="61">
        <f>COUNT($B$13)</f>
        <v>1</v>
      </c>
      <c r="E31" s="198">
        <f>COUNT($B$15)</f>
        <v>1</v>
      </c>
      <c r="F31" s="204">
        <f>COUNT($B$16)</f>
        <v>1</v>
      </c>
      <c r="J31" s="115"/>
      <c r="K31" s="114"/>
    </row>
    <row r="32" spans="1:17" ht="15.75" x14ac:dyDescent="0.25">
      <c r="A32" s="257">
        <f t="shared" si="4"/>
        <v>0.55500958451963078</v>
      </c>
      <c r="B32">
        <f t="shared" si="3"/>
        <v>-16.306686246122936</v>
      </c>
      <c r="C32"/>
      <c r="D32" s="199" t="s">
        <v>137</v>
      </c>
      <c r="E32" s="200" t="s">
        <v>137</v>
      </c>
      <c r="F32" s="201" t="s">
        <v>137</v>
      </c>
      <c r="J32" s="115"/>
      <c r="K32" s="114"/>
    </row>
    <row r="33" spans="1:11" ht="15.75" x14ac:dyDescent="0.25">
      <c r="A33" s="257">
        <f t="shared" si="4"/>
        <v>0.6382610221975753</v>
      </c>
      <c r="B33">
        <f t="shared" si="3"/>
        <v>-6.7057952052906691</v>
      </c>
      <c r="C33"/>
      <c r="D33" s="205" t="s">
        <v>147</v>
      </c>
      <c r="E33" s="196" t="s">
        <v>147</v>
      </c>
      <c r="F33" s="206" t="s">
        <v>147</v>
      </c>
      <c r="J33" s="115"/>
      <c r="K33" s="142"/>
    </row>
    <row r="34" spans="1:11" ht="15.75" x14ac:dyDescent="0.25">
      <c r="A34" s="257">
        <f t="shared" si="4"/>
        <v>0.73400017552721153</v>
      </c>
      <c r="B34">
        <f t="shared" si="3"/>
        <v>-8.4133550323467712E-2</v>
      </c>
      <c r="C34"/>
      <c r="D34" s="205" t="s">
        <v>138</v>
      </c>
      <c r="E34" s="196" t="s">
        <v>138</v>
      </c>
      <c r="F34" s="206" t="s">
        <v>138</v>
      </c>
      <c r="J34" s="115"/>
      <c r="K34" s="114"/>
    </row>
    <row r="35" spans="1:11" ht="15.75" x14ac:dyDescent="0.25">
      <c r="A35" s="257">
        <f t="shared" si="4"/>
        <v>0.8441002018562932</v>
      </c>
      <c r="B35">
        <f t="shared" si="3"/>
        <v>4.3298785680356602</v>
      </c>
      <c r="C35"/>
      <c r="D35" s="205" t="s">
        <v>139</v>
      </c>
      <c r="E35" s="196" t="s">
        <v>139</v>
      </c>
      <c r="F35" s="206" t="s">
        <v>139</v>
      </c>
    </row>
    <row r="36" spans="1:11" ht="15.75" x14ac:dyDescent="0.25">
      <c r="A36" s="257">
        <f t="shared" si="4"/>
        <v>0.97071523213473709</v>
      </c>
      <c r="B36">
        <f t="shared" si="3"/>
        <v>7.1294809311506606</v>
      </c>
      <c r="C36"/>
      <c r="D36" s="205" t="s">
        <v>140</v>
      </c>
      <c r="E36" s="196" t="s">
        <v>140</v>
      </c>
      <c r="F36" s="206" t="s">
        <v>140</v>
      </c>
    </row>
    <row r="37" spans="1:11" ht="15.75" x14ac:dyDescent="0.25">
      <c r="A37" s="257">
        <f t="shared" si="4"/>
        <v>1.1163225169549476</v>
      </c>
      <c r="B37">
        <f t="shared" si="3"/>
        <v>8.7650984768356519</v>
      </c>
      <c r="C37"/>
      <c r="D37" s="205" t="s">
        <v>141</v>
      </c>
      <c r="E37" s="196" t="s">
        <v>141</v>
      </c>
      <c r="F37" s="206" t="s">
        <v>141</v>
      </c>
    </row>
    <row r="38" spans="1:11" ht="15.75" x14ac:dyDescent="0.25">
      <c r="A38" s="257">
        <f t="shared" si="4"/>
        <v>1.2837708944981896</v>
      </c>
      <c r="B38">
        <f t="shared" si="3"/>
        <v>9.5751957237881609</v>
      </c>
      <c r="C38"/>
      <c r="D38" s="213" t="s">
        <v>142</v>
      </c>
      <c r="E38" s="214" t="s">
        <v>142</v>
      </c>
      <c r="F38" s="215" t="s">
        <v>142</v>
      </c>
    </row>
    <row r="39" spans="1:11" ht="15.75" x14ac:dyDescent="0.25">
      <c r="A39" s="257">
        <f t="shared" si="4"/>
        <v>1.476336528672918</v>
      </c>
      <c r="B39">
        <f t="shared" si="3"/>
        <v>9.8117228479335878</v>
      </c>
      <c r="C39"/>
      <c r="D39" s="78">
        <f>{100,5000,0.000000000001,0.05,FALSE,FALSE,TRUE,1,2,2,0.0001,FALSE}</f>
        <v>100</v>
      </c>
      <c r="E39" s="79">
        <f>{100,5000,0.000000000001,0.05,FALSE,FALSE,TRUE,1,2,2,0.0001,FALSE}</f>
        <v>100</v>
      </c>
      <c r="F39" s="164">
        <f>{100,5000,0.000000000001,0.05,FALSE,FALSE,TRUE,1,2,2,0.0001,FALSE}</f>
        <v>100</v>
      </c>
    </row>
    <row r="40" spans="1:11" ht="15.75" x14ac:dyDescent="0.25">
      <c r="A40" s="257">
        <f t="shared" si="4"/>
        <v>1.6977870079738555</v>
      </c>
      <c r="B40">
        <f t="shared" si="3"/>
        <v>9.66048725295982</v>
      </c>
      <c r="C40"/>
    </row>
    <row r="41" spans="1:11" ht="15.75" x14ac:dyDescent="0.25">
      <c r="A41" s="257">
        <f t="shared" si="4"/>
        <v>1.9524550591699337</v>
      </c>
      <c r="B41">
        <f t="shared" si="3"/>
        <v>9.2571579731051017</v>
      </c>
      <c r="C41"/>
      <c r="D41" s="152"/>
      <c r="E41" s="152"/>
      <c r="F41" s="152"/>
    </row>
    <row r="42" spans="1:11" ht="15.75" x14ac:dyDescent="0.25">
      <c r="A42" s="257">
        <f t="shared" si="4"/>
        <v>2.2453233180454237</v>
      </c>
      <c r="B42">
        <f t="shared" si="3"/>
        <v>8.6996774648888859</v>
      </c>
      <c r="C42"/>
    </row>
    <row r="43" spans="1:11" ht="15.75" x14ac:dyDescent="0.25">
      <c r="A43" s="257">
        <f t="shared" si="4"/>
        <v>2.5821218157522372</v>
      </c>
      <c r="B43">
        <f t="shared" si="3"/>
        <v>8.0577961580141118</v>
      </c>
      <c r="C43"/>
    </row>
    <row r="44" spans="1:11" ht="15.75" x14ac:dyDescent="0.25">
      <c r="A44" s="257">
        <f t="shared" si="4"/>
        <v>2.9694400881150727</v>
      </c>
      <c r="B44">
        <f t="shared" si="3"/>
        <v>7.3803423617323389</v>
      </c>
      <c r="C44"/>
    </row>
    <row r="45" spans="1:11" ht="15.75" x14ac:dyDescent="0.25">
      <c r="A45" s="257">
        <f t="shared" si="4"/>
        <v>3.4148561013323331</v>
      </c>
      <c r="B45">
        <f t="shared" si="3"/>
        <v>6.7007309905210102</v>
      </c>
      <c r="C45"/>
    </row>
    <row r="46" spans="1:11" ht="15.75" x14ac:dyDescent="0.25">
      <c r="A46" s="257">
        <f t="shared" si="4"/>
        <v>3.9270845165321826</v>
      </c>
      <c r="B46">
        <f t="shared" si="3"/>
        <v>6.0411146535788909</v>
      </c>
      <c r="C46"/>
    </row>
    <row r="47" spans="1:11" ht="15.75" x14ac:dyDescent="0.25">
      <c r="A47" s="257">
        <f t="shared" si="4"/>
        <v>4.5161471940120093</v>
      </c>
      <c r="B47">
        <f t="shared" si="3"/>
        <v>5.4154952844229456</v>
      </c>
      <c r="C47"/>
    </row>
    <row r="48" spans="1:11" ht="15.75" x14ac:dyDescent="0.25">
      <c r="A48" s="257">
        <f t="shared" si="4"/>
        <v>5.1935692731138099</v>
      </c>
      <c r="B48">
        <f t="shared" si="3"/>
        <v>4.8320443174845771</v>
      </c>
      <c r="C48"/>
    </row>
    <row r="49" spans="1:3" ht="15.75" x14ac:dyDescent="0.25">
      <c r="A49" s="257">
        <f t="shared" si="4"/>
        <v>5.9726046640808805</v>
      </c>
      <c r="B49">
        <f t="shared" si="3"/>
        <v>4.2948231084107142</v>
      </c>
      <c r="C49"/>
    </row>
    <row r="50" spans="1:3" ht="15.75" x14ac:dyDescent="0.25">
      <c r="A50" s="257">
        <f t="shared" si="4"/>
        <v>6.8684953636930119</v>
      </c>
      <c r="B50">
        <f t="shared" si="3"/>
        <v>3.8050508210450547</v>
      </c>
      <c r="C50"/>
    </row>
    <row r="51" spans="1:3" ht="15.75" x14ac:dyDescent="0.25">
      <c r="A51" s="257">
        <f t="shared" si="4"/>
        <v>7.8987696682469632</v>
      </c>
      <c r="B51">
        <f t="shared" si="3"/>
        <v>3.3620322690130382</v>
      </c>
      <c r="C51"/>
    </row>
    <row r="52" spans="1:3" ht="15.75" x14ac:dyDescent="0.25">
      <c r="A52" s="257">
        <f t="shared" si="4"/>
        <v>9.0835851184840077</v>
      </c>
      <c r="B52">
        <f t="shared" si="3"/>
        <v>2.963831291894425</v>
      </c>
      <c r="C52"/>
    </row>
    <row r="53" spans="1:3" ht="15.75" x14ac:dyDescent="0.25">
      <c r="A53" s="257">
        <f t="shared" si="4"/>
        <v>10.446122886256608</v>
      </c>
      <c r="B53">
        <f t="shared" si="3"/>
        <v>2.6077545307102445</v>
      </c>
      <c r="C53"/>
    </row>
    <row r="54" spans="1:3" ht="15.75" x14ac:dyDescent="0.25">
      <c r="A54" s="257">
        <f t="shared" si="4"/>
        <v>12.013041319195098</v>
      </c>
      <c r="B54">
        <f t="shared" si="3"/>
        <v>2.2906945978213002</v>
      </c>
      <c r="C54"/>
    </row>
    <row r="55" spans="1:3" ht="15.75" x14ac:dyDescent="0.25">
      <c r="A55" s="257">
        <f t="shared" si="4"/>
        <v>13.814997517074362</v>
      </c>
      <c r="B55">
        <f t="shared" si="3"/>
        <v>2.0093695276753776</v>
      </c>
      <c r="C55"/>
    </row>
    <row r="56" spans="1:3" ht="15.75" x14ac:dyDescent="0.25">
      <c r="A56" s="257">
        <f t="shared" si="4"/>
        <v>15.887247144635515</v>
      </c>
      <c r="B56">
        <f t="shared" si="3"/>
        <v>1.7604861873913651</v>
      </c>
      <c r="C56"/>
    </row>
    <row r="57" spans="1:3" ht="15.75" x14ac:dyDescent="0.25">
      <c r="A57" s="257">
        <f t="shared" si="4"/>
        <v>18.270334216330841</v>
      </c>
      <c r="B57">
        <f t="shared" si="3"/>
        <v>1.5408483459680564</v>
      </c>
      <c r="C57"/>
    </row>
    <row r="58" spans="1:3" ht="15.75" x14ac:dyDescent="0.25">
      <c r="A58" s="257">
        <f t="shared" si="4"/>
        <v>21.010884348780465</v>
      </c>
      <c r="B58">
        <f t="shared" si="3"/>
        <v>1.3474248239238364</v>
      </c>
      <c r="C58"/>
    </row>
    <row r="59" spans="1:3" ht="15.75" x14ac:dyDescent="0.25">
      <c r="A59" s="257">
        <f t="shared" ref="A59:A86" si="5">A58*$C$19</f>
        <v>24.162517001097534</v>
      </c>
      <c r="B59">
        <f t="shared" si="3"/>
        <v>1.177389166464951</v>
      </c>
      <c r="C59"/>
    </row>
    <row r="60" spans="1:3" ht="15.75" x14ac:dyDescent="0.25">
      <c r="A60" s="257">
        <f t="shared" si="5"/>
        <v>27.786894551262161</v>
      </c>
      <c r="B60">
        <f t="shared" si="3"/>
        <v>1.0281392914206016</v>
      </c>
      <c r="C60"/>
    </row>
    <row r="61" spans="1:3" ht="15.75" x14ac:dyDescent="0.25">
      <c r="A61" s="257">
        <f t="shared" si="5"/>
        <v>31.954928733951483</v>
      </c>
      <c r="B61">
        <f t="shared" si="3"/>
        <v>0.89730331958939336</v>
      </c>
      <c r="C61"/>
    </row>
    <row r="62" spans="1:3" ht="15.75" x14ac:dyDescent="0.25">
      <c r="A62" s="257">
        <f t="shared" si="5"/>
        <v>36.748168044044206</v>
      </c>
      <c r="B62">
        <f t="shared" si="3"/>
        <v>0.78273611760976092</v>
      </c>
      <c r="C62"/>
    </row>
    <row r="63" spans="1:3" ht="15.75" x14ac:dyDescent="0.25">
      <c r="A63" s="257">
        <f t="shared" si="5"/>
        <v>42.260393250650836</v>
      </c>
      <c r="B63">
        <f t="shared" si="3"/>
        <v>0.68250983321878389</v>
      </c>
      <c r="C63"/>
    </row>
    <row r="64" spans="1:3" ht="15.75" x14ac:dyDescent="0.25">
      <c r="A64" s="257">
        <f t="shared" si="5"/>
        <v>48.59945223824846</v>
      </c>
      <c r="B64">
        <f t="shared" si="3"/>
        <v>0.59490077434139765</v>
      </c>
      <c r="C64"/>
    </row>
    <row r="65" spans="1:3" ht="15.75" x14ac:dyDescent="0.25">
      <c r="A65" s="257">
        <f t="shared" si="5"/>
        <v>55.889370073985724</v>
      </c>
      <c r="B65">
        <f t="shared" si="3"/>
        <v>0.51837429688322312</v>
      </c>
      <c r="C65"/>
    </row>
    <row r="66" spans="1:3" ht="15.75" x14ac:dyDescent="0.25">
      <c r="A66" s="257">
        <f t="shared" si="5"/>
        <v>64.272775585083579</v>
      </c>
      <c r="B66">
        <f t="shared" si="3"/>
        <v>0.45156886085560549</v>
      </c>
      <c r="C66"/>
    </row>
    <row r="67" spans="1:3" ht="15.75" x14ac:dyDescent="0.25">
      <c r="A67" s="257">
        <f t="shared" si="5"/>
        <v>73.913691922846112</v>
      </c>
      <c r="B67">
        <f t="shared" si="3"/>
        <v>0.39328004481116002</v>
      </c>
      <c r="C67"/>
    </row>
    <row r="68" spans="1:3" ht="15.75" x14ac:dyDescent="0.25">
      <c r="A68" s="257">
        <f t="shared" si="5"/>
        <v>85.000745711273026</v>
      </c>
      <c r="B68">
        <f t="shared" si="3"/>
        <v>0.34244504002570525</v>
      </c>
      <c r="C68"/>
    </row>
    <row r="69" spans="1:3" ht="15.75" x14ac:dyDescent="0.25">
      <c r="A69" s="257">
        <f t="shared" si="5"/>
        <v>97.750857567963976</v>
      </c>
      <c r="B69">
        <f t="shared" si="3"/>
        <v>0.29812795246841384</v>
      </c>
      <c r="C69"/>
    </row>
    <row r="70" spans="1:3" ht="15.75" x14ac:dyDescent="0.25">
      <c r="A70" s="257">
        <f t="shared" si="5"/>
        <v>112.41348620315857</v>
      </c>
      <c r="B70">
        <f t="shared" si="3"/>
        <v>0.25950610285302522</v>
      </c>
      <c r="C70"/>
    </row>
    <row r="71" spans="1:3" ht="15.75" x14ac:dyDescent="0.25">
      <c r="A71" s="257">
        <f t="shared" si="5"/>
        <v>129.27550913363234</v>
      </c>
      <c r="B71">
        <f t="shared" si="3"/>
        <v>0.22585741833668027</v>
      </c>
      <c r="C71"/>
    </row>
    <row r="72" spans="1:3" ht="15.75" x14ac:dyDescent="0.25">
      <c r="A72" s="257">
        <f t="shared" si="5"/>
        <v>148.66683550367719</v>
      </c>
      <c r="B72">
        <f t="shared" si="3"/>
        <v>0.1965489427914327</v>
      </c>
      <c r="C72"/>
    </row>
    <row r="73" spans="1:3" ht="15.75" x14ac:dyDescent="0.25">
      <c r="A73" s="257">
        <f t="shared" si="5"/>
        <v>170.96686082922875</v>
      </c>
      <c r="B73">
        <f t="shared" si="3"/>
        <v>0.1710264478558062</v>
      </c>
      <c r="C73"/>
    </row>
    <row r="74" spans="1:3" ht="15.75" x14ac:dyDescent="0.25">
      <c r="A74" s="257">
        <f t="shared" si="5"/>
        <v>196.61188995361306</v>
      </c>
      <c r="B74">
        <f t="shared" si="3"/>
        <v>0.14880509810867945</v>
      </c>
      <c r="C74"/>
    </row>
    <row r="75" spans="1:3" ht="15.75" x14ac:dyDescent="0.25">
      <c r="A75" s="257">
        <f t="shared" si="5"/>
        <v>226.10367344665499</v>
      </c>
      <c r="B75">
        <f t="shared" si="3"/>
        <v>0.12946110619395748</v>
      </c>
      <c r="C75"/>
    </row>
    <row r="76" spans="1:3" ht="15.75" x14ac:dyDescent="0.25">
      <c r="A76" s="257">
        <f t="shared" si="5"/>
        <v>260.01922446365325</v>
      </c>
      <c r="B76">
        <f t="shared" si="3"/>
        <v>0.11262430423777847</v>
      </c>
      <c r="C76"/>
    </row>
    <row r="77" spans="1:3" ht="15.75" x14ac:dyDescent="0.25">
      <c r="A77" s="257">
        <f t="shared" si="5"/>
        <v>299.02210813320119</v>
      </c>
      <c r="B77">
        <f t="shared" si="3"/>
        <v>9.7971553997215424E-2</v>
      </c>
      <c r="C77"/>
    </row>
    <row r="78" spans="1:3" ht="15.75" x14ac:dyDescent="0.25">
      <c r="A78" s="257">
        <f t="shared" si="5"/>
        <v>343.87542435318136</v>
      </c>
      <c r="B78">
        <f t="shared" si="3"/>
        <v>8.5220918075037511E-2</v>
      </c>
      <c r="C78"/>
    </row>
    <row r="79" spans="1:3" ht="15.75" x14ac:dyDescent="0.25">
      <c r="A79" s="257">
        <f t="shared" si="5"/>
        <v>395.45673800615856</v>
      </c>
      <c r="B79">
        <f t="shared" si="3"/>
        <v>7.4126516933344308E-2</v>
      </c>
      <c r="C79"/>
    </row>
    <row r="80" spans="1:3" ht="15.75" x14ac:dyDescent="0.25">
      <c r="A80" s="257">
        <f t="shared" si="5"/>
        <v>454.77524870708231</v>
      </c>
      <c r="B80">
        <f t="shared" si="3"/>
        <v>6.447400040755992E-2</v>
      </c>
      <c r="C80"/>
    </row>
    <row r="81" spans="1:3" ht="15.75" x14ac:dyDescent="0.25">
      <c r="A81" s="257">
        <f t="shared" si="5"/>
        <v>522.99153601314458</v>
      </c>
      <c r="B81">
        <f t="shared" si="3"/>
        <v>5.6076567298072283E-2</v>
      </c>
      <c r="C81"/>
    </row>
    <row r="82" spans="1:3" ht="15.75" x14ac:dyDescent="0.25">
      <c r="A82" s="257">
        <f t="shared" si="5"/>
        <v>601.44026641511618</v>
      </c>
      <c r="B82">
        <f t="shared" si="3"/>
        <v>4.8771471934476042E-2</v>
      </c>
      <c r="C82"/>
    </row>
    <row r="83" spans="1:3" ht="15.75" x14ac:dyDescent="0.25">
      <c r="A83" s="257">
        <f t="shared" si="5"/>
        <v>691.65630637738354</v>
      </c>
      <c r="B83">
        <f t="shared" si="3"/>
        <v>4.241696204678156E-2</v>
      </c>
      <c r="C83"/>
    </row>
    <row r="84" spans="1:3" ht="15.75" x14ac:dyDescent="0.25">
      <c r="A84" s="257">
        <f t="shared" si="5"/>
        <v>795.40475233399104</v>
      </c>
      <c r="B84">
        <f t="shared" si="3"/>
        <v>3.6889597624605537E-2</v>
      </c>
      <c r="C84"/>
    </row>
    <row r="85" spans="1:3" ht="15.75" x14ac:dyDescent="0.25">
      <c r="A85" s="257">
        <f t="shared" si="5"/>
        <v>914.71546518408968</v>
      </c>
      <c r="B85">
        <f t="shared" si="3"/>
        <v>3.2081905561106086E-2</v>
      </c>
      <c r="C85"/>
    </row>
    <row r="86" spans="1:3" ht="15.75" x14ac:dyDescent="0.25">
      <c r="A86" s="257">
        <f t="shared" si="5"/>
        <v>1051.922784961703</v>
      </c>
      <c r="B86">
        <f>($B$10*$I$1/(A86-$B$14)-$B$13/A86^2)/100</f>
        <v>2.7900329679726693E-2</v>
      </c>
      <c r="C86"/>
    </row>
    <row r="87" spans="1:3" ht="15.75" x14ac:dyDescent="0.25">
      <c r="A87"/>
      <c r="B87"/>
      <c r="C87"/>
    </row>
    <row r="88" spans="1:3" ht="15.75" x14ac:dyDescent="0.25">
      <c r="A88"/>
      <c r="B88"/>
      <c r="C88"/>
    </row>
    <row r="89" spans="1:3" ht="15.75" x14ac:dyDescent="0.25">
      <c r="A89"/>
      <c r="B89"/>
      <c r="C89"/>
    </row>
    <row r="90" spans="1:3" ht="15.75" x14ac:dyDescent="0.25">
      <c r="A90"/>
      <c r="B90"/>
      <c r="C90"/>
    </row>
    <row r="91" spans="1:3" ht="15.75" x14ac:dyDescent="0.25">
      <c r="A91"/>
      <c r="B91"/>
      <c r="C91"/>
    </row>
    <row r="92" spans="1:3" ht="15.75" x14ac:dyDescent="0.25">
      <c r="A92"/>
      <c r="B92"/>
      <c r="C92"/>
    </row>
    <row r="93" spans="1:3" ht="15.75" x14ac:dyDescent="0.25">
      <c r="A93"/>
      <c r="B93"/>
      <c r="C93"/>
    </row>
    <row r="94" spans="1:3" ht="15.75" x14ac:dyDescent="0.25">
      <c r="A94"/>
      <c r="B94"/>
      <c r="C94"/>
    </row>
    <row r="95" spans="1:3" ht="15.75" x14ac:dyDescent="0.25">
      <c r="A95"/>
      <c r="B95"/>
      <c r="C95"/>
    </row>
    <row r="96" spans="1:3" ht="15.75" x14ac:dyDescent="0.25">
      <c r="A96"/>
      <c r="B96"/>
      <c r="C96"/>
    </row>
    <row r="97" spans="1:3" ht="15.75" x14ac:dyDescent="0.25">
      <c r="A97"/>
      <c r="B97"/>
      <c r="C97"/>
    </row>
    <row r="98" spans="1:3" ht="15.75" x14ac:dyDescent="0.25">
      <c r="A98"/>
      <c r="B98"/>
      <c r="C98"/>
    </row>
    <row r="99" spans="1:3" ht="15.75" x14ac:dyDescent="0.25">
      <c r="A99"/>
      <c r="B99"/>
      <c r="C99"/>
    </row>
    <row r="100" spans="1:3" ht="15.75" x14ac:dyDescent="0.25">
      <c r="A100"/>
      <c r="B100"/>
      <c r="C100"/>
    </row>
    <row r="101" spans="1:3" ht="15.75" x14ac:dyDescent="0.25">
      <c r="A101"/>
      <c r="B101"/>
      <c r="C101"/>
    </row>
  </sheetData>
  <phoneticPr fontId="3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8" r:id="rId4" name="Button 4">
              <controlPr defaultSize="0" print="0" autoFill="0" autoPict="0" macro="[0]!ALL">
                <anchor moveWithCells="1" sizeWithCells="1">
                  <from>
                    <xdr:col>3</xdr:col>
                    <xdr:colOff>561975</xdr:colOff>
                    <xdr:row>21</xdr:row>
                    <xdr:rowOff>9525</xdr:rowOff>
                  </from>
                  <to>
                    <xdr:col>5</xdr:col>
                    <xdr:colOff>352425</xdr:colOff>
                    <xdr:row>23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88"/>
  <sheetViews>
    <sheetView workbookViewId="0">
      <selection activeCell="C20" sqref="C20"/>
    </sheetView>
  </sheetViews>
  <sheetFormatPr defaultColWidth="8" defaultRowHeight="12.75" x14ac:dyDescent="0.2"/>
  <cols>
    <col min="1" max="1" width="8" style="2" customWidth="1"/>
    <col min="2" max="2" width="10.125" style="2" bestFit="1" customWidth="1"/>
    <col min="3" max="4" width="8" style="2" customWidth="1"/>
    <col min="5" max="5" width="12.5" style="2" customWidth="1"/>
    <col min="6" max="6" width="8.375" style="2" customWidth="1"/>
    <col min="7" max="11" width="8" style="2" customWidth="1"/>
    <col min="12" max="12" width="9.25" style="2" bestFit="1" customWidth="1"/>
    <col min="13" max="13" width="11.5" style="2" bestFit="1" customWidth="1"/>
    <col min="14" max="16" width="8" style="2" customWidth="1"/>
    <col min="17" max="17" width="9.625" style="2" bestFit="1" customWidth="1"/>
    <col min="18" max="16384" width="8" style="2"/>
  </cols>
  <sheetData>
    <row r="1" spans="1:16" ht="18" x14ac:dyDescent="0.25">
      <c r="A1" s="1" t="str">
        <f>' T = Tb'!A1</f>
        <v>Benzene</v>
      </c>
      <c r="E1" s="2" t="s">
        <v>0</v>
      </c>
      <c r="F1" s="2">
        <v>1</v>
      </c>
      <c r="H1" s="3" t="s">
        <v>1</v>
      </c>
      <c r="I1" s="2">
        <f>' T = Tb'!O6</f>
        <v>250</v>
      </c>
      <c r="J1" s="2" t="s">
        <v>2</v>
      </c>
    </row>
    <row r="2" spans="1:16" ht="15.75" x14ac:dyDescent="0.3">
      <c r="A2" s="4" t="s">
        <v>15</v>
      </c>
      <c r="B2" s="5">
        <f>' T = Tb'!B2</f>
        <v>78.114000000000004</v>
      </c>
      <c r="C2" s="2" t="s">
        <v>3</v>
      </c>
      <c r="E2" s="4" t="s">
        <v>4</v>
      </c>
      <c r="F2" s="2">
        <f>' T = Tb'!F2</f>
        <v>-7.0143300000000002</v>
      </c>
      <c r="H2" s="3" t="s">
        <v>16</v>
      </c>
      <c r="I2" s="2">
        <f>1-I1/B3</f>
        <v>0.55528675110288883</v>
      </c>
      <c r="M2" s="4"/>
    </row>
    <row r="3" spans="1:16" ht="15.75" x14ac:dyDescent="0.3">
      <c r="A3" s="4" t="s">
        <v>17</v>
      </c>
      <c r="B3" s="5">
        <f>' T = Tb'!B3</f>
        <v>562.16</v>
      </c>
      <c r="C3" s="2" t="s">
        <v>2</v>
      </c>
      <c r="E3" s="4" t="s">
        <v>5</v>
      </c>
      <c r="F3" s="2">
        <f>' T = Tb'!F3</f>
        <v>1.5525599999999999</v>
      </c>
      <c r="H3" s="3" t="s">
        <v>6</v>
      </c>
      <c r="I3" s="144">
        <f>(B4*EXP((F2*I2+F3*I2^1.5+F4*I2^2.5+F5*I2^5)/(1-I2)))</f>
        <v>8.0836149165030638E-3</v>
      </c>
      <c r="J3" s="2" t="s">
        <v>7</v>
      </c>
      <c r="M3" s="4"/>
    </row>
    <row r="4" spans="1:16" ht="15.75" x14ac:dyDescent="0.3">
      <c r="A4" s="4" t="s">
        <v>18</v>
      </c>
      <c r="B4" s="5">
        <f>' T = Tb'!B4</f>
        <v>48.98</v>
      </c>
      <c r="C4" s="2" t="s">
        <v>7</v>
      </c>
      <c r="E4" s="4" t="s">
        <v>8</v>
      </c>
      <c r="F4" s="2">
        <f>' T = Tb'!F4</f>
        <v>-1.8479000000000001</v>
      </c>
      <c r="H4" s="3" t="s">
        <v>6</v>
      </c>
      <c r="I4" s="2">
        <f>I3*100</f>
        <v>0.80836149165030635</v>
      </c>
      <c r="J4" s="2" t="s">
        <v>9</v>
      </c>
      <c r="M4" s="4"/>
      <c r="N4" s="6"/>
    </row>
    <row r="5" spans="1:16" ht="15.75" x14ac:dyDescent="0.3">
      <c r="A5" s="4" t="s">
        <v>18</v>
      </c>
      <c r="B5" s="5">
        <f>' T = Tb'!B5</f>
        <v>4898</v>
      </c>
      <c r="C5" s="2" t="s">
        <v>9</v>
      </c>
      <c r="E5" s="4" t="s">
        <v>10</v>
      </c>
      <c r="F5" s="2">
        <f>' T = Tb'!F5</f>
        <v>-3.7130000000000001</v>
      </c>
      <c r="H5" s="4"/>
      <c r="M5" s="4"/>
      <c r="N5" s="6"/>
    </row>
    <row r="6" spans="1:16" ht="15.75" x14ac:dyDescent="0.3">
      <c r="A6" s="4" t="s">
        <v>19</v>
      </c>
      <c r="B6" s="5">
        <f>' T = Tb'!B6</f>
        <v>256</v>
      </c>
      <c r="C6" s="2" t="s">
        <v>20</v>
      </c>
      <c r="E6" s="4" t="s">
        <v>21</v>
      </c>
      <c r="F6" s="2">
        <f>' T = Tb'!F6</f>
        <v>250</v>
      </c>
      <c r="G6" s="7">
        <f>F6/B3</f>
        <v>0.44471324889711117</v>
      </c>
      <c r="H6" s="2" t="s">
        <v>22</v>
      </c>
      <c r="I6" s="2">
        <v>2.5712194055283128E-3</v>
      </c>
    </row>
    <row r="7" spans="1:16" ht="15.75" x14ac:dyDescent="0.3">
      <c r="A7" s="4" t="s">
        <v>19</v>
      </c>
      <c r="B7" s="5">
        <f>' T = Tb'!B7</f>
        <v>0.25600000000000001</v>
      </c>
      <c r="C7" s="8" t="s">
        <v>23</v>
      </c>
      <c r="E7" s="4" t="s">
        <v>24</v>
      </c>
      <c r="F7" s="2">
        <f>' T = Tb'!F7</f>
        <v>562.16</v>
      </c>
      <c r="G7" s="7">
        <f>F7/B3</f>
        <v>1</v>
      </c>
      <c r="H7" s="2" t="s">
        <v>25</v>
      </c>
      <c r="I7" s="2">
        <f>I6/I3</f>
        <v>0.31807791836781496</v>
      </c>
    </row>
    <row r="8" spans="1:16" ht="15.75" x14ac:dyDescent="0.3">
      <c r="A8" s="4" t="s">
        <v>26</v>
      </c>
      <c r="B8" s="5">
        <f>' T = Tb'!B8</f>
        <v>0.26800000000000002</v>
      </c>
      <c r="E8" s="4" t="s">
        <v>27</v>
      </c>
      <c r="F8" s="18">
        <f>' T = Tb'!F8</f>
        <v>353.24</v>
      </c>
      <c r="G8" s="7">
        <f>F8/B3</f>
        <v>0.6283620321616622</v>
      </c>
      <c r="H8" s="2" t="s">
        <v>28</v>
      </c>
    </row>
    <row r="9" spans="1:16" x14ac:dyDescent="0.2">
      <c r="A9" s="9" t="s">
        <v>29</v>
      </c>
      <c r="B9" s="5">
        <f>' T = Tb'!B9</f>
        <v>0.21</v>
      </c>
      <c r="E9" s="4"/>
      <c r="F9" s="2">
        <f>' T = Tb'!F9</f>
        <v>101.325</v>
      </c>
      <c r="K9" s="4"/>
    </row>
    <row r="10" spans="1:16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6" x14ac:dyDescent="0.2">
      <c r="A11" s="10" t="s">
        <v>13</v>
      </c>
      <c r="K11" s="11"/>
      <c r="M11" s="12"/>
    </row>
    <row r="12" spans="1:16" ht="18.75" x14ac:dyDescent="0.3">
      <c r="A12" s="13" t="s">
        <v>31</v>
      </c>
      <c r="B12" s="14">
        <f>27/64*(B10*B3)^2/B5</f>
        <v>1881.7339064250737</v>
      </c>
      <c r="C12" s="15"/>
      <c r="E12" s="16" t="s">
        <v>14</v>
      </c>
      <c r="H12" s="4" t="s">
        <v>32</v>
      </c>
      <c r="I12" s="191">
        <f>(2*B19)-B14-(B10*I1/I4)</f>
        <v>-2571.5276486022349</v>
      </c>
      <c r="J12" s="17">
        <f>-(B18+B15+B16)</f>
        <v>-2571.5276486022349</v>
      </c>
      <c r="K12" s="6"/>
      <c r="N12" s="4"/>
      <c r="O12" s="18"/>
      <c r="P12" s="15"/>
    </row>
    <row r="13" spans="1:16" ht="18.75" x14ac:dyDescent="0.3">
      <c r="A13" s="13" t="s">
        <v>33</v>
      </c>
      <c r="B13" s="19">
        <v>3076.8984570537541</v>
      </c>
      <c r="C13" s="153">
        <f>' T = Tb'!P6</f>
        <v>3013.0473405304078</v>
      </c>
      <c r="E13" s="193">
        <f>ABS(B10*I1*LN((B16-B14)/(B15-B14))+B13*(1/(B16+B19)-1/(B15+B19))-I4*(B16-B15))</f>
        <v>9.8503236131364247E-5</v>
      </c>
      <c r="F13" s="21">
        <f>E13+E15+E16</f>
        <v>2725.555919101183</v>
      </c>
      <c r="H13" s="4" t="s">
        <v>34</v>
      </c>
      <c r="I13" s="191">
        <f>(B19^2)-(2*B19*B14)-(2*B10*I1*B19/I4)+(B13/I4)</f>
        <v>3806.3397240411928</v>
      </c>
      <c r="J13" s="17">
        <f>B15*B16+B15*B18+B18*B16</f>
        <v>3806.3397346472716</v>
      </c>
      <c r="K13" s="6"/>
      <c r="L13" s="17">
        <f>B13/B12</f>
        <v>1.6351400410801225</v>
      </c>
      <c r="N13" s="4"/>
      <c r="O13" s="18"/>
      <c r="P13" s="15"/>
    </row>
    <row r="14" spans="1:16" ht="18.75" x14ac:dyDescent="0.5">
      <c r="A14" s="147" t="s">
        <v>35</v>
      </c>
      <c r="B14" s="262">
        <f>B10*B3/8/B5</f>
        <v>0.11928554873417722</v>
      </c>
      <c r="C14" s="263" t="s">
        <v>23</v>
      </c>
      <c r="H14" s="4" t="s">
        <v>36</v>
      </c>
      <c r="I14" s="191">
        <f>(-B14*(B19^2))-(B10*I1*(B19^2)/I4)-(B13*B14/I4)</f>
        <v>-454.04132265095041</v>
      </c>
      <c r="J14" s="17">
        <f>-(B18*B15*B16)</f>
        <v>-454.04132403880124</v>
      </c>
      <c r="K14" s="6"/>
      <c r="L14" s="17">
        <f>B15/B14</f>
        <v>1.0969704039735939</v>
      </c>
      <c r="N14" s="4"/>
      <c r="O14" s="18"/>
    </row>
    <row r="15" spans="1:16" ht="19.5" x14ac:dyDescent="0.5">
      <c r="A15" s="135" t="s">
        <v>37</v>
      </c>
      <c r="B15" s="264">
        <v>0.13085271658314221</v>
      </c>
      <c r="C15" s="263" t="s">
        <v>23</v>
      </c>
      <c r="D15" s="24" t="s">
        <v>38</v>
      </c>
      <c r="E15" s="25">
        <f>1000000*ABS(B15^3+I12*B15^2+I13*B15+I14)</f>
        <v>1.659827830735594E-5</v>
      </c>
      <c r="K15" s="4"/>
      <c r="L15" s="23"/>
    </row>
    <row r="16" spans="1:16" ht="19.5" x14ac:dyDescent="0.5">
      <c r="A16" s="135" t="s">
        <v>39</v>
      </c>
      <c r="B16" s="265">
        <v>2570.0466781979353</v>
      </c>
      <c r="C16" s="263" t="s">
        <v>23</v>
      </c>
      <c r="D16" s="24" t="s">
        <v>40</v>
      </c>
      <c r="E16" s="25">
        <f>100000*ABS(B16^3+I12*B16^2+I13*B16+I14)</f>
        <v>2725.5558039996686</v>
      </c>
      <c r="L16" s="26"/>
    </row>
    <row r="17" spans="1:12" ht="19.5" x14ac:dyDescent="0.5">
      <c r="A17" s="139" t="s">
        <v>41</v>
      </c>
      <c r="B17" s="148">
        <f>B10*I1/I4</f>
        <v>2571.4083630535006</v>
      </c>
      <c r="C17" s="263" t="s">
        <v>23</v>
      </c>
      <c r="D17" s="24" t="s">
        <v>42</v>
      </c>
      <c r="E17" s="29">
        <f>1000*ABS(B18^3+I12*B18^2+I13*B18+I14)</f>
        <v>1.2931604487675941E-2</v>
      </c>
      <c r="H17" s="12"/>
      <c r="I17" s="4"/>
      <c r="J17" s="17"/>
      <c r="L17" s="25"/>
    </row>
    <row r="18" spans="1:12" ht="19.5" x14ac:dyDescent="0.5">
      <c r="A18" s="135" t="s">
        <v>43</v>
      </c>
      <c r="B18" s="138">
        <f>-I12-B15-B16</f>
        <v>1.3501176877166472</v>
      </c>
      <c r="C18" s="263" t="s">
        <v>23</v>
      </c>
      <c r="D18" s="4"/>
      <c r="E18" s="29"/>
      <c r="H18" s="12"/>
      <c r="I18" s="4"/>
      <c r="J18" s="17"/>
      <c r="L18" s="25"/>
    </row>
    <row r="19" spans="1:12" ht="15.75" x14ac:dyDescent="0.25">
      <c r="A19" s="149" t="s">
        <v>132</v>
      </c>
      <c r="B19" s="259">
        <v>0</v>
      </c>
      <c r="C19" s="258">
        <v>1.05</v>
      </c>
      <c r="D19" s="29"/>
      <c r="E19" s="4"/>
      <c r="H19" s="12"/>
      <c r="I19" s="4"/>
      <c r="J19" s="17"/>
      <c r="L19" s="25"/>
    </row>
    <row r="20" spans="1:12" ht="15.75" x14ac:dyDescent="0.25">
      <c r="A20" s="256" t="s">
        <v>44</v>
      </c>
      <c r="B20" s="256" t="s">
        <v>45</v>
      </c>
      <c r="C20" s="256" t="s">
        <v>169</v>
      </c>
      <c r="D20" s="21"/>
      <c r="I20" s="31"/>
      <c r="J20" s="32"/>
      <c r="K20" s="33"/>
      <c r="L20" s="34"/>
    </row>
    <row r="21" spans="1:12" ht="15.75" x14ac:dyDescent="0.25">
      <c r="A21" s="257">
        <f>B14+0.00001</f>
        <v>0.11929554873417722</v>
      </c>
      <c r="B21">
        <f>($B$10*$I$1/(A21-$B$14)-$B$13/A21^2)/100</f>
        <v>2076465.4552163035</v>
      </c>
      <c r="C21"/>
      <c r="I21" s="34"/>
      <c r="J21" s="34"/>
      <c r="K21" s="34"/>
      <c r="L21" s="34"/>
    </row>
    <row r="22" spans="1:12" ht="15.75" x14ac:dyDescent="0.25">
      <c r="A22" s="257">
        <f>A21*$C$19</f>
        <v>0.12526032617088609</v>
      </c>
      <c r="B22">
        <f t="shared" ref="B22:B85" si="0">($B$10*$I$1/(A22-$B$14)-$B$13/A22^2)/100</f>
        <v>1517.9657134203069</v>
      </c>
      <c r="C22"/>
      <c r="E22" s="195"/>
      <c r="I22" s="34"/>
      <c r="J22" s="34"/>
      <c r="K22" s="34"/>
      <c r="L22" s="34"/>
    </row>
    <row r="23" spans="1:12" ht="15.75" x14ac:dyDescent="0.25">
      <c r="A23" s="257">
        <f t="shared" ref="A23:A86" si="1">A22*$C$19</f>
        <v>0.1315233424794304</v>
      </c>
      <c r="B23">
        <f t="shared" si="0"/>
        <v>-80.188353594394869</v>
      </c>
      <c r="C23"/>
      <c r="I23" s="34"/>
      <c r="J23" s="34"/>
      <c r="K23" s="34"/>
      <c r="L23" s="34"/>
    </row>
    <row r="24" spans="1:12" ht="15.75" x14ac:dyDescent="0.25">
      <c r="A24" s="257">
        <f t="shared" si="1"/>
        <v>0.13809950960340192</v>
      </c>
      <c r="B24">
        <f t="shared" si="0"/>
        <v>-508.51862884628804</v>
      </c>
      <c r="C24"/>
      <c r="I24" s="34"/>
      <c r="J24" s="32"/>
      <c r="K24" s="32"/>
      <c r="L24" s="34"/>
    </row>
    <row r="25" spans="1:12" ht="15.75" x14ac:dyDescent="0.25">
      <c r="A25" s="257">
        <f t="shared" si="1"/>
        <v>0.14500448508357203</v>
      </c>
      <c r="B25">
        <f t="shared" si="0"/>
        <v>-655.14804481453552</v>
      </c>
      <c r="C25"/>
      <c r="I25" s="34"/>
      <c r="J25" s="32"/>
      <c r="K25" s="32"/>
      <c r="L25" s="34"/>
    </row>
    <row r="26" spans="1:12" ht="15.75" x14ac:dyDescent="0.25">
      <c r="A26" s="257">
        <f t="shared" si="1"/>
        <v>0.15225470933775062</v>
      </c>
      <c r="B26">
        <f t="shared" si="0"/>
        <v>-696.83162949643213</v>
      </c>
      <c r="C26"/>
      <c r="I26" s="34"/>
      <c r="J26" s="32"/>
      <c r="K26" s="32"/>
      <c r="L26" s="34"/>
    </row>
    <row r="27" spans="1:12" ht="15.75" x14ac:dyDescent="0.25">
      <c r="A27" s="257">
        <f t="shared" si="1"/>
        <v>0.15986744480463816</v>
      </c>
      <c r="B27">
        <f t="shared" si="0"/>
        <v>-691.70182164006428</v>
      </c>
      <c r="C27"/>
      <c r="I27" s="34"/>
      <c r="J27" s="34"/>
      <c r="K27" s="34"/>
      <c r="L27" s="34"/>
    </row>
    <row r="28" spans="1:12" ht="15.75" x14ac:dyDescent="0.25">
      <c r="A28" s="257">
        <f t="shared" si="1"/>
        <v>0.16786081704487008</v>
      </c>
      <c r="B28">
        <f t="shared" si="0"/>
        <v>-664.06064147209338</v>
      </c>
      <c r="C28"/>
      <c r="I28" s="34"/>
      <c r="J28" s="34"/>
      <c r="K28" s="34"/>
      <c r="L28" s="34"/>
    </row>
    <row r="29" spans="1:12" ht="15.75" x14ac:dyDescent="0.25">
      <c r="A29" s="257">
        <f t="shared" si="1"/>
        <v>0.17625385789711359</v>
      </c>
      <c r="B29">
        <f t="shared" si="0"/>
        <v>-625.58327291741477</v>
      </c>
      <c r="C29"/>
      <c r="D29"/>
      <c r="E29"/>
      <c r="F29"/>
      <c r="I29" s="34"/>
      <c r="J29" s="34"/>
      <c r="K29" s="34"/>
      <c r="L29" s="34"/>
    </row>
    <row r="30" spans="1:12" ht="15.75" x14ac:dyDescent="0.25">
      <c r="A30" s="257">
        <f t="shared" si="1"/>
        <v>0.18506655079196929</v>
      </c>
      <c r="B30">
        <f t="shared" si="0"/>
        <v>-582.38219481439432</v>
      </c>
      <c r="C30"/>
      <c r="D30"/>
      <c r="E30"/>
      <c r="F30"/>
      <c r="I30" s="34"/>
      <c r="J30" s="31"/>
      <c r="K30" s="35"/>
      <c r="L30" s="34"/>
    </row>
    <row r="31" spans="1:12" ht="15.75" x14ac:dyDescent="0.25">
      <c r="A31" s="257">
        <f t="shared" si="1"/>
        <v>0.19431987833156777</v>
      </c>
      <c r="B31">
        <f t="shared" si="0"/>
        <v>-537.82840886361726</v>
      </c>
      <c r="C31"/>
      <c r="D31"/>
      <c r="E31"/>
      <c r="F31"/>
      <c r="I31" s="34"/>
      <c r="J31" s="31"/>
      <c r="K31" s="35"/>
      <c r="L31" s="34"/>
    </row>
    <row r="32" spans="1:12" ht="15.75" x14ac:dyDescent="0.25">
      <c r="A32" s="257">
        <f t="shared" si="1"/>
        <v>0.20403587224814618</v>
      </c>
      <c r="B32">
        <f t="shared" si="0"/>
        <v>-493.82988539783969</v>
      </c>
      <c r="C32"/>
      <c r="D32"/>
      <c r="E32"/>
      <c r="F32"/>
      <c r="I32" s="34"/>
      <c r="J32" s="31"/>
      <c r="K32" s="36"/>
      <c r="L32" s="34"/>
    </row>
    <row r="33" spans="1:12" ht="15.75" x14ac:dyDescent="0.25">
      <c r="A33" s="257">
        <f t="shared" si="1"/>
        <v>0.21423766586055348</v>
      </c>
      <c r="B33">
        <f t="shared" si="0"/>
        <v>-451.46747463973242</v>
      </c>
      <c r="C33"/>
      <c r="D33"/>
      <c r="E33"/>
      <c r="F33"/>
      <c r="I33" s="34"/>
      <c r="J33" s="31"/>
      <c r="K33" s="33"/>
      <c r="L33" s="34"/>
    </row>
    <row r="34" spans="1:12" ht="15.75" x14ac:dyDescent="0.25">
      <c r="A34" s="257">
        <f t="shared" si="1"/>
        <v>0.22494954915358117</v>
      </c>
      <c r="B34">
        <f t="shared" si="0"/>
        <v>-411.33456413680381</v>
      </c>
      <c r="C34"/>
      <c r="D34"/>
      <c r="E34"/>
      <c r="F34"/>
      <c r="I34" s="34"/>
      <c r="J34" s="34"/>
      <c r="K34" s="34"/>
      <c r="L34" s="34"/>
    </row>
    <row r="35" spans="1:12" ht="15.75" x14ac:dyDescent="0.25">
      <c r="A35" s="257">
        <f t="shared" si="1"/>
        <v>0.23619702661126024</v>
      </c>
      <c r="B35">
        <f t="shared" si="0"/>
        <v>-373.7288780874394</v>
      </c>
      <c r="C35"/>
      <c r="D35"/>
      <c r="E35"/>
      <c r="F35"/>
      <c r="I35" s="34"/>
      <c r="J35" s="34"/>
      <c r="K35" s="34"/>
      <c r="L35" s="34"/>
    </row>
    <row r="36" spans="1:12" ht="15.75" x14ac:dyDescent="0.25">
      <c r="A36" s="257">
        <f t="shared" si="1"/>
        <v>0.24800687794182327</v>
      </c>
      <c r="B36">
        <f t="shared" si="0"/>
        <v>-338.76565009016298</v>
      </c>
      <c r="C36"/>
      <c r="D36"/>
      <c r="E36"/>
      <c r="F36"/>
    </row>
    <row r="37" spans="1:12" ht="15.75" x14ac:dyDescent="0.25">
      <c r="A37" s="257">
        <f t="shared" si="1"/>
        <v>0.26040722183891446</v>
      </c>
      <c r="B37">
        <f t="shared" si="0"/>
        <v>-306.44676459879514</v>
      </c>
      <c r="C37"/>
      <c r="D37"/>
      <c r="E37"/>
      <c r="F37"/>
    </row>
    <row r="38" spans="1:12" ht="15.75" x14ac:dyDescent="0.25">
      <c r="A38" s="257">
        <f t="shared" si="1"/>
        <v>0.27342758293086017</v>
      </c>
      <c r="B38">
        <f t="shared" si="0"/>
        <v>-276.70416351410762</v>
      </c>
      <c r="C38"/>
      <c r="D38"/>
      <c r="E38"/>
      <c r="F38"/>
    </row>
    <row r="39" spans="1:12" ht="15.75" x14ac:dyDescent="0.25">
      <c r="A39" s="257">
        <f t="shared" si="1"/>
        <v>0.28709896207740321</v>
      </c>
      <c r="B39">
        <f t="shared" si="0"/>
        <v>-249.42766617949397</v>
      </c>
      <c r="C39"/>
      <c r="D39"/>
      <c r="E39"/>
      <c r="F39"/>
    </row>
    <row r="40" spans="1:12" ht="15.75" x14ac:dyDescent="0.25">
      <c r="A40" s="257">
        <f t="shared" si="1"/>
        <v>0.30145391018127338</v>
      </c>
      <c r="B40">
        <f t="shared" si="0"/>
        <v>-224.4830639236487</v>
      </c>
      <c r="C40"/>
    </row>
    <row r="41" spans="1:12" ht="15.75" x14ac:dyDescent="0.25">
      <c r="A41" s="257">
        <f t="shared" si="1"/>
        <v>0.31652660569033708</v>
      </c>
      <c r="B41">
        <f t="shared" si="0"/>
        <v>-201.72399368175147</v>
      </c>
      <c r="C41"/>
    </row>
    <row r="42" spans="1:12" ht="15.75" x14ac:dyDescent="0.25">
      <c r="A42" s="257">
        <f t="shared" si="1"/>
        <v>0.33235293597485394</v>
      </c>
      <c r="B42">
        <f t="shared" si="0"/>
        <v>-180.99974976449835</v>
      </c>
      <c r="C42"/>
    </row>
    <row r="43" spans="1:12" ht="15.75" x14ac:dyDescent="0.25">
      <c r="A43" s="257">
        <f t="shared" si="1"/>
        <v>0.34897058277359666</v>
      </c>
      <c r="B43">
        <f t="shared" si="0"/>
        <v>-162.16039882830205</v>
      </c>
      <c r="C43"/>
    </row>
    <row r="44" spans="1:12" ht="15.75" x14ac:dyDescent="0.25">
      <c r="A44" s="257">
        <f t="shared" si="1"/>
        <v>0.3664191119122765</v>
      </c>
      <c r="B44">
        <f t="shared" si="0"/>
        <v>-145.06008068096438</v>
      </c>
      <c r="C44"/>
    </row>
    <row r="45" spans="1:12" ht="15.75" x14ac:dyDescent="0.25">
      <c r="A45" s="257">
        <f t="shared" si="1"/>
        <v>0.38474006750789036</v>
      </c>
      <c r="B45">
        <f t="shared" si="0"/>
        <v>-129.55907681969109</v>
      </c>
      <c r="C45"/>
    </row>
    <row r="46" spans="1:12" ht="15.75" x14ac:dyDescent="0.25">
      <c r="A46" s="257">
        <f t="shared" si="1"/>
        <v>0.40397707088328488</v>
      </c>
      <c r="B46">
        <f t="shared" si="0"/>
        <v>-115.52503679513204</v>
      </c>
      <c r="C46"/>
    </row>
    <row r="47" spans="1:12" ht="15.75" x14ac:dyDescent="0.25">
      <c r="A47" s="257">
        <f t="shared" si="1"/>
        <v>0.42417592442744917</v>
      </c>
      <c r="B47">
        <f t="shared" si="0"/>
        <v>-102.83362766250477</v>
      </c>
      <c r="C47"/>
    </row>
    <row r="48" spans="1:12" ht="15.75" x14ac:dyDescent="0.25">
      <c r="A48" s="257">
        <f t="shared" si="1"/>
        <v>0.44538472064882162</v>
      </c>
      <c r="B48">
        <f t="shared" si="0"/>
        <v>-91.368789057229662</v>
      </c>
      <c r="C48"/>
    </row>
    <row r="49" spans="1:3" ht="15.75" x14ac:dyDescent="0.25">
      <c r="A49" s="257">
        <f t="shared" si="1"/>
        <v>0.46765395668126269</v>
      </c>
      <c r="B49">
        <f t="shared" si="0"/>
        <v>-81.022720728691041</v>
      </c>
      <c r="C49"/>
    </row>
    <row r="50" spans="1:3" ht="15.75" x14ac:dyDescent="0.25">
      <c r="A50" s="257">
        <f t="shared" si="1"/>
        <v>0.49103665451532585</v>
      </c>
      <c r="B50">
        <f t="shared" si="0"/>
        <v>-71.695691320872768</v>
      </c>
      <c r="C50"/>
    </row>
    <row r="51" spans="1:3" ht="15.75" x14ac:dyDescent="0.25">
      <c r="A51" s="257">
        <f t="shared" si="1"/>
        <v>0.51558848724109219</v>
      </c>
      <c r="B51">
        <f t="shared" si="0"/>
        <v>-63.295730878410616</v>
      </c>
      <c r="C51"/>
    </row>
    <row r="52" spans="1:3" ht="15.75" x14ac:dyDescent="0.25">
      <c r="A52" s="257">
        <f t="shared" si="1"/>
        <v>0.54136791160314679</v>
      </c>
      <c r="B52">
        <f t="shared" si="0"/>
        <v>-55.738251162712729</v>
      </c>
      <c r="C52"/>
    </row>
    <row r="53" spans="1:3" ht="15.75" x14ac:dyDescent="0.25">
      <c r="A53" s="257">
        <f t="shared" si="1"/>
        <v>0.56843630718330418</v>
      </c>
      <c r="B53">
        <f t="shared" si="0"/>
        <v>-48.945624882721091</v>
      </c>
      <c r="C53"/>
    </row>
    <row r="54" spans="1:3" ht="15.75" x14ac:dyDescent="0.25">
      <c r="A54" s="257">
        <f t="shared" si="1"/>
        <v>0.59685812254246939</v>
      </c>
      <c r="B54">
        <f t="shared" si="0"/>
        <v>-42.84674571318282</v>
      </c>
      <c r="C54"/>
    </row>
    <row r="55" spans="1:3" ht="15.75" x14ac:dyDescent="0.25">
      <c r="A55" s="257">
        <f t="shared" si="1"/>
        <v>0.62670102866959287</v>
      </c>
      <c r="B55">
        <f t="shared" si="0"/>
        <v>-37.376584365865767</v>
      </c>
      <c r="C55"/>
    </row>
    <row r="56" spans="1:3" ht="15.75" x14ac:dyDescent="0.25">
      <c r="A56" s="257">
        <f t="shared" si="1"/>
        <v>0.65803608010307257</v>
      </c>
      <c r="B56">
        <f t="shared" si="0"/>
        <v>-32.475751227379227</v>
      </c>
      <c r="C56"/>
    </row>
    <row r="57" spans="1:3" ht="15.75" x14ac:dyDescent="0.25">
      <c r="A57" s="257">
        <f t="shared" si="1"/>
        <v>0.69093788410822621</v>
      </c>
      <c r="B57">
        <f t="shared" si="0"/>
        <v>-28.090072649310937</v>
      </c>
      <c r="C57"/>
    </row>
    <row r="58" spans="1:3" ht="15.75" x14ac:dyDescent="0.25">
      <c r="A58" s="257">
        <f t="shared" si="1"/>
        <v>0.72548477831363756</v>
      </c>
      <c r="B58">
        <f t="shared" si="0"/>
        <v>-24.170185500223642</v>
      </c>
      <c r="C58"/>
    </row>
    <row r="59" spans="1:3" ht="15.75" x14ac:dyDescent="0.25">
      <c r="A59" s="257">
        <f t="shared" si="1"/>
        <v>0.76175901722931949</v>
      </c>
      <c r="B59">
        <f t="shared" si="0"/>
        <v>-20.671152801786612</v>
      </c>
      <c r="C59"/>
    </row>
    <row r="60" spans="1:3" ht="15.75" x14ac:dyDescent="0.25">
      <c r="A60" s="257">
        <f t="shared" si="1"/>
        <v>0.79984696809078548</v>
      </c>
      <c r="B60">
        <f t="shared" si="0"/>
        <v>-17.552101985493778</v>
      </c>
      <c r="C60"/>
    </row>
    <row r="61" spans="1:3" ht="15.75" x14ac:dyDescent="0.25">
      <c r="A61" s="257">
        <f t="shared" si="1"/>
        <v>0.83983931649532484</v>
      </c>
      <c r="B61">
        <f t="shared" si="0"/>
        <v>-14.775886387255078</v>
      </c>
      <c r="C61"/>
    </row>
    <row r="62" spans="1:3" ht="15.75" x14ac:dyDescent="0.25">
      <c r="A62" s="257">
        <f t="shared" si="1"/>
        <v>0.88183128232009111</v>
      </c>
      <c r="B62">
        <f t="shared" si="0"/>
        <v>-12.30876994699363</v>
      </c>
      <c r="C62"/>
    </row>
    <row r="63" spans="1:3" ht="15.75" x14ac:dyDescent="0.25">
      <c r="A63" s="257">
        <f t="shared" si="1"/>
        <v>0.92592284643609568</v>
      </c>
      <c r="B63">
        <f t="shared" si="0"/>
        <v>-10.120134628020196</v>
      </c>
      <c r="C63"/>
    </row>
    <row r="64" spans="1:3" ht="15.75" x14ac:dyDescent="0.25">
      <c r="A64" s="257">
        <f t="shared" si="1"/>
        <v>0.97221898875790047</v>
      </c>
      <c r="B64">
        <f t="shared" si="0"/>
        <v>-8.1822097641360365</v>
      </c>
      <c r="C64"/>
    </row>
    <row r="65" spans="1:3" ht="15.75" x14ac:dyDescent="0.25">
      <c r="A65" s="257">
        <f t="shared" si="1"/>
        <v>1.0208299381957955</v>
      </c>
      <c r="B65">
        <f t="shared" si="0"/>
        <v>-6.4698223426007466</v>
      </c>
      <c r="C65"/>
    </row>
    <row r="66" spans="1:3" ht="15.75" x14ac:dyDescent="0.25">
      <c r="A66" s="257">
        <f t="shared" si="1"/>
        <v>1.0718714351055854</v>
      </c>
      <c r="B66">
        <f t="shared" si="0"/>
        <v>-4.9601671097483813</v>
      </c>
      <c r="C66"/>
    </row>
    <row r="67" spans="1:3" ht="15.75" x14ac:dyDescent="0.25">
      <c r="A67" s="257">
        <f t="shared" si="1"/>
        <v>1.1254650068608647</v>
      </c>
      <c r="B67">
        <f t="shared" si="0"/>
        <v>-3.6325953219270559</v>
      </c>
      <c r="C67"/>
    </row>
    <row r="68" spans="1:3" ht="15.75" x14ac:dyDescent="0.25">
      <c r="A68" s="257">
        <f t="shared" si="1"/>
        <v>1.1817382572039079</v>
      </c>
      <c r="B68">
        <f t="shared" si="0"/>
        <v>-2.4684209417608192</v>
      </c>
      <c r="C68"/>
    </row>
    <row r="69" spans="1:3" ht="15.75" x14ac:dyDescent="0.25">
      <c r="A69" s="257">
        <f t="shared" si="1"/>
        <v>1.2408251700641033</v>
      </c>
      <c r="B69">
        <f t="shared" si="0"/>
        <v>-1.4507430866825779</v>
      </c>
      <c r="C69"/>
    </row>
    <row r="70" spans="1:3" ht="15.75" x14ac:dyDescent="0.25">
      <c r="A70" s="257">
        <f t="shared" si="1"/>
        <v>1.3028664285673086</v>
      </c>
      <c r="B70">
        <f t="shared" si="0"/>
        <v>-0.56428356444504291</v>
      </c>
      <c r="C70"/>
    </row>
    <row r="71" spans="1:3" ht="15.75" x14ac:dyDescent="0.25">
      <c r="A71" s="257">
        <f t="shared" si="1"/>
        <v>1.368009749995674</v>
      </c>
      <c r="B71">
        <f t="shared" si="0"/>
        <v>0.20476162770182327</v>
      </c>
      <c r="C71"/>
    </row>
    <row r="72" spans="1:3" ht="15.75" x14ac:dyDescent="0.25">
      <c r="A72" s="257">
        <f t="shared" si="1"/>
        <v>1.4364102374954577</v>
      </c>
      <c r="B72">
        <f t="shared" si="0"/>
        <v>0.86885791217815944</v>
      </c>
      <c r="C72"/>
    </row>
    <row r="73" spans="1:3" ht="15.75" x14ac:dyDescent="0.25">
      <c r="A73" s="257">
        <f t="shared" si="1"/>
        <v>1.5082307493702307</v>
      </c>
      <c r="B73">
        <f t="shared" si="0"/>
        <v>1.4392558636212289</v>
      </c>
      <c r="C73"/>
    </row>
    <row r="74" spans="1:3" ht="15.75" x14ac:dyDescent="0.25">
      <c r="A74" s="257">
        <f t="shared" si="1"/>
        <v>1.5836422868387423</v>
      </c>
      <c r="B74">
        <f t="shared" si="0"/>
        <v>1.9261040198814976</v>
      </c>
      <c r="C74"/>
    </row>
    <row r="75" spans="1:3" ht="15.75" x14ac:dyDescent="0.25">
      <c r="A75" s="257">
        <f t="shared" si="1"/>
        <v>1.6628244011806794</v>
      </c>
      <c r="B75">
        <f t="shared" si="0"/>
        <v>2.3385516655489935</v>
      </c>
      <c r="C75"/>
    </row>
    <row r="76" spans="1:3" ht="15.75" x14ac:dyDescent="0.25">
      <c r="A76" s="257">
        <f t="shared" si="1"/>
        <v>1.7459656212397134</v>
      </c>
      <c r="B76">
        <f t="shared" si="0"/>
        <v>2.6848424215004356</v>
      </c>
      <c r="C76"/>
    </row>
    <row r="77" spans="1:3" ht="15.75" x14ac:dyDescent="0.25">
      <c r="A77" s="257">
        <f t="shared" si="1"/>
        <v>1.8332639023016992</v>
      </c>
      <c r="B77">
        <f t="shared" si="0"/>
        <v>2.9723994147729469</v>
      </c>
      <c r="C77"/>
    </row>
    <row r="78" spans="1:3" ht="15.75" x14ac:dyDescent="0.25">
      <c r="A78" s="257">
        <f t="shared" si="1"/>
        <v>1.9249270974167842</v>
      </c>
      <c r="B78">
        <f t="shared" si="0"/>
        <v>3.2079027459868099</v>
      </c>
      <c r="C78"/>
    </row>
    <row r="79" spans="1:3" ht="15.75" x14ac:dyDescent="0.25">
      <c r="A79" s="257">
        <f t="shared" si="1"/>
        <v>2.0211734522876235</v>
      </c>
      <c r="B79">
        <f t="shared" si="0"/>
        <v>3.3973599170198518</v>
      </c>
      <c r="C79"/>
    </row>
    <row r="80" spans="1:3" ht="15.75" x14ac:dyDescent="0.25">
      <c r="A80" s="257">
        <f t="shared" si="1"/>
        <v>2.1222321249020046</v>
      </c>
      <c r="B80">
        <f t="shared" si="0"/>
        <v>3.5461698299644047</v>
      </c>
      <c r="C80"/>
    </row>
    <row r="81" spans="1:3" ht="15.75" x14ac:dyDescent="0.25">
      <c r="A81" s="257">
        <f t="shared" si="1"/>
        <v>2.2283437311471048</v>
      </c>
      <c r="B81">
        <f t="shared" si="0"/>
        <v>3.6591809197286169</v>
      </c>
      <c r="C81"/>
    </row>
    <row r="82" spans="1:3" ht="15.75" x14ac:dyDescent="0.25">
      <c r="A82" s="257">
        <f t="shared" si="1"/>
        <v>2.33976091770446</v>
      </c>
      <c r="B82">
        <f t="shared" si="0"/>
        <v>3.7407439370340194</v>
      </c>
      <c r="C82"/>
    </row>
    <row r="83" spans="1:3" ht="15.75" x14ac:dyDescent="0.25">
      <c r="A83" s="257">
        <f t="shared" si="1"/>
        <v>2.4567489635896833</v>
      </c>
      <c r="B83">
        <f t="shared" si="0"/>
        <v>3.7947598559966842</v>
      </c>
      <c r="C83"/>
    </row>
    <row r="84" spans="1:3" ht="15.75" x14ac:dyDescent="0.25">
      <c r="A84" s="257">
        <f t="shared" si="1"/>
        <v>2.5795864117691676</v>
      </c>
      <c r="B84">
        <f t="shared" si="0"/>
        <v>3.824723340895543</v>
      </c>
      <c r="C84"/>
    </row>
    <row r="85" spans="1:3" ht="15.75" x14ac:dyDescent="0.25">
      <c r="A85" s="257">
        <f t="shared" si="1"/>
        <v>2.7085657323576262</v>
      </c>
      <c r="B85">
        <f t="shared" si="0"/>
        <v>3.8337621700277733</v>
      </c>
      <c r="C85"/>
    </row>
    <row r="86" spans="1:3" ht="15.75" x14ac:dyDescent="0.25">
      <c r="A86" s="257">
        <f t="shared" si="1"/>
        <v>2.8439940189755077</v>
      </c>
      <c r="B86">
        <f>($B$10*$I$1/(A86-$B$14)-$B$13/A86^2)/100</f>
        <v>3.8246729806036974</v>
      </c>
      <c r="C86"/>
    </row>
    <row r="87" spans="1:3" ht="15.75" x14ac:dyDescent="0.25">
      <c r="A87"/>
      <c r="B87"/>
      <c r="C87"/>
    </row>
    <row r="88" spans="1:3" ht="15.75" x14ac:dyDescent="0.25">
      <c r="A88"/>
      <c r="B88"/>
      <c r="C88"/>
    </row>
  </sheetData>
  <phoneticPr fontId="3" type="noConversion"/>
  <pageMargins left="0.75" right="0.75" top="1" bottom="1" header="0.5" footer="0.5"/>
  <pageSetup paperSize="9" orientation="portrait" horizontalDpi="4294967294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88"/>
  <sheetViews>
    <sheetView topLeftCell="A11" workbookViewId="0">
      <selection activeCell="D8" sqref="D8"/>
    </sheetView>
  </sheetViews>
  <sheetFormatPr defaultColWidth="8" defaultRowHeight="12.75" x14ac:dyDescent="0.2"/>
  <cols>
    <col min="1" max="1" width="14" style="2" customWidth="1"/>
    <col min="2" max="4" width="8" style="2" customWidth="1"/>
    <col min="5" max="5" width="10.5" style="2" customWidth="1"/>
    <col min="6" max="16384" width="8" style="2"/>
  </cols>
  <sheetData>
    <row r="1" spans="1:15" ht="18" x14ac:dyDescent="0.25">
      <c r="A1" s="143" t="str">
        <f>' T = Tb'!A1</f>
        <v>Benzene</v>
      </c>
      <c r="E1" s="2" t="s">
        <v>0</v>
      </c>
      <c r="F1" s="2">
        <v>1</v>
      </c>
      <c r="H1" s="3" t="s">
        <v>1</v>
      </c>
      <c r="I1" s="2">
        <f>' T = Tb'!O7</f>
        <v>260.33706553565617</v>
      </c>
      <c r="J1" s="2" t="s">
        <v>2</v>
      </c>
    </row>
    <row r="2" spans="1:15" ht="15.75" x14ac:dyDescent="0.3">
      <c r="A2" s="4" t="s">
        <v>15</v>
      </c>
      <c r="B2" s="5">
        <f>' T = Tb'!B2</f>
        <v>78.114000000000004</v>
      </c>
      <c r="C2" s="2" t="s">
        <v>3</v>
      </c>
      <c r="E2" s="4" t="s">
        <v>4</v>
      </c>
      <c r="F2" s="5">
        <f>' T = Tb'!F2</f>
        <v>-7.0143300000000002</v>
      </c>
      <c r="H2" s="3" t="s">
        <v>16</v>
      </c>
      <c r="I2" s="2">
        <f>1-I1/B3</f>
        <v>0.53689863110919278</v>
      </c>
      <c r="M2" s="4"/>
    </row>
    <row r="3" spans="1:15" ht="15.75" x14ac:dyDescent="0.3">
      <c r="A3" s="4" t="s">
        <v>17</v>
      </c>
      <c r="B3" s="5">
        <f>' T = Tb'!B3</f>
        <v>562.16</v>
      </c>
      <c r="C3" s="2" t="s">
        <v>2</v>
      </c>
      <c r="E3" s="4" t="s">
        <v>5</v>
      </c>
      <c r="F3" s="5">
        <f>' T = Tb'!F3</f>
        <v>1.5525599999999999</v>
      </c>
      <c r="H3" s="3" t="s">
        <v>6</v>
      </c>
      <c r="I3" s="144">
        <f>(B4*EXP((F2*I2+F3*I2^1.5+F4*I2^2.5+F5*I2^5)/(1-I2)))</f>
        <v>1.6207266195744433E-2</v>
      </c>
      <c r="J3" s="2" t="s">
        <v>7</v>
      </c>
      <c r="M3" s="4"/>
    </row>
    <row r="4" spans="1:15" ht="15.75" x14ac:dyDescent="0.3">
      <c r="A4" s="4" t="s">
        <v>18</v>
      </c>
      <c r="B4" s="5">
        <f>' T = Tb'!B4</f>
        <v>48.98</v>
      </c>
      <c r="C4" s="2" t="s">
        <v>7</v>
      </c>
      <c r="E4" s="4" t="s">
        <v>8</v>
      </c>
      <c r="F4" s="5">
        <f>' T = Tb'!F4</f>
        <v>-1.8479000000000001</v>
      </c>
      <c r="H4" s="3" t="s">
        <v>6</v>
      </c>
      <c r="I4" s="2">
        <f>I3*100</f>
        <v>1.6207266195744432</v>
      </c>
      <c r="J4" s="2" t="s">
        <v>9</v>
      </c>
      <c r="M4" s="4"/>
      <c r="N4" s="6"/>
    </row>
    <row r="5" spans="1:15" ht="15.75" x14ac:dyDescent="0.3">
      <c r="A5" s="4" t="s">
        <v>18</v>
      </c>
      <c r="B5" s="5">
        <f>' T = Tb'!B5</f>
        <v>4898</v>
      </c>
      <c r="C5" s="2" t="s">
        <v>9</v>
      </c>
      <c r="E5" s="4" t="s">
        <v>10</v>
      </c>
      <c r="F5" s="5">
        <f>' T = Tb'!F5</f>
        <v>-3.7130000000000001</v>
      </c>
      <c r="H5" s="4"/>
      <c r="M5" s="4"/>
      <c r="N5" s="6"/>
    </row>
    <row r="6" spans="1:15" ht="15.75" x14ac:dyDescent="0.3">
      <c r="A6" s="4" t="s">
        <v>19</v>
      </c>
      <c r="B6" s="5">
        <f>' T = Tb'!B6</f>
        <v>256</v>
      </c>
      <c r="C6" s="2" t="s">
        <v>20</v>
      </c>
      <c r="E6" s="4" t="s">
        <v>21</v>
      </c>
      <c r="F6" s="5">
        <f>' T = Tb'!F6</f>
        <v>250</v>
      </c>
      <c r="G6" s="7">
        <f>F6/B3</f>
        <v>0.44471324889711117</v>
      </c>
      <c r="H6" s="2" t="s">
        <v>22</v>
      </c>
      <c r="I6" s="2">
        <v>2.5712194055283128E-3</v>
      </c>
    </row>
    <row r="7" spans="1:15" ht="15.75" x14ac:dyDescent="0.3">
      <c r="A7" s="4" t="s">
        <v>19</v>
      </c>
      <c r="B7" s="5">
        <f>' T = Tb'!B7</f>
        <v>0.25600000000000001</v>
      </c>
      <c r="C7" s="8" t="s">
        <v>23</v>
      </c>
      <c r="E7" s="4" t="s">
        <v>24</v>
      </c>
      <c r="F7" s="5">
        <f>' T = Tb'!F7</f>
        <v>562.16</v>
      </c>
      <c r="G7" s="7">
        <f>F7/B3</f>
        <v>1</v>
      </c>
      <c r="H7" s="2" t="s">
        <v>25</v>
      </c>
      <c r="I7" s="2">
        <f>I6/I3</f>
        <v>0.15864608962882598</v>
      </c>
    </row>
    <row r="8" spans="1:15" ht="15.75" x14ac:dyDescent="0.3">
      <c r="A8" s="4" t="s">
        <v>26</v>
      </c>
      <c r="B8" s="5">
        <f>' T = Tb'!B8</f>
        <v>0.26800000000000002</v>
      </c>
      <c r="E8" s="4" t="s">
        <v>27</v>
      </c>
      <c r="F8" s="5">
        <f>' T = Tb'!F8</f>
        <v>353.24</v>
      </c>
      <c r="G8" s="7">
        <f>F8/B3</f>
        <v>0.6283620321616622</v>
      </c>
      <c r="H8" s="2" t="s">
        <v>28</v>
      </c>
    </row>
    <row r="9" spans="1:15" x14ac:dyDescent="0.2">
      <c r="A9" s="9" t="s">
        <v>29</v>
      </c>
      <c r="B9" s="5">
        <f>' T = Tb'!B9</f>
        <v>0.21</v>
      </c>
      <c r="E9" s="4"/>
      <c r="F9" s="5">
        <f>' T = Tb'!F9</f>
        <v>101.325</v>
      </c>
      <c r="K9" s="4"/>
    </row>
    <row r="10" spans="1:15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5" x14ac:dyDescent="0.2">
      <c r="A11" s="10" t="s">
        <v>13</v>
      </c>
      <c r="K11" s="11"/>
      <c r="M11" s="12"/>
    </row>
    <row r="12" spans="1:15" ht="18.75" x14ac:dyDescent="0.3">
      <c r="A12" s="13" t="s">
        <v>31</v>
      </c>
      <c r="B12" s="14">
        <f>27/64*(B10*B3)^2/B5</f>
        <v>1881.7339064250737</v>
      </c>
      <c r="C12" s="15"/>
      <c r="E12" s="16" t="s">
        <v>14</v>
      </c>
      <c r="H12" s="4" t="s">
        <v>32</v>
      </c>
      <c r="I12" s="261">
        <f>(2*B19)-B14-(B10*I1/I4)</f>
        <v>-1335.6777373098489</v>
      </c>
      <c r="J12" s="12">
        <f>-(B18+B15+B16)</f>
        <v>-1335.6777373098489</v>
      </c>
      <c r="K12" s="6"/>
      <c r="N12" s="4"/>
      <c r="O12" s="18"/>
    </row>
    <row r="13" spans="1:15" ht="18.75" x14ac:dyDescent="0.3">
      <c r="A13" s="13" t="s">
        <v>33</v>
      </c>
      <c r="B13" s="19">
        <v>3018.0984969595138</v>
      </c>
      <c r="C13" s="12">
        <f>' T = Tb'!P7</f>
        <v>2966.441185327842</v>
      </c>
      <c r="E13" s="193">
        <f>ABS(B10*I1*LN((B16-B14)/(B15-B14))+B13*(1/(B16+B19)-1/(B15+B19))-I4*(B16-B15))</f>
        <v>8.2244675468245987E-5</v>
      </c>
      <c r="F13" s="21">
        <f>E13+E15+E16</f>
        <v>941.19281032269737</v>
      </c>
      <c r="H13" s="4" t="s">
        <v>34</v>
      </c>
      <c r="I13" s="261">
        <f>(B19^2)-(2*B19*B14)-(2*B10*I1*B19/I4)+(B13/I4)</f>
        <v>1862.1885150204916</v>
      </c>
      <c r="J13" s="12">
        <f>B15*B16+B15*B18+B18*B16</f>
        <v>1862.1885157260404</v>
      </c>
      <c r="K13" s="6"/>
      <c r="L13" s="26">
        <f>B13/B12</f>
        <v>1.603892286074236</v>
      </c>
      <c r="N13" s="4"/>
      <c r="O13" s="18"/>
    </row>
    <row r="14" spans="1:15" ht="18.75" x14ac:dyDescent="0.5">
      <c r="A14" s="147" t="s">
        <v>35</v>
      </c>
      <c r="B14" s="262">
        <f>B10*B3/8/B5</f>
        <v>0.11928554873417722</v>
      </c>
      <c r="C14" s="263" t="s">
        <v>23</v>
      </c>
      <c r="H14" s="4" t="s">
        <v>36</v>
      </c>
      <c r="I14" s="191">
        <f>(-B14*(B19^2))-(B10*I1*(B19^2)/I4)-(B13*B14/I4)</f>
        <v>-222.132178860702</v>
      </c>
      <c r="J14" s="17">
        <f>-(B18*B15*B16)</f>
        <v>-222.13217895365599</v>
      </c>
      <c r="K14" s="6"/>
      <c r="L14" s="26">
        <f>B15/B14</f>
        <v>1.1043334285336852</v>
      </c>
      <c r="N14" s="4"/>
      <c r="O14" s="18"/>
    </row>
    <row r="15" spans="1:15" ht="19.5" x14ac:dyDescent="0.5">
      <c r="A15" s="135" t="s">
        <v>37</v>
      </c>
      <c r="B15" s="264">
        <v>0.13173101900813594</v>
      </c>
      <c r="C15" s="263" t="s">
        <v>23</v>
      </c>
      <c r="D15" s="24" t="s">
        <v>38</v>
      </c>
      <c r="E15" s="25">
        <f>1000000*ABS(B15^3+I12*B15^2+I13*B15+I14)</f>
        <v>1.1340262062731199E-5</v>
      </c>
      <c r="K15" s="4"/>
      <c r="L15" s="26">
        <f>B16/B17</f>
        <v>0.99904441633603169</v>
      </c>
    </row>
    <row r="16" spans="1:15" ht="19.5" x14ac:dyDescent="0.5">
      <c r="A16" s="135" t="s">
        <v>39</v>
      </c>
      <c r="B16" s="265">
        <v>1334.2822139223372</v>
      </c>
      <c r="C16" s="263" t="s">
        <v>23</v>
      </c>
      <c r="D16" s="24" t="s">
        <v>40</v>
      </c>
      <c r="E16" s="25">
        <f>1000000*ABS(B16^3+I12*B16^2+I13*B16+I14)</f>
        <v>941.19271673775984</v>
      </c>
      <c r="L16" s="26"/>
    </row>
    <row r="17" spans="1:12" ht="19.5" x14ac:dyDescent="0.5">
      <c r="A17" s="139" t="s">
        <v>41</v>
      </c>
      <c r="B17" s="148">
        <f>B10*I1/I4</f>
        <v>1335.5584517611148</v>
      </c>
      <c r="C17" s="263" t="s">
        <v>23</v>
      </c>
      <c r="D17" s="24" t="s">
        <v>42</v>
      </c>
      <c r="E17" s="29">
        <f>1000*ABS(B18^3+I12*B18^2+I13*B18+I14)</f>
        <v>7.9871327329783526E-4</v>
      </c>
      <c r="H17" s="12"/>
      <c r="I17" s="4"/>
      <c r="J17" s="17"/>
      <c r="L17" s="25"/>
    </row>
    <row r="18" spans="1:12" ht="19.5" x14ac:dyDescent="0.5">
      <c r="A18" s="135" t="s">
        <v>43</v>
      </c>
      <c r="B18" s="138">
        <f>-I12-B15-B16</f>
        <v>1.263792368503573</v>
      </c>
      <c r="C18" s="263" t="s">
        <v>23</v>
      </c>
      <c r="D18" s="4"/>
      <c r="E18" s="29"/>
      <c r="H18" s="12"/>
      <c r="I18" s="4"/>
      <c r="J18" s="17"/>
      <c r="L18" s="25"/>
    </row>
    <row r="19" spans="1:12" ht="15.75" x14ac:dyDescent="0.25">
      <c r="A19" s="149" t="s">
        <v>132</v>
      </c>
      <c r="B19" s="259">
        <v>0</v>
      </c>
      <c r="C19" s="258">
        <v>1.25</v>
      </c>
      <c r="D19" s="29"/>
      <c r="E19" s="4"/>
      <c r="H19" s="12"/>
      <c r="I19" s="4"/>
      <c r="J19" s="17"/>
      <c r="L19" s="25"/>
    </row>
    <row r="20" spans="1:12" ht="15.75" x14ac:dyDescent="0.25">
      <c r="A20" s="256" t="s">
        <v>44</v>
      </c>
      <c r="B20" s="256" t="s">
        <v>45</v>
      </c>
      <c r="C20" s="256" t="s">
        <v>169</v>
      </c>
      <c r="D20" s="21"/>
      <c r="I20" s="31"/>
      <c r="J20" s="32"/>
      <c r="K20" s="33"/>
      <c r="L20" s="34"/>
    </row>
    <row r="21" spans="1:12" ht="15.75" x14ac:dyDescent="0.25">
      <c r="A21" s="257">
        <v>0.125</v>
      </c>
      <c r="B21">
        <f>($B$10*$I$1/(A21-$B$14)-$B$13/A21^2)/100</f>
        <v>1856.3137066654756</v>
      </c>
      <c r="C21"/>
      <c r="I21" s="34"/>
      <c r="J21" s="34"/>
      <c r="K21" s="34"/>
      <c r="L21" s="34"/>
    </row>
    <row r="22" spans="1:12" ht="15.75" x14ac:dyDescent="0.25">
      <c r="A22" s="257">
        <v>0.13</v>
      </c>
      <c r="B22">
        <f>($B$10*$I$1/(A22-$B$14)-$B$13/A22^2)/100</f>
        <v>234.38181131516379</v>
      </c>
      <c r="C22"/>
      <c r="E22" s="195"/>
      <c r="I22" s="34"/>
      <c r="J22" s="34"/>
      <c r="K22" s="34"/>
      <c r="L22" s="34"/>
    </row>
    <row r="23" spans="1:12" ht="15.75" x14ac:dyDescent="0.25">
      <c r="A23" s="257">
        <v>0.13500000000000001</v>
      </c>
      <c r="B23">
        <f t="shared" ref="B23:B85" si="0">($B$10*$I$1/(A23-$B$14)-$B$13/A23^2)/100</f>
        <v>-278.57873070801111</v>
      </c>
      <c r="C23"/>
      <c r="I23" s="34"/>
      <c r="J23" s="34"/>
      <c r="K23" s="34"/>
      <c r="L23" s="34"/>
    </row>
    <row r="24" spans="1:12" ht="15.75" x14ac:dyDescent="0.25">
      <c r="A24" s="257">
        <v>0.14000000000000001</v>
      </c>
      <c r="B24">
        <f t="shared" si="0"/>
        <v>-494.88721694051509</v>
      </c>
      <c r="C24"/>
      <c r="I24" s="34"/>
      <c r="J24" s="32"/>
      <c r="K24" s="32"/>
      <c r="L24" s="34"/>
    </row>
    <row r="25" spans="1:12" ht="15.75" x14ac:dyDescent="0.25">
      <c r="A25" s="257">
        <v>0.14499999999999999</v>
      </c>
      <c r="B25">
        <f t="shared" si="0"/>
        <v>-593.70705503833267</v>
      </c>
      <c r="C25"/>
      <c r="I25" s="34"/>
      <c r="J25" s="32"/>
      <c r="K25" s="32"/>
      <c r="L25" s="34"/>
    </row>
    <row r="26" spans="1:12" ht="15.75" x14ac:dyDescent="0.25">
      <c r="A26" s="257">
        <v>0.15</v>
      </c>
      <c r="B26">
        <f t="shared" si="0"/>
        <v>-636.63551563744977</v>
      </c>
      <c r="C26"/>
      <c r="I26" s="34"/>
      <c r="J26" s="32"/>
      <c r="K26" s="32"/>
      <c r="L26" s="34"/>
    </row>
    <row r="27" spans="1:12" ht="15.75" x14ac:dyDescent="0.25">
      <c r="A27" s="257">
        <v>0.151</v>
      </c>
      <c r="B27">
        <f t="shared" si="0"/>
        <v>-641.14922694986478</v>
      </c>
      <c r="C27"/>
      <c r="I27" s="34"/>
      <c r="J27" s="34"/>
      <c r="K27" s="34"/>
      <c r="L27" s="34"/>
    </row>
    <row r="28" spans="1:12" ht="15.75" x14ac:dyDescent="0.25">
      <c r="A28" s="257">
        <v>0.152</v>
      </c>
      <c r="B28">
        <f t="shared" si="0"/>
        <v>-644.65277180339285</v>
      </c>
      <c r="C28"/>
      <c r="I28" s="34"/>
      <c r="J28" s="34"/>
      <c r="K28" s="34"/>
      <c r="L28" s="34"/>
    </row>
    <row r="29" spans="1:12" ht="15.75" x14ac:dyDescent="0.25">
      <c r="A29" s="257">
        <v>0.153</v>
      </c>
      <c r="B29">
        <f t="shared" si="0"/>
        <v>-647.25795681847251</v>
      </c>
      <c r="C29"/>
      <c r="D29"/>
      <c r="E29"/>
      <c r="F29"/>
      <c r="I29" s="34"/>
      <c r="J29" s="34"/>
      <c r="K29" s="34"/>
      <c r="L29" s="34"/>
    </row>
    <row r="30" spans="1:12" ht="15.75" x14ac:dyDescent="0.25">
      <c r="A30" s="257">
        <v>0.154</v>
      </c>
      <c r="B30">
        <f t="shared" si="0"/>
        <v>-649.06295343540774</v>
      </c>
      <c r="C30"/>
      <c r="D30"/>
      <c r="E30"/>
      <c r="F30"/>
      <c r="I30" s="34"/>
      <c r="J30" s="31"/>
      <c r="K30" s="35"/>
      <c r="L30" s="34"/>
    </row>
    <row r="31" spans="1:12" ht="15.75" x14ac:dyDescent="0.25">
      <c r="A31" s="257">
        <v>0.155</v>
      </c>
      <c r="B31">
        <f t="shared" si="0"/>
        <v>-650.15423662189073</v>
      </c>
      <c r="C31"/>
      <c r="D31"/>
      <c r="E31"/>
      <c r="F31"/>
      <c r="I31" s="34"/>
      <c r="J31" s="31"/>
      <c r="K31" s="35"/>
      <c r="L31" s="34"/>
    </row>
    <row r="32" spans="1:12" ht="15.75" x14ac:dyDescent="0.25">
      <c r="A32" s="257">
        <v>0.156</v>
      </c>
      <c r="B32">
        <f t="shared" si="0"/>
        <v>-650.60820540503448</v>
      </c>
      <c r="C32"/>
      <c r="D32"/>
      <c r="E32"/>
      <c r="F32"/>
      <c r="I32" s="34"/>
      <c r="J32" s="31"/>
      <c r="K32" s="36"/>
      <c r="L32" s="34"/>
    </row>
    <row r="33" spans="1:12" ht="15.75" x14ac:dyDescent="0.25">
      <c r="A33" s="257">
        <v>0.157</v>
      </c>
      <c r="B33">
        <f t="shared" si="0"/>
        <v>-650.49254435130001</v>
      </c>
      <c r="C33"/>
      <c r="D33"/>
      <c r="E33"/>
      <c r="F33"/>
      <c r="I33" s="34"/>
      <c r="J33" s="31"/>
      <c r="K33" s="33"/>
      <c r="L33" s="34"/>
    </row>
    <row r="34" spans="1:12" ht="15.75" x14ac:dyDescent="0.25">
      <c r="A34" s="257">
        <v>0.158</v>
      </c>
      <c r="B34">
        <f t="shared" si="0"/>
        <v>-649.86737289651546</v>
      </c>
      <c r="C34"/>
      <c r="D34"/>
      <c r="E34"/>
      <c r="F34"/>
      <c r="I34" s="34"/>
      <c r="J34" s="34"/>
      <c r="K34" s="34"/>
      <c r="L34" s="34"/>
    </row>
    <row r="35" spans="1:12" ht="15.75" x14ac:dyDescent="0.25">
      <c r="A35" s="257">
        <v>0.159</v>
      </c>
      <c r="B35">
        <f t="shared" si="0"/>
        <v>-648.7862199767809</v>
      </c>
      <c r="C35"/>
      <c r="D35"/>
      <c r="E35"/>
      <c r="F35"/>
      <c r="I35" s="34"/>
      <c r="J35" s="34"/>
      <c r="K35" s="34"/>
      <c r="L35" s="34"/>
    </row>
    <row r="36" spans="1:12" ht="15.75" x14ac:dyDescent="0.25">
      <c r="A36" s="257">
        <v>0.16</v>
      </c>
      <c r="B36">
        <f t="shared" si="0"/>
        <v>-647.29685404910879</v>
      </c>
      <c r="C36"/>
      <c r="D36"/>
      <c r="E36"/>
      <c r="F36"/>
    </row>
    <row r="37" spans="1:12" ht="15.75" x14ac:dyDescent="0.25">
      <c r="A37" s="257">
        <v>0.16500000000000001</v>
      </c>
      <c r="B37">
        <f t="shared" si="0"/>
        <v>-635.07702778666999</v>
      </c>
      <c r="C37"/>
      <c r="D37"/>
      <c r="E37"/>
      <c r="F37"/>
    </row>
    <row r="38" spans="1:12" ht="15.75" x14ac:dyDescent="0.25">
      <c r="A38" s="257">
        <v>0.17</v>
      </c>
      <c r="B38">
        <f t="shared" si="0"/>
        <v>-617.50850052224473</v>
      </c>
      <c r="C38"/>
      <c r="D38"/>
      <c r="E38"/>
      <c r="F38"/>
    </row>
    <row r="39" spans="1:12" ht="15.75" x14ac:dyDescent="0.25">
      <c r="A39" s="257">
        <v>0.17499999999999999</v>
      </c>
      <c r="B39">
        <f t="shared" si="0"/>
        <v>-596.98921874045413</v>
      </c>
      <c r="C39"/>
      <c r="D39"/>
      <c r="E39"/>
      <c r="F39"/>
    </row>
    <row r="40" spans="1:12" ht="15.75" x14ac:dyDescent="0.25">
      <c r="A40" s="257">
        <v>0.18</v>
      </c>
      <c r="B40">
        <f t="shared" si="0"/>
        <v>-574.99459641341889</v>
      </c>
      <c r="C40"/>
    </row>
    <row r="41" spans="1:12" ht="15.75" x14ac:dyDescent="0.25">
      <c r="A41" s="257">
        <v>0.19</v>
      </c>
      <c r="B41">
        <f t="shared" si="0"/>
        <v>-529.93754722195195</v>
      </c>
      <c r="C41"/>
    </row>
    <row r="42" spans="1:12" ht="15.75" x14ac:dyDescent="0.25">
      <c r="A42" s="257">
        <v>0.2</v>
      </c>
      <c r="B42">
        <f t="shared" si="0"/>
        <v>-486.34772396732171</v>
      </c>
      <c r="C42"/>
    </row>
    <row r="43" spans="1:12" ht="15.75" x14ac:dyDescent="0.25">
      <c r="A43" s="257">
        <v>0.25</v>
      </c>
      <c r="B43">
        <f t="shared" si="0"/>
        <v>-317.3000572935008</v>
      </c>
      <c r="C43"/>
    </row>
    <row r="44" spans="1:12" ht="15.75" x14ac:dyDescent="0.25">
      <c r="A44" s="257">
        <v>0.3</v>
      </c>
      <c r="B44">
        <f t="shared" si="0"/>
        <v>-215.56552595632078</v>
      </c>
      <c r="C44"/>
    </row>
    <row r="45" spans="1:12" ht="15.75" x14ac:dyDescent="0.25">
      <c r="A45" s="257">
        <f t="shared" ref="A45:A86" si="1">A44*$C$19</f>
        <v>0.375</v>
      </c>
      <c r="B45">
        <f t="shared" si="0"/>
        <v>-129.97220273571122</v>
      </c>
      <c r="C45"/>
    </row>
    <row r="46" spans="1:12" ht="15.75" x14ac:dyDescent="0.25">
      <c r="A46" s="257">
        <f t="shared" si="1"/>
        <v>0.46875</v>
      </c>
      <c r="B46">
        <f t="shared" si="0"/>
        <v>-75.417235700474976</v>
      </c>
      <c r="C46"/>
    </row>
    <row r="47" spans="1:12" ht="15.75" x14ac:dyDescent="0.25">
      <c r="A47" s="257">
        <f t="shared" si="1"/>
        <v>0.5859375</v>
      </c>
      <c r="B47">
        <f t="shared" si="0"/>
        <v>-41.523274712269824</v>
      </c>
      <c r="C47"/>
    </row>
    <row r="48" spans="1:12" ht="15.75" x14ac:dyDescent="0.25">
      <c r="A48" s="257">
        <f t="shared" si="1"/>
        <v>0.732421875</v>
      </c>
      <c r="B48">
        <f t="shared" si="0"/>
        <v>-20.958108195314864</v>
      </c>
      <c r="C48"/>
    </row>
    <row r="49" spans="1:3" ht="15.75" x14ac:dyDescent="0.25">
      <c r="A49" s="257">
        <f t="shared" si="1"/>
        <v>0.91552734375</v>
      </c>
      <c r="B49">
        <f t="shared" si="0"/>
        <v>-8.8224204078353345</v>
      </c>
      <c r="C49"/>
    </row>
    <row r="50" spans="1:3" ht="15.75" x14ac:dyDescent="0.25">
      <c r="A50" s="257">
        <f t="shared" si="1"/>
        <v>1.1444091796875</v>
      </c>
      <c r="B50">
        <f t="shared" si="0"/>
        <v>-1.9294239081593743</v>
      </c>
      <c r="C50"/>
    </row>
    <row r="51" spans="1:3" ht="15.75" x14ac:dyDescent="0.25">
      <c r="A51" s="257">
        <f t="shared" si="1"/>
        <v>1.430511474609375</v>
      </c>
      <c r="B51">
        <f t="shared" si="0"/>
        <v>1.7594284552960948</v>
      </c>
      <c r="C51"/>
    </row>
    <row r="52" spans="1:3" ht="15.75" x14ac:dyDescent="0.25">
      <c r="A52" s="257">
        <f t="shared" si="1"/>
        <v>1.7881393432617188</v>
      </c>
      <c r="B52">
        <f t="shared" si="0"/>
        <v>3.5313277470427784</v>
      </c>
      <c r="C52"/>
    </row>
    <row r="53" spans="1:3" ht="15.75" x14ac:dyDescent="0.25">
      <c r="A53" s="257">
        <f t="shared" si="1"/>
        <v>2.2351741790771484</v>
      </c>
      <c r="B53">
        <f t="shared" si="0"/>
        <v>4.1890741089785397</v>
      </c>
      <c r="C53"/>
    </row>
    <row r="54" spans="1:3" ht="15.75" x14ac:dyDescent="0.25">
      <c r="A54" s="257">
        <f t="shared" si="1"/>
        <v>2.7939677238464355</v>
      </c>
      <c r="B54">
        <f t="shared" si="0"/>
        <v>4.2265749075003418</v>
      </c>
      <c r="C54"/>
    </row>
    <row r="55" spans="1:3" ht="15.75" x14ac:dyDescent="0.25">
      <c r="A55" s="257">
        <f t="shared" si="1"/>
        <v>3.4924596548080444</v>
      </c>
      <c r="B55">
        <f t="shared" si="0"/>
        <v>3.9426235777758496</v>
      </c>
      <c r="C55"/>
    </row>
    <row r="56" spans="1:3" ht="15.75" x14ac:dyDescent="0.25">
      <c r="A56" s="257">
        <f t="shared" si="1"/>
        <v>4.3655745685100555</v>
      </c>
      <c r="B56">
        <f t="shared" si="0"/>
        <v>3.5139504417565646</v>
      </c>
      <c r="C56"/>
    </row>
    <row r="57" spans="1:3" ht="15.75" x14ac:dyDescent="0.25">
      <c r="A57" s="257">
        <f t="shared" si="1"/>
        <v>5.4569682106375694</v>
      </c>
      <c r="B57">
        <f t="shared" si="0"/>
        <v>3.0417554189154781</v>
      </c>
      <c r="C57"/>
    </row>
    <row r="58" spans="1:3" ht="15.75" x14ac:dyDescent="0.25">
      <c r="A58" s="257">
        <f t="shared" si="1"/>
        <v>6.8212102632969618</v>
      </c>
      <c r="B58">
        <f t="shared" si="0"/>
        <v>2.5811311656714881</v>
      </c>
      <c r="C58"/>
    </row>
    <row r="59" spans="1:3" ht="15.75" x14ac:dyDescent="0.25">
      <c r="A59" s="257">
        <f t="shared" si="1"/>
        <v>8.5265128291212022</v>
      </c>
      <c r="B59">
        <f t="shared" si="0"/>
        <v>2.1595238394317993</v>
      </c>
      <c r="C59"/>
    </row>
    <row r="60" spans="1:3" ht="15.75" x14ac:dyDescent="0.25">
      <c r="A60" s="257">
        <f t="shared" si="1"/>
        <v>10.658141036401503</v>
      </c>
      <c r="B60">
        <f t="shared" si="0"/>
        <v>1.7882125171799144</v>
      </c>
      <c r="C60"/>
    </row>
    <row r="61" spans="1:3" ht="15.75" x14ac:dyDescent="0.25">
      <c r="A61" s="257">
        <f t="shared" si="1"/>
        <v>13.322676295501878</v>
      </c>
      <c r="B61">
        <f t="shared" si="0"/>
        <v>1.4693687750553317</v>
      </c>
      <c r="C61"/>
    </row>
    <row r="62" spans="1:3" ht="15.75" x14ac:dyDescent="0.25">
      <c r="A62" s="257">
        <f t="shared" si="1"/>
        <v>16.653345369377348</v>
      </c>
      <c r="B62">
        <f t="shared" si="0"/>
        <v>1.2003358660708676</v>
      </c>
      <c r="C62"/>
    </row>
    <row r="63" spans="1:3" ht="15.75" x14ac:dyDescent="0.25">
      <c r="A63" s="257">
        <f t="shared" si="1"/>
        <v>20.816681711721685</v>
      </c>
      <c r="B63">
        <f t="shared" si="0"/>
        <v>0.97617174226376735</v>
      </c>
      <c r="C63"/>
    </row>
    <row r="64" spans="1:3" ht="15.75" x14ac:dyDescent="0.25">
      <c r="A64" s="257">
        <f t="shared" si="1"/>
        <v>26.020852139652106</v>
      </c>
      <c r="B64">
        <f t="shared" si="0"/>
        <v>0.7911178472718069</v>
      </c>
      <c r="C64"/>
    </row>
    <row r="65" spans="1:3" ht="15.75" x14ac:dyDescent="0.25">
      <c r="A65" s="257">
        <f t="shared" si="1"/>
        <v>32.526065174565133</v>
      </c>
      <c r="B65">
        <f t="shared" si="0"/>
        <v>0.63941104448058694</v>
      </c>
      <c r="C65"/>
    </row>
    <row r="66" spans="1:3" ht="15.75" x14ac:dyDescent="0.25">
      <c r="A66" s="257">
        <f t="shared" si="1"/>
        <v>40.657581468206416</v>
      </c>
      <c r="B66">
        <f t="shared" si="0"/>
        <v>0.51570021795744803</v>
      </c>
      <c r="C66"/>
    </row>
    <row r="67" spans="1:3" ht="15.75" x14ac:dyDescent="0.25">
      <c r="A67" s="257">
        <f t="shared" si="1"/>
        <v>50.82197683525802</v>
      </c>
      <c r="B67">
        <f t="shared" si="0"/>
        <v>0.41523019201123013</v>
      </c>
      <c r="C67"/>
    </row>
    <row r="68" spans="1:3" ht="15.75" x14ac:dyDescent="0.25">
      <c r="A68" s="257">
        <f t="shared" si="1"/>
        <v>63.527471044072527</v>
      </c>
      <c r="B68">
        <f t="shared" si="0"/>
        <v>0.33389313505471896</v>
      </c>
      <c r="C68"/>
    </row>
    <row r="69" spans="1:3" ht="15.75" x14ac:dyDescent="0.25">
      <c r="A69" s="257">
        <f t="shared" si="1"/>
        <v>79.409338805090655</v>
      </c>
      <c r="B69">
        <f t="shared" si="0"/>
        <v>0.26820834316234043</v>
      </c>
      <c r="C69"/>
    </row>
    <row r="70" spans="1:3" ht="15.75" x14ac:dyDescent="0.25">
      <c r="A70" s="257">
        <f t="shared" si="1"/>
        <v>99.261673506363323</v>
      </c>
      <c r="B70">
        <f t="shared" si="0"/>
        <v>0.21526677349524304</v>
      </c>
      <c r="C70"/>
    </row>
    <row r="71" spans="1:3" ht="15.75" x14ac:dyDescent="0.25">
      <c r="A71" s="257">
        <f t="shared" si="1"/>
        <v>124.07709188295415</v>
      </c>
      <c r="B71">
        <f t="shared" si="0"/>
        <v>0.17266150489175744</v>
      </c>
      <c r="C71"/>
    </row>
    <row r="72" spans="1:3" ht="15.75" x14ac:dyDescent="0.25">
      <c r="A72" s="257">
        <f t="shared" si="1"/>
        <v>155.09636485369268</v>
      </c>
      <c r="B72">
        <f t="shared" si="0"/>
        <v>0.13841599065797383</v>
      </c>
      <c r="C72"/>
    </row>
    <row r="73" spans="1:3" ht="15.75" x14ac:dyDescent="0.25">
      <c r="A73" s="257">
        <f t="shared" si="1"/>
        <v>193.87045606711584</v>
      </c>
      <c r="B73">
        <f t="shared" si="0"/>
        <v>0.11091634200082895</v>
      </c>
      <c r="C73"/>
    </row>
    <row r="74" spans="1:3" ht="15.75" x14ac:dyDescent="0.25">
      <c r="A74" s="257">
        <f t="shared" si="1"/>
        <v>242.33807008389479</v>
      </c>
      <c r="B74">
        <f t="shared" si="0"/>
        <v>8.8850548313337607E-2</v>
      </c>
      <c r="C74"/>
    </row>
    <row r="75" spans="1:3" ht="15.75" x14ac:dyDescent="0.25">
      <c r="A75" s="257">
        <f t="shared" si="1"/>
        <v>302.92258760486851</v>
      </c>
      <c r="B75">
        <f t="shared" si="0"/>
        <v>7.1155624027297137E-2</v>
      </c>
      <c r="C75"/>
    </row>
    <row r="76" spans="1:3" ht="15.75" x14ac:dyDescent="0.25">
      <c r="A76" s="257">
        <f t="shared" si="1"/>
        <v>378.65323450608565</v>
      </c>
      <c r="B76">
        <f t="shared" si="0"/>
        <v>5.697261866162294E-2</v>
      </c>
      <c r="C76"/>
    </row>
    <row r="77" spans="1:3" ht="15.75" x14ac:dyDescent="0.25">
      <c r="A77" s="257">
        <f t="shared" si="1"/>
        <v>473.31654313260708</v>
      </c>
      <c r="B77">
        <f t="shared" si="0"/>
        <v>4.5608891779619534E-2</v>
      </c>
      <c r="C77"/>
    </row>
    <row r="78" spans="1:3" ht="15.75" x14ac:dyDescent="0.25">
      <c r="A78" s="257">
        <f t="shared" si="1"/>
        <v>591.64567891575882</v>
      </c>
      <c r="B78">
        <f t="shared" si="0"/>
        <v>3.6506823617196565E-2</v>
      </c>
      <c r="C78"/>
    </row>
    <row r="79" spans="1:3" ht="15.75" x14ac:dyDescent="0.25">
      <c r="A79" s="257">
        <f t="shared" si="1"/>
        <v>739.5570986446985</v>
      </c>
      <c r="B79">
        <f t="shared" si="0"/>
        <v>2.9218073524740609E-2</v>
      </c>
      <c r="C79"/>
    </row>
    <row r="80" spans="1:3" ht="15.75" x14ac:dyDescent="0.25">
      <c r="A80" s="257">
        <f t="shared" si="1"/>
        <v>924.44637330587307</v>
      </c>
      <c r="B80">
        <f t="shared" si="0"/>
        <v>2.3382532238472184E-2</v>
      </c>
      <c r="C80"/>
    </row>
    <row r="81" spans="1:3" ht="15.75" x14ac:dyDescent="0.25">
      <c r="A81" s="257">
        <f t="shared" si="1"/>
        <v>1155.5579666323413</v>
      </c>
      <c r="B81">
        <f t="shared" si="0"/>
        <v>1.8711192806813364E-2</v>
      </c>
      <c r="C81"/>
    </row>
    <row r="82" spans="1:3" ht="15.75" x14ac:dyDescent="0.25">
      <c r="A82" s="257">
        <f t="shared" si="1"/>
        <v>1444.4474582904265</v>
      </c>
      <c r="B82">
        <f t="shared" si="0"/>
        <v>1.4972261150089629E-2</v>
      </c>
      <c r="C82"/>
    </row>
    <row r="83" spans="1:3" ht="15.75" x14ac:dyDescent="0.25">
      <c r="A83" s="257">
        <f t="shared" si="1"/>
        <v>1805.5593228630332</v>
      </c>
      <c r="B83">
        <f t="shared" si="0"/>
        <v>1.1979925346400746E-2</v>
      </c>
      <c r="C83"/>
    </row>
    <row r="84" spans="1:3" ht="15.75" x14ac:dyDescent="0.25">
      <c r="A84" s="257">
        <f t="shared" si="1"/>
        <v>2256.9491535787915</v>
      </c>
      <c r="B84">
        <f t="shared" si="0"/>
        <v>9.5852947937393757E-3</v>
      </c>
      <c r="C84"/>
    </row>
    <row r="85" spans="1:3" ht="15.75" x14ac:dyDescent="0.25">
      <c r="A85" s="257">
        <f t="shared" si="1"/>
        <v>2821.1864419734893</v>
      </c>
      <c r="B85">
        <f t="shared" si="0"/>
        <v>7.6691027275567559E-3</v>
      </c>
      <c r="C85"/>
    </row>
    <row r="86" spans="1:3" ht="15.75" x14ac:dyDescent="0.25">
      <c r="A86" s="257">
        <f t="shared" si="1"/>
        <v>3526.4830524668614</v>
      </c>
      <c r="B86">
        <f>($B$10*$I$1/(A86-$B$14)-$B$13/A86^2)/100</f>
        <v>6.135836994274905E-3</v>
      </c>
      <c r="C86"/>
    </row>
    <row r="87" spans="1:3" ht="15.75" x14ac:dyDescent="0.25">
      <c r="A87"/>
      <c r="B87"/>
      <c r="C87"/>
    </row>
    <row r="88" spans="1:3" ht="15.75" x14ac:dyDescent="0.25">
      <c r="A88"/>
      <c r="B88"/>
      <c r="C88"/>
    </row>
  </sheetData>
  <phoneticPr fontId="3" type="noConversion"/>
  <pageMargins left="0.75" right="0.75" top="1" bottom="1" header="0.5" footer="0.5"/>
  <pageSetup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88"/>
  <sheetViews>
    <sheetView workbookViewId="0"/>
  </sheetViews>
  <sheetFormatPr defaultColWidth="8" defaultRowHeight="12.75" x14ac:dyDescent="0.2"/>
  <cols>
    <col min="1" max="1" width="8" style="2" customWidth="1"/>
    <col min="2" max="2" width="9.375" style="2" customWidth="1"/>
    <col min="3" max="4" width="8" style="2" customWidth="1"/>
    <col min="5" max="5" width="12.5" style="2" bestFit="1" customWidth="1"/>
    <col min="6" max="6" width="9.625" style="2" bestFit="1" customWidth="1"/>
    <col min="7" max="16384" width="8" style="2"/>
  </cols>
  <sheetData>
    <row r="1" spans="1:15" ht="18" x14ac:dyDescent="0.25">
      <c r="A1" s="143" t="str">
        <f>' T = Tb'!A1</f>
        <v>Benzene</v>
      </c>
      <c r="E1" s="2" t="s">
        <v>0</v>
      </c>
      <c r="F1" s="2">
        <v>1</v>
      </c>
      <c r="H1" s="3" t="s">
        <v>1</v>
      </c>
      <c r="I1" s="2">
        <f>' T = Tb'!O8</f>
        <v>271.10155076686613</v>
      </c>
      <c r="J1" s="2" t="s">
        <v>2</v>
      </c>
    </row>
    <row r="2" spans="1:15" ht="15.75" x14ac:dyDescent="0.3">
      <c r="A2" s="4" t="s">
        <v>15</v>
      </c>
      <c r="B2" s="5">
        <f>' T = Tb'!B2</f>
        <v>78.114000000000004</v>
      </c>
      <c r="C2" s="2" t="s">
        <v>3</v>
      </c>
      <c r="E2" s="4" t="s">
        <v>4</v>
      </c>
      <c r="F2" s="2">
        <f>' T = Tb'!F2</f>
        <v>-7.0143300000000002</v>
      </c>
      <c r="H2" s="3" t="s">
        <v>16</v>
      </c>
      <c r="I2" s="2">
        <f>1-I1/B3</f>
        <v>0.51775019430968738</v>
      </c>
      <c r="M2" s="4"/>
    </row>
    <row r="3" spans="1:15" ht="15.75" x14ac:dyDescent="0.3">
      <c r="A3" s="4" t="s">
        <v>17</v>
      </c>
      <c r="B3" s="5">
        <f>' T = Tb'!B3</f>
        <v>562.16</v>
      </c>
      <c r="C3" s="2" t="s">
        <v>2</v>
      </c>
      <c r="E3" s="4" t="s">
        <v>5</v>
      </c>
      <c r="F3" s="2">
        <f>' T = Tb'!F3</f>
        <v>1.5525599999999999</v>
      </c>
      <c r="H3" s="3" t="s">
        <v>6</v>
      </c>
      <c r="I3" s="144">
        <f>(B4*EXP((F2*I2+F3*I2^1.5+F4*I2^2.5+F5*I2^5)/(1-I2)))</f>
        <v>3.1258875210762156E-2</v>
      </c>
      <c r="J3" s="2" t="s">
        <v>7</v>
      </c>
      <c r="M3" s="4"/>
    </row>
    <row r="4" spans="1:15" ht="15.75" x14ac:dyDescent="0.3">
      <c r="A4" s="4" t="s">
        <v>18</v>
      </c>
      <c r="B4" s="5">
        <f>' T = Tb'!B4</f>
        <v>48.98</v>
      </c>
      <c r="C4" s="2" t="s">
        <v>7</v>
      </c>
      <c r="E4" s="4" t="s">
        <v>8</v>
      </c>
      <c r="F4" s="2">
        <f>' T = Tb'!F4</f>
        <v>-1.8479000000000001</v>
      </c>
      <c r="H4" s="3" t="s">
        <v>6</v>
      </c>
      <c r="I4" s="2">
        <f>I3*100</f>
        <v>3.1258875210762156</v>
      </c>
      <c r="J4" s="2" t="s">
        <v>9</v>
      </c>
      <c r="M4" s="4"/>
      <c r="N4" s="6"/>
    </row>
    <row r="5" spans="1:15" ht="15.75" x14ac:dyDescent="0.3">
      <c r="A5" s="4" t="s">
        <v>18</v>
      </c>
      <c r="B5" s="5">
        <f>' T = Tb'!B5</f>
        <v>4898</v>
      </c>
      <c r="C5" s="2" t="s">
        <v>9</v>
      </c>
      <c r="E5" s="4" t="s">
        <v>10</v>
      </c>
      <c r="F5" s="2">
        <f>' T = Tb'!F5</f>
        <v>-3.7130000000000001</v>
      </c>
      <c r="H5" s="4"/>
      <c r="M5" s="4"/>
      <c r="N5" s="6"/>
    </row>
    <row r="6" spans="1:15" ht="15.75" x14ac:dyDescent="0.3">
      <c r="A6" s="4" t="s">
        <v>19</v>
      </c>
      <c r="B6" s="5">
        <f>' T = Tb'!B6</f>
        <v>256</v>
      </c>
      <c r="C6" s="2" t="s">
        <v>20</v>
      </c>
      <c r="E6" s="4" t="s">
        <v>21</v>
      </c>
      <c r="F6" s="2">
        <f>' T = Tb'!F6</f>
        <v>250</v>
      </c>
      <c r="G6" s="7">
        <f>F6/B3</f>
        <v>0.44471324889711117</v>
      </c>
      <c r="H6" s="2" t="s">
        <v>22</v>
      </c>
      <c r="I6" s="2">
        <v>2.5712194055283128E-3</v>
      </c>
    </row>
    <row r="7" spans="1:15" ht="15.75" x14ac:dyDescent="0.3">
      <c r="A7" s="4" t="s">
        <v>19</v>
      </c>
      <c r="B7" s="5">
        <f>' T = Tb'!B7</f>
        <v>0.25600000000000001</v>
      </c>
      <c r="C7" s="8" t="s">
        <v>23</v>
      </c>
      <c r="E7" s="4" t="s">
        <v>24</v>
      </c>
      <c r="F7" s="2">
        <f>' T = Tb'!F7</f>
        <v>562.16</v>
      </c>
      <c r="G7" s="7">
        <f>F7/B3</f>
        <v>1</v>
      </c>
      <c r="H7" s="2" t="s">
        <v>25</v>
      </c>
      <c r="I7" s="2">
        <f>I6/I3</f>
        <v>8.2255659814754453E-2</v>
      </c>
    </row>
    <row r="8" spans="1:15" ht="15.75" x14ac:dyDescent="0.3">
      <c r="A8" s="4" t="s">
        <v>26</v>
      </c>
      <c r="B8" s="5">
        <f>' T = Tb'!B8</f>
        <v>0.26800000000000002</v>
      </c>
      <c r="E8" s="4" t="s">
        <v>27</v>
      </c>
      <c r="F8" s="2">
        <f>' T = Tb'!F8</f>
        <v>353.24</v>
      </c>
      <c r="G8" s="7">
        <f>F8/B3</f>
        <v>0.6283620321616622</v>
      </c>
      <c r="H8" s="2" t="s">
        <v>28</v>
      </c>
    </row>
    <row r="9" spans="1:15" x14ac:dyDescent="0.2">
      <c r="A9" s="9" t="s">
        <v>29</v>
      </c>
      <c r="B9" s="5">
        <f>' T = Tb'!B9</f>
        <v>0.21</v>
      </c>
      <c r="E9" s="4"/>
      <c r="F9" s="2">
        <f>' T = Tb'!F9</f>
        <v>101.325</v>
      </c>
      <c r="K9" s="4"/>
    </row>
    <row r="10" spans="1:15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5" x14ac:dyDescent="0.2">
      <c r="A11" s="10" t="s">
        <v>13</v>
      </c>
      <c r="K11" s="11"/>
      <c r="M11" s="12"/>
    </row>
    <row r="12" spans="1:15" ht="18.75" x14ac:dyDescent="0.3">
      <c r="A12" s="13" t="s">
        <v>31</v>
      </c>
      <c r="B12" s="14">
        <f>27/64*(B10*B3)^2/B5</f>
        <v>1881.7339064250737</v>
      </c>
      <c r="C12" s="15"/>
      <c r="E12" s="16" t="s">
        <v>14</v>
      </c>
      <c r="H12" s="4" t="s">
        <v>32</v>
      </c>
      <c r="I12" s="191">
        <f>(2*B19)-B14-(B10*I1/I4)</f>
        <v>-721.21898592776688</v>
      </c>
      <c r="J12" s="17">
        <f>-(B18+B15+B16)</f>
        <v>-721.21898592776688</v>
      </c>
      <c r="K12" s="6"/>
      <c r="N12" s="4"/>
      <c r="O12" s="18"/>
    </row>
    <row r="13" spans="1:15" ht="18.75" x14ac:dyDescent="0.3">
      <c r="A13" s="13" t="s">
        <v>33</v>
      </c>
      <c r="B13" s="19">
        <v>2959.4655073837321</v>
      </c>
      <c r="C13" s="12">
        <f>' T = Tb'!P8</f>
        <v>2918.6740206666004</v>
      </c>
      <c r="E13" s="193">
        <f>ABS(B10*I1*LN((B16-B14)/(B15-B14))+B13*(1/(B16+B19)-1/(B15+B19))-I4*(B16-B15))</f>
        <v>6.5880366037163185E-5</v>
      </c>
      <c r="F13" s="21">
        <f>E13+E15+E16</f>
        <v>961.88321407337617</v>
      </c>
      <c r="H13" s="4" t="s">
        <v>34</v>
      </c>
      <c r="I13" s="191">
        <f>(B19^2)-(2*B19*B14)-(2*B10*I1*B19/I4)+(B13/I4)</f>
        <v>946.76007611585908</v>
      </c>
      <c r="J13" s="17">
        <f>B15*B16+B15*B18+B18*B16</f>
        <v>946.76007745220454</v>
      </c>
      <c r="K13" s="6"/>
      <c r="L13" s="26">
        <f>B13/B12</f>
        <v>1.5727332633369708</v>
      </c>
      <c r="N13" s="4"/>
      <c r="O13" s="18"/>
    </row>
    <row r="14" spans="1:15" ht="18.75" x14ac:dyDescent="0.5">
      <c r="A14" s="147" t="s">
        <v>35</v>
      </c>
      <c r="B14" s="262">
        <f>B10*B3/8/B5</f>
        <v>0.11928554873417722</v>
      </c>
      <c r="C14" s="263" t="s">
        <v>23</v>
      </c>
      <c r="H14" s="4" t="s">
        <v>36</v>
      </c>
      <c r="I14" s="191">
        <f>(-B14*(B19^2))-(B10*I1*(B19^2)/I4)-(B13*B14/I4)</f>
        <v>-112.93479519909165</v>
      </c>
      <c r="J14" s="17">
        <f>-(B18*B15*B16)</f>
        <v>-112.93479537644542</v>
      </c>
      <c r="K14" s="6"/>
      <c r="L14" s="26">
        <f>B15/B14</f>
        <v>1.1124294512901147</v>
      </c>
      <c r="N14" s="4"/>
      <c r="O14" s="18"/>
    </row>
    <row r="15" spans="1:15" ht="19.5" x14ac:dyDescent="0.5">
      <c r="A15" s="135" t="s">
        <v>37</v>
      </c>
      <c r="B15" s="264">
        <v>0.13269675752520102</v>
      </c>
      <c r="C15" s="263" t="s">
        <v>23</v>
      </c>
      <c r="D15" s="24" t="s">
        <v>38</v>
      </c>
      <c r="E15" s="25">
        <f>1000000*ABS(B15^3+I12*B15^2+I13*B15+I14)</f>
        <v>2.5053736862901133E-5</v>
      </c>
      <c r="K15" s="4"/>
      <c r="L15" s="26">
        <f>B16/B17</f>
        <v>0.99834195425724293</v>
      </c>
    </row>
    <row r="16" spans="1:15" ht="19.5" x14ac:dyDescent="0.5">
      <c r="A16" s="135" t="s">
        <v>39</v>
      </c>
      <c r="B16" s="265">
        <v>719.90408409071586</v>
      </c>
      <c r="C16" s="263" t="s">
        <v>23</v>
      </c>
      <c r="D16" s="24" t="s">
        <v>40</v>
      </c>
      <c r="E16" s="25">
        <f>1000000*ABS(B16^3+I12*B16^2+I13*B16+I14)</f>
        <v>961.88312313927327</v>
      </c>
      <c r="L16" s="26"/>
    </row>
    <row r="17" spans="1:12" ht="19.5" x14ac:dyDescent="0.5">
      <c r="A17" s="139" t="s">
        <v>41</v>
      </c>
      <c r="B17" s="148">
        <f>B10*I1/I4</f>
        <v>721.0997003790327</v>
      </c>
      <c r="C17" s="263" t="s">
        <v>23</v>
      </c>
      <c r="D17" s="24" t="s">
        <v>42</v>
      </c>
      <c r="E17" s="29">
        <f>1000*ABS(B18^3+I12*B18^2+I13*B18+I14)</f>
        <v>1.4024805778944938E-3</v>
      </c>
      <c r="H17" s="12"/>
      <c r="I17" s="4"/>
      <c r="J17" s="17"/>
      <c r="L17" s="25"/>
    </row>
    <row r="18" spans="1:12" ht="19.5" x14ac:dyDescent="0.5">
      <c r="A18" s="135" t="s">
        <v>43</v>
      </c>
      <c r="B18" s="138">
        <f>-I12-B15-B16</f>
        <v>1.1822050795258292</v>
      </c>
      <c r="C18" s="263" t="s">
        <v>23</v>
      </c>
      <c r="D18" s="4"/>
      <c r="E18" s="29"/>
      <c r="H18" s="12"/>
      <c r="I18" s="4"/>
      <c r="J18" s="17"/>
      <c r="L18" s="25"/>
    </row>
    <row r="19" spans="1:12" ht="15.75" x14ac:dyDescent="0.25">
      <c r="A19" s="149" t="s">
        <v>132</v>
      </c>
      <c r="B19" s="259">
        <v>0</v>
      </c>
      <c r="C19" s="258">
        <v>1.2</v>
      </c>
      <c r="D19" s="29"/>
      <c r="E19" s="4"/>
      <c r="H19" s="12"/>
      <c r="I19" s="4"/>
      <c r="J19" s="17"/>
      <c r="L19" s="25"/>
    </row>
    <row r="20" spans="1:12" ht="15.75" x14ac:dyDescent="0.25">
      <c r="A20" s="256" t="s">
        <v>44</v>
      </c>
      <c r="B20" s="256" t="s">
        <v>45</v>
      </c>
      <c r="C20" s="256" t="s">
        <v>169</v>
      </c>
      <c r="D20" s="21"/>
      <c r="I20" s="31"/>
      <c r="J20" s="32"/>
      <c r="K20" s="33"/>
      <c r="L20" s="34"/>
    </row>
    <row r="21" spans="1:12" ht="15.75" x14ac:dyDescent="0.25">
      <c r="A21" s="257">
        <f>B14+0.00001</f>
        <v>0.11929554873417722</v>
      </c>
      <c r="B21">
        <f>($B$10*$I$1/(A21-$B$14)-$B$13/A21^2)/100</f>
        <v>2251997.0267145592</v>
      </c>
      <c r="C21"/>
      <c r="I21" s="34"/>
      <c r="J21" s="34"/>
      <c r="K21" s="34"/>
      <c r="L21" s="34"/>
    </row>
    <row r="22" spans="1:12" ht="15.75" x14ac:dyDescent="0.25">
      <c r="A22" s="257">
        <f>A21*$C$19</f>
        <v>0.14315465848101266</v>
      </c>
      <c r="B22">
        <f t="shared" ref="B22:B85" si="0">($B$10*$I$1/(A22-$B$14)-$B$13/A22^2)/100</f>
        <v>-499.7679560197235</v>
      </c>
      <c r="C22"/>
      <c r="E22" s="195"/>
      <c r="I22" s="34"/>
      <c r="J22" s="34"/>
      <c r="K22" s="34"/>
      <c r="L22" s="34"/>
    </row>
    <row r="23" spans="1:12" ht="15.75" x14ac:dyDescent="0.25">
      <c r="A23" s="257">
        <f t="shared" ref="A23:A86" si="1">A22*$C$19</f>
        <v>0.1717855901772152</v>
      </c>
      <c r="B23">
        <f t="shared" si="0"/>
        <v>-573.5112937583267</v>
      </c>
      <c r="C23"/>
      <c r="I23" s="34"/>
      <c r="J23" s="34"/>
      <c r="K23" s="34"/>
      <c r="L23" s="34"/>
    </row>
    <row r="24" spans="1:12" ht="15.75" x14ac:dyDescent="0.25">
      <c r="A24" s="257">
        <f t="shared" si="1"/>
        <v>0.20614270821265823</v>
      </c>
      <c r="B24">
        <f t="shared" si="0"/>
        <v>-436.91442769841933</v>
      </c>
      <c r="C24"/>
      <c r="I24" s="34"/>
      <c r="J24" s="32"/>
      <c r="K24" s="32"/>
      <c r="L24" s="34"/>
    </row>
    <row r="25" spans="1:12" ht="15.75" x14ac:dyDescent="0.25">
      <c r="A25" s="257">
        <f t="shared" si="1"/>
        <v>0.24737124985518988</v>
      </c>
      <c r="B25">
        <f t="shared" si="0"/>
        <v>-307.64988140037684</v>
      </c>
      <c r="C25"/>
      <c r="I25" s="34"/>
      <c r="J25" s="32"/>
      <c r="K25" s="32"/>
      <c r="L25" s="34"/>
    </row>
    <row r="26" spans="1:12" ht="15.75" x14ac:dyDescent="0.25">
      <c r="A26" s="257">
        <f t="shared" si="1"/>
        <v>0.29684549982622782</v>
      </c>
      <c r="B26">
        <f t="shared" si="0"/>
        <v>-208.90805483385031</v>
      </c>
      <c r="C26"/>
      <c r="I26" s="34"/>
      <c r="J26" s="32"/>
      <c r="K26" s="32"/>
      <c r="L26" s="34"/>
    </row>
    <row r="27" spans="1:12" ht="15.75" x14ac:dyDescent="0.25">
      <c r="A27" s="257">
        <f t="shared" si="1"/>
        <v>0.35621459979147335</v>
      </c>
      <c r="B27">
        <f t="shared" si="0"/>
        <v>-138.09572524703492</v>
      </c>
      <c r="C27"/>
      <c r="I27" s="34"/>
      <c r="J27" s="34"/>
      <c r="K27" s="34"/>
      <c r="L27" s="34"/>
    </row>
    <row r="28" spans="1:12" ht="15.75" x14ac:dyDescent="0.25">
      <c r="A28" s="257">
        <f t="shared" si="1"/>
        <v>0.42745751974976803</v>
      </c>
      <c r="B28">
        <f t="shared" si="0"/>
        <v>-88.823842100879631</v>
      </c>
      <c r="C28"/>
      <c r="I28" s="34"/>
      <c r="J28" s="34"/>
      <c r="K28" s="34"/>
      <c r="L28" s="34"/>
    </row>
    <row r="29" spans="1:12" ht="15.75" x14ac:dyDescent="0.25">
      <c r="A29" s="257">
        <f t="shared" si="1"/>
        <v>0.51294902369972162</v>
      </c>
      <c r="B29">
        <f t="shared" si="0"/>
        <v>-55.21832495391849</v>
      </c>
      <c r="C29"/>
      <c r="D29"/>
      <c r="E29"/>
      <c r="F29"/>
      <c r="I29" s="34"/>
      <c r="J29" s="34"/>
      <c r="K29" s="34"/>
      <c r="L29" s="34"/>
    </row>
    <row r="30" spans="1:12" ht="15.75" x14ac:dyDescent="0.25">
      <c r="A30" s="257">
        <f t="shared" si="1"/>
        <v>0.6155388284396659</v>
      </c>
      <c r="B30">
        <f t="shared" si="0"/>
        <v>-32.687336005965825</v>
      </c>
      <c r="C30"/>
      <c r="D30"/>
      <c r="E30"/>
      <c r="F30"/>
      <c r="I30" s="34"/>
      <c r="J30" s="31"/>
      <c r="K30" s="35"/>
      <c r="L30" s="34"/>
    </row>
    <row r="31" spans="1:12" ht="15.75" x14ac:dyDescent="0.25">
      <c r="A31" s="257">
        <f t="shared" si="1"/>
        <v>0.73864659412759903</v>
      </c>
      <c r="B31">
        <f t="shared" si="0"/>
        <v>-17.848943521635238</v>
      </c>
      <c r="C31"/>
      <c r="D31"/>
      <c r="E31"/>
      <c r="F31"/>
      <c r="I31" s="34"/>
      <c r="J31" s="31"/>
      <c r="K31" s="35"/>
      <c r="L31" s="34"/>
    </row>
    <row r="32" spans="1:12" ht="15.75" x14ac:dyDescent="0.25">
      <c r="A32" s="257">
        <f t="shared" si="1"/>
        <v>0.88637591295311879</v>
      </c>
      <c r="B32">
        <f t="shared" si="0"/>
        <v>-8.2836597969953338</v>
      </c>
      <c r="C32"/>
      <c r="D32"/>
      <c r="E32"/>
      <c r="F32"/>
      <c r="I32" s="34"/>
      <c r="J32" s="31"/>
      <c r="K32" s="36"/>
      <c r="L32" s="34"/>
    </row>
    <row r="33" spans="1:12" ht="15.75" x14ac:dyDescent="0.25">
      <c r="A33" s="257">
        <f t="shared" si="1"/>
        <v>1.0636510955437426</v>
      </c>
      <c r="B33">
        <f t="shared" si="0"/>
        <v>-2.2899373310144484</v>
      </c>
      <c r="C33"/>
      <c r="D33"/>
      <c r="E33"/>
      <c r="F33"/>
      <c r="I33" s="34"/>
      <c r="J33" s="31"/>
      <c r="K33" s="33"/>
      <c r="L33" s="34"/>
    </row>
    <row r="34" spans="1:12" ht="15.75" x14ac:dyDescent="0.25">
      <c r="A34" s="257">
        <f t="shared" si="1"/>
        <v>1.2763813146524912</v>
      </c>
      <c r="B34">
        <f t="shared" si="0"/>
        <v>1.3147554441710736</v>
      </c>
      <c r="C34"/>
      <c r="D34"/>
      <c r="E34"/>
      <c r="F34"/>
      <c r="I34" s="34"/>
      <c r="J34" s="34"/>
      <c r="K34" s="34"/>
      <c r="L34" s="34"/>
    </row>
    <row r="35" spans="1:12" ht="15.75" x14ac:dyDescent="0.25">
      <c r="A35" s="257">
        <f t="shared" si="1"/>
        <v>1.5316575775829893</v>
      </c>
      <c r="B35">
        <f t="shared" si="0"/>
        <v>3.3444327534341052</v>
      </c>
      <c r="C35"/>
      <c r="D35"/>
      <c r="E35"/>
      <c r="F35"/>
      <c r="I35" s="34"/>
      <c r="J35" s="34"/>
      <c r="K35" s="34"/>
      <c r="L35" s="34"/>
    </row>
    <row r="36" spans="1:12" ht="15.75" x14ac:dyDescent="0.25">
      <c r="A36" s="257">
        <f t="shared" si="1"/>
        <v>1.837989093099587</v>
      </c>
      <c r="B36">
        <f t="shared" si="0"/>
        <v>4.3545113845238532</v>
      </c>
      <c r="C36"/>
      <c r="D36"/>
      <c r="E36"/>
      <c r="F36"/>
    </row>
    <row r="37" spans="1:12" ht="15.75" x14ac:dyDescent="0.25">
      <c r="A37" s="257">
        <f t="shared" si="1"/>
        <v>2.2055869117195042</v>
      </c>
      <c r="B37">
        <f t="shared" si="0"/>
        <v>4.7205153013515959</v>
      </c>
      <c r="C37"/>
      <c r="D37"/>
      <c r="E37"/>
      <c r="F37"/>
    </row>
    <row r="38" spans="1:12" ht="15.75" x14ac:dyDescent="0.25">
      <c r="A38" s="257">
        <f t="shared" si="1"/>
        <v>2.6467042940634049</v>
      </c>
      <c r="B38">
        <f t="shared" si="0"/>
        <v>4.6937288150132863</v>
      </c>
      <c r="C38"/>
      <c r="D38"/>
      <c r="E38"/>
      <c r="F38"/>
    </row>
    <row r="39" spans="1:12" ht="15.75" x14ac:dyDescent="0.25">
      <c r="A39" s="257">
        <f t="shared" si="1"/>
        <v>3.1760451528760858</v>
      </c>
      <c r="B39">
        <f t="shared" si="0"/>
        <v>4.4402082594839074</v>
      </c>
      <c r="C39"/>
      <c r="D39"/>
      <c r="E39"/>
      <c r="F39"/>
    </row>
    <row r="40" spans="1:12" ht="15.75" x14ac:dyDescent="0.25">
      <c r="A40" s="257">
        <f t="shared" si="1"/>
        <v>3.811254183451303</v>
      </c>
      <c r="B40">
        <f t="shared" si="0"/>
        <v>4.0679459048271029</v>
      </c>
      <c r="C40"/>
    </row>
    <row r="41" spans="1:12" ht="15.75" x14ac:dyDescent="0.25">
      <c r="A41" s="257">
        <f t="shared" si="1"/>
        <v>4.573505020141563</v>
      </c>
      <c r="B41">
        <f t="shared" si="0"/>
        <v>3.6456773215260556</v>
      </c>
      <c r="C41"/>
    </row>
    <row r="42" spans="1:12" ht="15.75" x14ac:dyDescent="0.25">
      <c r="A42" s="257">
        <f t="shared" si="1"/>
        <v>5.4882060241698758</v>
      </c>
      <c r="B42">
        <f t="shared" si="0"/>
        <v>3.2158344330336126</v>
      </c>
      <c r="C42"/>
    </row>
    <row r="43" spans="1:12" ht="15.75" x14ac:dyDescent="0.25">
      <c r="A43" s="257">
        <f t="shared" si="1"/>
        <v>6.5858472290038508</v>
      </c>
      <c r="B43">
        <f t="shared" si="0"/>
        <v>2.8034190365636285</v>
      </c>
      <c r="C43"/>
    </row>
    <row r="44" spans="1:12" ht="15.75" x14ac:dyDescent="0.25">
      <c r="A44" s="257">
        <f t="shared" si="1"/>
        <v>7.9030166748046202</v>
      </c>
      <c r="B44">
        <f t="shared" si="0"/>
        <v>2.4220464504396735</v>
      </c>
      <c r="C44"/>
    </row>
    <row r="45" spans="1:12" ht="15.75" x14ac:dyDescent="0.25">
      <c r="A45" s="257">
        <f t="shared" si="1"/>
        <v>9.4836200097655432</v>
      </c>
      <c r="B45">
        <f t="shared" si="0"/>
        <v>2.0780344175740275</v>
      </c>
      <c r="C45"/>
    </row>
    <row r="46" spans="1:12" ht="15.75" x14ac:dyDescent="0.25">
      <c r="A46" s="257">
        <f t="shared" si="1"/>
        <v>11.380344011718652</v>
      </c>
      <c r="B46">
        <f t="shared" si="0"/>
        <v>1.7731474525841548</v>
      </c>
      <c r="C46"/>
    </row>
    <row r="47" spans="1:12" ht="15.75" x14ac:dyDescent="0.25">
      <c r="A47" s="257">
        <f t="shared" si="1"/>
        <v>13.656412814062381</v>
      </c>
      <c r="B47">
        <f t="shared" si="0"/>
        <v>1.5064205028726105</v>
      </c>
      <c r="C47"/>
    </row>
    <row r="48" spans="1:12" ht="15.75" x14ac:dyDescent="0.25">
      <c r="A48" s="257">
        <f t="shared" si="1"/>
        <v>16.387695376874856</v>
      </c>
      <c r="B48">
        <f t="shared" si="0"/>
        <v>1.2753553564167099</v>
      </c>
      <c r="C48"/>
    </row>
    <row r="49" spans="1:3" ht="15.75" x14ac:dyDescent="0.25">
      <c r="A49" s="257">
        <f t="shared" si="1"/>
        <v>19.665234452249827</v>
      </c>
      <c r="B49">
        <f t="shared" si="0"/>
        <v>1.0766922424586034</v>
      </c>
      <c r="C49"/>
    </row>
    <row r="50" spans="1:3" ht="15.75" x14ac:dyDescent="0.25">
      <c r="A50" s="257">
        <f t="shared" si="1"/>
        <v>23.598281342699792</v>
      </c>
      <c r="B50">
        <f t="shared" si="0"/>
        <v>0.90689580100836364</v>
      </c>
      <c r="C50"/>
    </row>
    <row r="51" spans="1:3" ht="15.75" x14ac:dyDescent="0.25">
      <c r="A51" s="257">
        <f t="shared" si="1"/>
        <v>28.317937611239749</v>
      </c>
      <c r="B51">
        <f t="shared" si="0"/>
        <v>0.76245072525298763</v>
      </c>
      <c r="C51"/>
    </row>
    <row r="52" spans="1:3" ht="15.75" x14ac:dyDescent="0.25">
      <c r="A52" s="257">
        <f t="shared" si="1"/>
        <v>33.9815251334877</v>
      </c>
      <c r="B52">
        <f t="shared" si="0"/>
        <v>0.64003204432578098</v>
      </c>
      <c r="C52"/>
    </row>
    <row r="53" spans="1:3" ht="15.75" x14ac:dyDescent="0.25">
      <c r="A53" s="257">
        <f t="shared" si="1"/>
        <v>40.777830160185239</v>
      </c>
      <c r="B53">
        <f t="shared" si="0"/>
        <v>0.53659409650555823</v>
      </c>
      <c r="C53"/>
    </row>
    <row r="54" spans="1:3" ht="15.75" x14ac:dyDescent="0.25">
      <c r="A54" s="257">
        <f t="shared" si="1"/>
        <v>48.933396192222283</v>
      </c>
      <c r="B54">
        <f t="shared" si="0"/>
        <v>0.44940786482342182</v>
      </c>
      <c r="C54"/>
    </row>
    <row r="55" spans="1:3" ht="15.75" x14ac:dyDescent="0.25">
      <c r="A55" s="257">
        <f t="shared" si="1"/>
        <v>58.720075430666739</v>
      </c>
      <c r="B55">
        <f t="shared" si="0"/>
        <v>0.37606649843980983</v>
      </c>
      <c r="C55"/>
    </row>
    <row r="56" spans="1:3" ht="15.75" x14ac:dyDescent="0.25">
      <c r="A56" s="257">
        <f t="shared" si="1"/>
        <v>70.464090516800084</v>
      </c>
      <c r="B56">
        <f t="shared" si="0"/>
        <v>0.31447212460743251</v>
      </c>
      <c r="C56"/>
    </row>
    <row r="57" spans="1:3" ht="15.75" x14ac:dyDescent="0.25">
      <c r="A57" s="257">
        <f t="shared" si="1"/>
        <v>84.556908620160101</v>
      </c>
      <c r="B57">
        <f t="shared" si="0"/>
        <v>0.26281249514560689</v>
      </c>
      <c r="C57"/>
    </row>
    <row r="58" spans="1:3" ht="15.75" x14ac:dyDescent="0.25">
      <c r="A58" s="257">
        <f t="shared" si="1"/>
        <v>101.46829034419211</v>
      </c>
      <c r="B58">
        <f t="shared" si="0"/>
        <v>0.21953293371676508</v>
      </c>
      <c r="C58"/>
    </row>
    <row r="59" spans="1:3" ht="15.75" x14ac:dyDescent="0.25">
      <c r="A59" s="257">
        <f t="shared" si="1"/>
        <v>121.76194841303052</v>
      </c>
      <c r="B59">
        <f t="shared" si="0"/>
        <v>0.1833069889931444</v>
      </c>
      <c r="C59"/>
    </row>
    <row r="60" spans="1:3" ht="15.75" x14ac:dyDescent="0.25">
      <c r="A60" s="257">
        <f t="shared" si="1"/>
        <v>146.11433809563661</v>
      </c>
      <c r="B60">
        <f t="shared" si="0"/>
        <v>0.15300783154310557</v>
      </c>
      <c r="C60"/>
    </row>
    <row r="61" spans="1:3" ht="15.75" x14ac:dyDescent="0.25">
      <c r="A61" s="257">
        <f t="shared" si="1"/>
        <v>175.33720571476394</v>
      </c>
      <c r="B61">
        <f t="shared" si="0"/>
        <v>0.12768153666146534</v>
      </c>
      <c r="C61"/>
    </row>
    <row r="62" spans="1:3" ht="15.75" x14ac:dyDescent="0.25">
      <c r="A62" s="257">
        <f t="shared" si="1"/>
        <v>210.40464685771673</v>
      </c>
      <c r="B62">
        <f t="shared" si="0"/>
        <v>0.10652281857062786</v>
      </c>
      <c r="C62"/>
    </row>
    <row r="63" spans="1:3" ht="15.75" x14ac:dyDescent="0.25">
      <c r="A63" s="257">
        <f t="shared" si="1"/>
        <v>252.48557622926006</v>
      </c>
      <c r="B63">
        <f t="shared" si="0"/>
        <v>8.885341863445452E-2</v>
      </c>
      <c r="C63"/>
    </row>
    <row r="64" spans="1:3" ht="15.75" x14ac:dyDescent="0.25">
      <c r="A64" s="257">
        <f t="shared" si="1"/>
        <v>302.98269147511206</v>
      </c>
      <c r="B64">
        <f t="shared" si="0"/>
        <v>7.4103129849765026E-2</v>
      </c>
      <c r="C64"/>
    </row>
    <row r="65" spans="1:3" ht="15.75" x14ac:dyDescent="0.25">
      <c r="A65" s="257">
        <f t="shared" si="1"/>
        <v>363.57922977013448</v>
      </c>
      <c r="B65">
        <f t="shared" si="0"/>
        <v>6.1793313185718658E-2</v>
      </c>
      <c r="C65"/>
    </row>
    <row r="66" spans="1:3" ht="15.75" x14ac:dyDescent="0.25">
      <c r="A66" s="257">
        <f t="shared" si="1"/>
        <v>436.29507572416134</v>
      </c>
      <c r="B66">
        <f t="shared" si="0"/>
        <v>5.1522695340495514E-2</v>
      </c>
      <c r="C66"/>
    </row>
    <row r="67" spans="1:3" ht="15.75" x14ac:dyDescent="0.25">
      <c r="A67" s="257">
        <f t="shared" si="1"/>
        <v>523.55409086899363</v>
      </c>
      <c r="B67">
        <f t="shared" si="0"/>
        <v>4.295520998456049E-2</v>
      </c>
      <c r="C67"/>
    </row>
    <row r="68" spans="1:3" ht="15.75" x14ac:dyDescent="0.25">
      <c r="A68" s="257">
        <f t="shared" si="1"/>
        <v>628.26490904279228</v>
      </c>
      <c r="B68">
        <f t="shared" si="0"/>
        <v>3.5809640749740794E-2</v>
      </c>
      <c r="C68"/>
    </row>
    <row r="69" spans="1:3" ht="15.75" x14ac:dyDescent="0.25">
      <c r="A69" s="257">
        <f t="shared" si="1"/>
        <v>753.91789085135076</v>
      </c>
      <c r="B69">
        <f t="shared" si="0"/>
        <v>2.9850834322127043E-2</v>
      </c>
      <c r="C69"/>
    </row>
    <row r="70" spans="1:3" ht="15.75" x14ac:dyDescent="0.25">
      <c r="A70" s="257">
        <f t="shared" si="1"/>
        <v>904.70146902162094</v>
      </c>
      <c r="B70">
        <f t="shared" si="0"/>
        <v>2.4882269633432434E-2</v>
      </c>
      <c r="C70"/>
    </row>
    <row r="71" spans="1:3" ht="15.75" x14ac:dyDescent="0.25">
      <c r="A71" s="257">
        <f t="shared" si="1"/>
        <v>1085.6417628259451</v>
      </c>
      <c r="B71">
        <f t="shared" si="0"/>
        <v>2.0739790247839215E-2</v>
      </c>
      <c r="C71"/>
    </row>
    <row r="72" spans="1:3" ht="15.75" x14ac:dyDescent="0.25">
      <c r="A72" s="257">
        <f t="shared" si="1"/>
        <v>1302.7701153911341</v>
      </c>
      <c r="B72">
        <f t="shared" si="0"/>
        <v>1.7286329075768814E-2</v>
      </c>
      <c r="C72"/>
    </row>
    <row r="73" spans="1:3" ht="15.75" x14ac:dyDescent="0.25">
      <c r="A73" s="257">
        <f t="shared" si="1"/>
        <v>1563.3241384693608</v>
      </c>
      <c r="B73">
        <f t="shared" si="0"/>
        <v>1.440747599824021E-2</v>
      </c>
      <c r="C73"/>
    </row>
    <row r="74" spans="1:3" ht="15.75" x14ac:dyDescent="0.25">
      <c r="A74" s="257">
        <f t="shared" si="1"/>
        <v>1875.9889661632328</v>
      </c>
      <c r="B74">
        <f t="shared" si="0"/>
        <v>1.2007759008665657E-2</v>
      </c>
      <c r="C74"/>
    </row>
    <row r="75" spans="1:3" ht="15.75" x14ac:dyDescent="0.25">
      <c r="A75" s="257">
        <f t="shared" si="1"/>
        <v>2251.1867593958791</v>
      </c>
      <c r="B75">
        <f t="shared" si="0"/>
        <v>1.0007527655620921E-2</v>
      </c>
      <c r="C75"/>
    </row>
    <row r="76" spans="1:3" ht="15.75" x14ac:dyDescent="0.25">
      <c r="A76" s="257">
        <f t="shared" si="1"/>
        <v>2701.4241112750547</v>
      </c>
      <c r="B76">
        <f t="shared" si="0"/>
        <v>8.3403437526897734E-3</v>
      </c>
      <c r="C76"/>
    </row>
    <row r="77" spans="1:3" ht="15.75" x14ac:dyDescent="0.25">
      <c r="A77" s="257">
        <f t="shared" si="1"/>
        <v>3241.7089335300657</v>
      </c>
      <c r="B77">
        <f t="shared" si="0"/>
        <v>6.9507985259907182E-3</v>
      </c>
      <c r="C77"/>
    </row>
    <row r="78" spans="1:3" ht="15.75" x14ac:dyDescent="0.25">
      <c r="A78" s="257">
        <f t="shared" si="1"/>
        <v>3890.0507202360786</v>
      </c>
      <c r="B78">
        <f t="shared" si="0"/>
        <v>5.7926877064550563E-3</v>
      </c>
      <c r="C78"/>
    </row>
    <row r="79" spans="1:3" ht="15.75" x14ac:dyDescent="0.25">
      <c r="A79" s="257">
        <f t="shared" si="1"/>
        <v>4668.060864283294</v>
      </c>
      <c r="B79">
        <f t="shared" si="0"/>
        <v>4.8274867011169828E-3</v>
      </c>
      <c r="C79"/>
    </row>
    <row r="80" spans="1:3" ht="15.75" x14ac:dyDescent="0.25">
      <c r="A80" s="257">
        <f t="shared" si="1"/>
        <v>5601.6730371399526</v>
      </c>
      <c r="B80">
        <f t="shared" si="0"/>
        <v>4.0230770745204114E-3</v>
      </c>
      <c r="C80"/>
    </row>
    <row r="81" spans="1:3" ht="15.75" x14ac:dyDescent="0.25">
      <c r="A81" s="257">
        <f t="shared" si="1"/>
        <v>6722.0076445679433</v>
      </c>
      <c r="B81">
        <f t="shared" si="0"/>
        <v>3.352683319315675E-3</v>
      </c>
      <c r="C81"/>
    </row>
    <row r="82" spans="1:3" ht="15.75" x14ac:dyDescent="0.25">
      <c r="A82" s="257">
        <f t="shared" si="1"/>
        <v>8066.409173481532</v>
      </c>
      <c r="B82">
        <f t="shared" si="0"/>
        <v>2.7939854679200809E-3</v>
      </c>
      <c r="C82"/>
    </row>
    <row r="83" spans="1:3" ht="15.75" x14ac:dyDescent="0.25">
      <c r="A83" s="257">
        <f t="shared" si="1"/>
        <v>9679.6910081778387</v>
      </c>
      <c r="B83">
        <f t="shared" si="0"/>
        <v>2.3283786551198593E-3</v>
      </c>
      <c r="C83"/>
    </row>
    <row r="84" spans="1:3" ht="15.75" x14ac:dyDescent="0.25">
      <c r="A84" s="257">
        <f t="shared" si="1"/>
        <v>11615.629209813405</v>
      </c>
      <c r="B84">
        <f t="shared" si="0"/>
        <v>1.9403554291825636E-3</v>
      </c>
      <c r="C84"/>
    </row>
    <row r="85" spans="1:3" ht="15.75" x14ac:dyDescent="0.25">
      <c r="A85" s="257">
        <f t="shared" si="1"/>
        <v>13938.755051776086</v>
      </c>
      <c r="B85">
        <f t="shared" si="0"/>
        <v>1.6169905543634941E-3</v>
      </c>
      <c r="C85"/>
    </row>
    <row r="86" spans="1:3" ht="15.75" x14ac:dyDescent="0.25">
      <c r="A86" s="257">
        <f t="shared" si="1"/>
        <v>16726.506062131302</v>
      </c>
      <c r="B86">
        <f>($B$10*$I$1/(A86-$B$14)-$B$13/A86^2)/100</f>
        <v>1.3475113624696086E-3</v>
      </c>
      <c r="C86"/>
    </row>
    <row r="87" spans="1:3" ht="15.75" x14ac:dyDescent="0.25">
      <c r="A87"/>
      <c r="B87"/>
      <c r="C87"/>
    </row>
    <row r="88" spans="1:3" ht="15.75" x14ac:dyDescent="0.25">
      <c r="A88"/>
      <c r="B88"/>
      <c r="C88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88"/>
  <sheetViews>
    <sheetView workbookViewId="0"/>
  </sheetViews>
  <sheetFormatPr defaultColWidth="8" defaultRowHeight="12.75" x14ac:dyDescent="0.2"/>
  <cols>
    <col min="1" max="1" width="8" style="2" customWidth="1"/>
    <col min="2" max="2" width="8.375" style="2" bestFit="1" customWidth="1"/>
    <col min="3" max="4" width="8" style="2" customWidth="1"/>
    <col min="5" max="5" width="11.625" style="2" customWidth="1"/>
    <col min="6" max="12" width="8" style="2" customWidth="1"/>
    <col min="13" max="13" width="9.25" style="2" bestFit="1" customWidth="1"/>
    <col min="14" max="16384" width="8" style="2"/>
  </cols>
  <sheetData>
    <row r="1" spans="1:15" ht="18" x14ac:dyDescent="0.25">
      <c r="A1" s="143" t="str">
        <f>' T = Tb'!A1</f>
        <v>Benzene</v>
      </c>
      <c r="E1" s="2" t="s">
        <v>0</v>
      </c>
      <c r="F1" s="2">
        <v>1</v>
      </c>
      <c r="H1" s="3" t="s">
        <v>1</v>
      </c>
      <c r="I1" s="2">
        <f>' T = Tb'!O9</f>
        <v>282.31112875524661</v>
      </c>
      <c r="J1" s="2" t="s">
        <v>2</v>
      </c>
    </row>
    <row r="2" spans="1:15" ht="15.75" x14ac:dyDescent="0.3">
      <c r="A2" s="4" t="s">
        <v>15</v>
      </c>
      <c r="B2" s="5">
        <f>' T = Tb'!B2</f>
        <v>78.114000000000004</v>
      </c>
      <c r="C2" s="2" t="s">
        <v>3</v>
      </c>
      <c r="E2" s="4" t="s">
        <v>4</v>
      </c>
      <c r="F2" s="2">
        <f>' T = Tb'!F2</f>
        <v>-7.0143300000000002</v>
      </c>
      <c r="H2" s="3" t="s">
        <v>16</v>
      </c>
      <c r="I2" s="2">
        <f>1-I1/B3</f>
        <v>0.49781000292577449</v>
      </c>
      <c r="M2" s="4"/>
    </row>
    <row r="3" spans="1:15" ht="15.75" x14ac:dyDescent="0.3">
      <c r="A3" s="4" t="s">
        <v>17</v>
      </c>
      <c r="B3" s="5">
        <f>' T = Tb'!B3</f>
        <v>562.16</v>
      </c>
      <c r="C3" s="2" t="s">
        <v>2</v>
      </c>
      <c r="E3" s="4" t="s">
        <v>5</v>
      </c>
      <c r="F3" s="2">
        <f>' T = Tb'!F3</f>
        <v>1.5525599999999999</v>
      </c>
      <c r="H3" s="3" t="s">
        <v>6</v>
      </c>
      <c r="I3" s="144">
        <f>(B4*EXP((F2*I2+F3*I2^1.5+F4*I2^2.5+F5*I2^5)/(1-I2)))</f>
        <v>5.811723116708116E-2</v>
      </c>
      <c r="J3" s="2" t="s">
        <v>7</v>
      </c>
      <c r="M3" s="4"/>
    </row>
    <row r="4" spans="1:15" ht="15.75" x14ac:dyDescent="0.3">
      <c r="A4" s="4" t="s">
        <v>18</v>
      </c>
      <c r="B4" s="5">
        <f>' T = Tb'!B4</f>
        <v>48.98</v>
      </c>
      <c r="C4" s="2" t="s">
        <v>7</v>
      </c>
      <c r="E4" s="4" t="s">
        <v>8</v>
      </c>
      <c r="F4" s="2">
        <f>' T = Tb'!F4</f>
        <v>-1.8479000000000001</v>
      </c>
      <c r="H4" s="3" t="s">
        <v>6</v>
      </c>
      <c r="I4" s="2">
        <f>I3*100</f>
        <v>5.8117231167081158</v>
      </c>
      <c r="J4" s="2" t="s">
        <v>9</v>
      </c>
      <c r="M4" s="4"/>
      <c r="N4" s="6"/>
    </row>
    <row r="5" spans="1:15" ht="15.75" x14ac:dyDescent="0.3">
      <c r="A5" s="4" t="s">
        <v>18</v>
      </c>
      <c r="B5" s="5">
        <f>' T = Tb'!B5</f>
        <v>4898</v>
      </c>
      <c r="C5" s="2" t="s">
        <v>9</v>
      </c>
      <c r="E5" s="4" t="s">
        <v>10</v>
      </c>
      <c r="F5" s="2">
        <f>' T = Tb'!F5</f>
        <v>-3.7130000000000001</v>
      </c>
      <c r="H5" s="4"/>
      <c r="M5" s="4"/>
      <c r="N5" s="6"/>
    </row>
    <row r="6" spans="1:15" ht="15.75" x14ac:dyDescent="0.3">
      <c r="A6" s="4" t="s">
        <v>19</v>
      </c>
      <c r="B6" s="5">
        <f>' T = Tb'!B6</f>
        <v>256</v>
      </c>
      <c r="C6" s="2" t="s">
        <v>20</v>
      </c>
      <c r="E6" s="4" t="s">
        <v>21</v>
      </c>
      <c r="F6" s="2">
        <f>' T = Tb'!F6</f>
        <v>250</v>
      </c>
      <c r="G6" s="7">
        <f>F6/B3</f>
        <v>0.44471324889711117</v>
      </c>
      <c r="H6" s="2" t="s">
        <v>22</v>
      </c>
      <c r="I6" s="2">
        <v>2.5712194055283128E-3</v>
      </c>
    </row>
    <row r="7" spans="1:15" ht="15.75" x14ac:dyDescent="0.3">
      <c r="A7" s="4" t="s">
        <v>19</v>
      </c>
      <c r="B7" s="5">
        <f>' T = Tb'!B7</f>
        <v>0.25600000000000001</v>
      </c>
      <c r="C7" s="8" t="s">
        <v>23</v>
      </c>
      <c r="E7" s="4" t="s">
        <v>24</v>
      </c>
      <c r="F7" s="2">
        <f>' T = Tb'!F7</f>
        <v>562.16</v>
      </c>
      <c r="G7" s="7">
        <f>F7/B3</f>
        <v>1</v>
      </c>
      <c r="H7" s="2" t="s">
        <v>25</v>
      </c>
      <c r="I7" s="2">
        <f>I6/I3</f>
        <v>4.4241946044131335E-2</v>
      </c>
    </row>
    <row r="8" spans="1:15" ht="15.75" x14ac:dyDescent="0.3">
      <c r="A8" s="4" t="s">
        <v>26</v>
      </c>
      <c r="B8" s="5">
        <f>' T = Tb'!B8</f>
        <v>0.26800000000000002</v>
      </c>
      <c r="E8" s="4" t="s">
        <v>27</v>
      </c>
      <c r="F8" s="18">
        <f>' T = Tb'!F8</f>
        <v>353.24</v>
      </c>
      <c r="G8" s="7">
        <f>F8/B3</f>
        <v>0.6283620321616622</v>
      </c>
      <c r="H8" s="2" t="s">
        <v>28</v>
      </c>
    </row>
    <row r="9" spans="1:15" x14ac:dyDescent="0.2">
      <c r="A9" s="9" t="s">
        <v>29</v>
      </c>
      <c r="B9" s="5">
        <f>' T = Tb'!B9</f>
        <v>0.21</v>
      </c>
      <c r="E9" s="4"/>
      <c r="F9" s="2">
        <f>' T = Tb'!F9</f>
        <v>101.325</v>
      </c>
      <c r="K9" s="4"/>
    </row>
    <row r="10" spans="1:15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5" x14ac:dyDescent="0.2">
      <c r="A11" s="10" t="s">
        <v>13</v>
      </c>
      <c r="K11" s="11"/>
      <c r="M11" s="12"/>
    </row>
    <row r="12" spans="1:15" ht="18.75" x14ac:dyDescent="0.3">
      <c r="A12" s="13" t="s">
        <v>31</v>
      </c>
      <c r="B12" s="14">
        <f>27/64*(B10*B3)^2/B5</f>
        <v>1881.7339064250737</v>
      </c>
      <c r="C12" s="15"/>
      <c r="E12" s="16" t="s">
        <v>14</v>
      </c>
      <c r="H12" s="4" t="s">
        <v>32</v>
      </c>
      <c r="I12" s="191">
        <f>(2*B19)-B14-(B10*I1/I4)</f>
        <v>-404.00616315971274</v>
      </c>
      <c r="J12" s="17">
        <f>-(B18+B15+B16)</f>
        <v>-404.00616315971274</v>
      </c>
      <c r="K12" s="6"/>
      <c r="N12" s="4"/>
      <c r="O12" s="18"/>
    </row>
    <row r="13" spans="1:15" ht="18.75" x14ac:dyDescent="0.3">
      <c r="A13" s="13" t="s">
        <v>33</v>
      </c>
      <c r="B13" s="19">
        <v>2900.9771382066147</v>
      </c>
      <c r="C13" s="12">
        <f>' T = Tb'!P9</f>
        <v>2869.7491194898312</v>
      </c>
      <c r="E13" s="193">
        <f>ABS(B10*I1*LN((B16-B14)/(B15-B14))+B13*(1/(B16+B19)-1/(B15+B19))-I4*(B16-B15))</f>
        <v>5.0193192237202311E-5</v>
      </c>
      <c r="F13" s="21">
        <f>E13+E15+E16</f>
        <v>5171.7519720502296</v>
      </c>
      <c r="H13" s="4" t="s">
        <v>34</v>
      </c>
      <c r="I13" s="191">
        <f>(B19^2)-(2*B19*B14)-(2*B10*I1*B19/I4)+(B13/I4)</f>
        <v>499.15955732071939</v>
      </c>
      <c r="J13" s="17">
        <f>B15*B16+B15*B18+B18*B16</f>
        <v>499.15955860521649</v>
      </c>
      <c r="K13" s="6"/>
      <c r="L13" s="26">
        <f>B13/B12</f>
        <v>1.5416510954611558</v>
      </c>
      <c r="N13" s="4"/>
      <c r="O13" s="18"/>
    </row>
    <row r="14" spans="1:15" ht="18.75" x14ac:dyDescent="0.5">
      <c r="A14" s="147" t="s">
        <v>35</v>
      </c>
      <c r="B14" s="262">
        <f>B10*B3/8/B5</f>
        <v>0.11928554873417722</v>
      </c>
      <c r="C14" s="263" t="s">
        <v>23</v>
      </c>
      <c r="H14" s="4" t="s">
        <v>36</v>
      </c>
      <c r="I14" s="191">
        <f>(-B14*(B19^2))-(B10*I1*(B19^2)/I4)-(B13*B14/I4)</f>
        <v>-59.542521700910996</v>
      </c>
      <c r="J14" s="17">
        <f>-(B18*B15*B16)</f>
        <v>-59.542521872737012</v>
      </c>
      <c r="K14" s="6"/>
      <c r="L14" s="26">
        <f>B15/B14</f>
        <v>1.1213625573959694</v>
      </c>
      <c r="N14" s="4"/>
      <c r="O14" s="18"/>
    </row>
    <row r="15" spans="1:15" ht="19.5" x14ac:dyDescent="0.5">
      <c r="A15" s="135" t="s">
        <v>37</v>
      </c>
      <c r="B15" s="264">
        <v>0.13376234798893852</v>
      </c>
      <c r="C15" s="263" t="s">
        <v>23</v>
      </c>
      <c r="D15" s="24" t="s">
        <v>38</v>
      </c>
      <c r="E15" s="25">
        <f>1000000*ABS(B15^3+I12*B15^2+I13*B15+I14)</f>
        <v>8.6615159489156213E-6</v>
      </c>
      <c r="K15" s="4"/>
      <c r="L15" s="26">
        <f>B16/B17</f>
        <v>0.99722775683553677</v>
      </c>
    </row>
    <row r="16" spans="1:15" ht="19.5" x14ac:dyDescent="0.5">
      <c r="A16" s="135" t="s">
        <v>39</v>
      </c>
      <c r="B16" s="265">
        <v>402.76720497530511</v>
      </c>
      <c r="C16" s="263" t="s">
        <v>23</v>
      </c>
      <c r="D16" s="24" t="s">
        <v>40</v>
      </c>
      <c r="E16" s="25">
        <f>10000000*ABS(B16^3+I12*B16^2+I13*B16+I14)</f>
        <v>5171.7519131955214</v>
      </c>
      <c r="L16" s="26"/>
    </row>
    <row r="17" spans="1:12" ht="19.5" x14ac:dyDescent="0.5">
      <c r="A17" s="139" t="s">
        <v>41</v>
      </c>
      <c r="B17" s="148">
        <f>B10*I1/I4</f>
        <v>403.88687761097856</v>
      </c>
      <c r="C17" s="263" t="s">
        <v>23</v>
      </c>
      <c r="D17" s="24" t="s">
        <v>42</v>
      </c>
      <c r="E17" s="29">
        <f>1000*ABS(B18^3+I12*B18^2+I13*B18+I14)</f>
        <v>1.2477949127287502E-3</v>
      </c>
      <c r="H17" s="12"/>
      <c r="I17" s="4"/>
      <c r="J17" s="17"/>
      <c r="L17" s="25"/>
    </row>
    <row r="18" spans="1:12" ht="19.5" x14ac:dyDescent="0.5">
      <c r="A18" s="135" t="s">
        <v>43</v>
      </c>
      <c r="B18" s="138">
        <f>-I12-B15-B16</f>
        <v>1.1051958364187158</v>
      </c>
      <c r="C18" s="263" t="s">
        <v>23</v>
      </c>
      <c r="D18" s="4"/>
      <c r="E18" s="29"/>
      <c r="H18" s="12"/>
      <c r="I18" s="4"/>
      <c r="J18" s="17"/>
      <c r="L18" s="25"/>
    </row>
    <row r="19" spans="1:12" ht="15.75" x14ac:dyDescent="0.25">
      <c r="A19" s="149" t="s">
        <v>132</v>
      </c>
      <c r="B19" s="259">
        <v>0</v>
      </c>
      <c r="C19" s="258">
        <v>1.2</v>
      </c>
      <c r="D19" s="29"/>
      <c r="E19" s="4"/>
      <c r="H19" s="12"/>
      <c r="I19" s="4"/>
      <c r="J19" s="17"/>
      <c r="L19" s="25"/>
    </row>
    <row r="20" spans="1:12" ht="15.75" x14ac:dyDescent="0.25">
      <c r="A20" s="256" t="s">
        <v>44</v>
      </c>
      <c r="B20" s="256" t="s">
        <v>45</v>
      </c>
      <c r="C20" s="256" t="s">
        <v>169</v>
      </c>
      <c r="D20" s="21"/>
      <c r="I20" s="31"/>
      <c r="J20" s="32"/>
      <c r="K20" s="33"/>
      <c r="L20" s="34"/>
    </row>
    <row r="21" spans="1:12" ht="15.75" x14ac:dyDescent="0.25">
      <c r="A21" s="257">
        <f>B14+0.00001</f>
        <v>0.11929554873417722</v>
      </c>
      <c r="B21">
        <f>($B$10*$I$1/(A21-$B$14)-$B$13/A21^2)/100</f>
        <v>2345240.2730275071</v>
      </c>
      <c r="C21"/>
      <c r="I21" s="34"/>
      <c r="J21" s="34"/>
      <c r="K21" s="34"/>
      <c r="L21" s="34"/>
    </row>
    <row r="22" spans="1:12" ht="15.75" x14ac:dyDescent="0.25">
      <c r="A22" s="257">
        <f>A21*$C$19</f>
        <v>0.14315465848101266</v>
      </c>
      <c r="B22">
        <f t="shared" ref="B22:B85" si="0">($B$10*$I$1/(A22-$B$14)-$B$13/A22^2)/100</f>
        <v>-432.18047307092189</v>
      </c>
      <c r="C22"/>
      <c r="E22" s="195"/>
      <c r="I22" s="34"/>
      <c r="J22" s="34"/>
      <c r="K22" s="34"/>
      <c r="L22" s="34"/>
    </row>
    <row r="23" spans="1:12" ht="15.75" x14ac:dyDescent="0.25">
      <c r="A23" s="257">
        <f t="shared" ref="A23:A86" si="1">A22*$C$19</f>
        <v>0.1717855901772152</v>
      </c>
      <c r="B23">
        <f t="shared" si="0"/>
        <v>-535.93886448774265</v>
      </c>
      <c r="C23"/>
      <c r="I23" s="34"/>
      <c r="J23" s="34"/>
      <c r="K23" s="34"/>
      <c r="L23" s="34"/>
    </row>
    <row r="24" spans="1:12" ht="15.75" x14ac:dyDescent="0.25">
      <c r="A24" s="257">
        <f t="shared" si="1"/>
        <v>0.20614270821265823</v>
      </c>
      <c r="B24">
        <f t="shared" si="0"/>
        <v>-412.42027124805304</v>
      </c>
      <c r="C24"/>
      <c r="I24" s="34"/>
      <c r="J24" s="32"/>
      <c r="K24" s="32"/>
      <c r="L24" s="34"/>
    </row>
    <row r="25" spans="1:12" ht="15.75" x14ac:dyDescent="0.25">
      <c r="A25" s="257">
        <f t="shared" si="1"/>
        <v>0.24737124985518988</v>
      </c>
      <c r="B25">
        <f t="shared" si="0"/>
        <v>-290.81524660804519</v>
      </c>
      <c r="C25"/>
      <c r="I25" s="34"/>
      <c r="J25" s="32"/>
      <c r="K25" s="32"/>
      <c r="L25" s="34"/>
    </row>
    <row r="26" spans="1:12" ht="15.75" x14ac:dyDescent="0.25">
      <c r="A26" s="257">
        <f t="shared" si="1"/>
        <v>0.29684549982622782</v>
      </c>
      <c r="B26">
        <f t="shared" si="0"/>
        <v>-197.02144072617216</v>
      </c>
      <c r="C26"/>
      <c r="I26" s="34"/>
      <c r="J26" s="32"/>
      <c r="K26" s="32"/>
      <c r="L26" s="34"/>
    </row>
    <row r="27" spans="1:12" ht="15.75" x14ac:dyDescent="0.25">
      <c r="A27" s="257">
        <f t="shared" si="1"/>
        <v>0.35621459979147335</v>
      </c>
      <c r="B27">
        <f t="shared" si="0"/>
        <v>-129.55254966014877</v>
      </c>
      <c r="C27"/>
      <c r="I27" s="34"/>
      <c r="J27" s="34"/>
      <c r="K27" s="34"/>
      <c r="L27" s="34"/>
    </row>
    <row r="28" spans="1:12" ht="15.75" x14ac:dyDescent="0.25">
      <c r="A28" s="257">
        <f t="shared" si="1"/>
        <v>0.42745751974976803</v>
      </c>
      <c r="B28">
        <f t="shared" si="0"/>
        <v>-82.598502334153849</v>
      </c>
      <c r="C28"/>
      <c r="I28" s="34"/>
      <c r="J28" s="34"/>
      <c r="K28" s="34"/>
      <c r="L28" s="34"/>
    </row>
    <row r="29" spans="1:12" ht="15.75" x14ac:dyDescent="0.25">
      <c r="A29" s="257">
        <f t="shared" si="1"/>
        <v>0.51294902369972162</v>
      </c>
      <c r="B29">
        <f t="shared" si="0"/>
        <v>-50.627860010836919</v>
      </c>
      <c r="C29"/>
      <c r="D29"/>
      <c r="E29"/>
      <c r="F29"/>
      <c r="I29" s="34"/>
      <c r="J29" s="34"/>
      <c r="K29" s="34"/>
      <c r="L29" s="34"/>
    </row>
    <row r="30" spans="1:12" ht="15.75" x14ac:dyDescent="0.25">
      <c r="A30" s="257">
        <f t="shared" si="1"/>
        <v>0.6155388284396659</v>
      </c>
      <c r="B30">
        <f t="shared" si="0"/>
        <v>-29.265534767250646</v>
      </c>
      <c r="C30"/>
      <c r="D30"/>
      <c r="E30"/>
      <c r="F30"/>
      <c r="I30" s="34"/>
      <c r="J30" s="31"/>
      <c r="K30" s="35"/>
      <c r="L30" s="34"/>
    </row>
    <row r="31" spans="1:12" ht="15.75" x14ac:dyDescent="0.25">
      <c r="A31" s="257">
        <f t="shared" si="1"/>
        <v>0.73864659412759903</v>
      </c>
      <c r="B31">
        <f t="shared" si="0"/>
        <v>-15.272128972452052</v>
      </c>
      <c r="C31"/>
      <c r="D31"/>
      <c r="E31"/>
      <c r="F31"/>
      <c r="I31" s="34"/>
      <c r="J31" s="31"/>
      <c r="K31" s="35"/>
      <c r="L31" s="34"/>
    </row>
    <row r="32" spans="1:12" ht="15.75" x14ac:dyDescent="0.25">
      <c r="A32" s="257">
        <f t="shared" si="1"/>
        <v>0.88637591295311879</v>
      </c>
      <c r="B32">
        <f t="shared" si="0"/>
        <v>-6.3242043553896972</v>
      </c>
      <c r="C32"/>
      <c r="D32"/>
      <c r="E32"/>
      <c r="F32"/>
      <c r="I32" s="34"/>
      <c r="J32" s="31"/>
      <c r="K32" s="36"/>
      <c r="L32" s="34"/>
    </row>
    <row r="33" spans="1:12" ht="15.75" x14ac:dyDescent="0.25">
      <c r="A33" s="257">
        <f t="shared" si="1"/>
        <v>1.0636510955437426</v>
      </c>
      <c r="B33">
        <f t="shared" si="0"/>
        <v>-0.78603171951733197</v>
      </c>
      <c r="C33"/>
      <c r="D33"/>
      <c r="E33"/>
      <c r="F33"/>
      <c r="I33" s="34"/>
      <c r="J33" s="31"/>
      <c r="K33" s="33"/>
      <c r="L33" s="34"/>
    </row>
    <row r="34" spans="1:12" ht="15.75" x14ac:dyDescent="0.25">
      <c r="A34" s="257">
        <f t="shared" si="1"/>
        <v>1.2763813146524912</v>
      </c>
      <c r="B34">
        <f t="shared" si="0"/>
        <v>2.4792506167565511</v>
      </c>
      <c r="C34"/>
      <c r="D34"/>
      <c r="E34"/>
      <c r="F34"/>
      <c r="I34" s="34"/>
      <c r="J34" s="34"/>
      <c r="K34" s="34"/>
      <c r="L34" s="34"/>
    </row>
    <row r="35" spans="1:12" ht="15.75" x14ac:dyDescent="0.25">
      <c r="A35" s="257">
        <f t="shared" si="1"/>
        <v>1.5316575775829893</v>
      </c>
      <c r="B35">
        <f t="shared" si="0"/>
        <v>4.253644457743178</v>
      </c>
      <c r="C35"/>
      <c r="D35"/>
      <c r="E35"/>
      <c r="F35"/>
      <c r="I35" s="34"/>
      <c r="J35" s="34"/>
      <c r="K35" s="34"/>
      <c r="L35" s="34"/>
    </row>
    <row r="36" spans="1:12" ht="15.75" x14ac:dyDescent="0.25">
      <c r="A36" s="257">
        <f t="shared" si="1"/>
        <v>1.837989093099587</v>
      </c>
      <c r="B36">
        <f t="shared" si="0"/>
        <v>5.0699276003248146</v>
      </c>
      <c r="C36"/>
      <c r="D36"/>
      <c r="E36"/>
      <c r="F36"/>
    </row>
    <row r="37" spans="1:12" ht="15.75" x14ac:dyDescent="0.25">
      <c r="A37" s="257">
        <f t="shared" si="1"/>
        <v>2.2055869117195042</v>
      </c>
      <c r="B37">
        <f t="shared" si="0"/>
        <v>5.2874814732375315</v>
      </c>
      <c r="C37"/>
      <c r="D37"/>
      <c r="E37"/>
      <c r="F37"/>
    </row>
    <row r="38" spans="1:12" ht="15.75" x14ac:dyDescent="0.25">
      <c r="A38" s="257">
        <f t="shared" si="1"/>
        <v>2.6467042940634049</v>
      </c>
      <c r="B38">
        <f t="shared" si="0"/>
        <v>5.1459876415365828</v>
      </c>
      <c r="C38"/>
      <c r="D38"/>
      <c r="E38"/>
      <c r="F38"/>
    </row>
    <row r="39" spans="1:12" ht="15.75" x14ac:dyDescent="0.25">
      <c r="A39" s="257">
        <f t="shared" si="1"/>
        <v>3.1760451528760858</v>
      </c>
      <c r="B39">
        <f t="shared" si="0"/>
        <v>4.8030957219633219</v>
      </c>
      <c r="C39"/>
      <c r="D39"/>
      <c r="E39"/>
      <c r="F39"/>
    </row>
    <row r="40" spans="1:12" ht="15.75" x14ac:dyDescent="0.25">
      <c r="A40" s="257">
        <f t="shared" si="1"/>
        <v>3.811254183451303</v>
      </c>
      <c r="B40">
        <f t="shared" si="0"/>
        <v>4.3606571258419295</v>
      </c>
      <c r="C40"/>
    </row>
    <row r="41" spans="1:12" ht="15.75" x14ac:dyDescent="0.25">
      <c r="A41" s="257">
        <f t="shared" si="1"/>
        <v>4.573505020141563</v>
      </c>
      <c r="B41">
        <f t="shared" si="0"/>
        <v>3.8828841371039498</v>
      </c>
      <c r="C41"/>
    </row>
    <row r="42" spans="1:12" ht="15.75" x14ac:dyDescent="0.25">
      <c r="A42" s="257">
        <f t="shared" si="1"/>
        <v>5.4882060241698758</v>
      </c>
      <c r="B42">
        <f t="shared" si="0"/>
        <v>3.4088483162335308</v>
      </c>
      <c r="C42"/>
    </row>
    <row r="43" spans="1:12" ht="15.75" x14ac:dyDescent="0.25">
      <c r="A43" s="257">
        <f t="shared" si="1"/>
        <v>6.5858472290038508</v>
      </c>
      <c r="B43">
        <f t="shared" si="0"/>
        <v>2.9610332626550058</v>
      </c>
      <c r="C43"/>
    </row>
    <row r="44" spans="1:12" ht="15.75" x14ac:dyDescent="0.25">
      <c r="A44" s="257">
        <f t="shared" si="1"/>
        <v>7.9030166748046202</v>
      </c>
      <c r="B44">
        <f t="shared" si="0"/>
        <v>2.5511506125995673</v>
      </c>
      <c r="C44"/>
    </row>
    <row r="45" spans="1:12" ht="15.75" x14ac:dyDescent="0.25">
      <c r="A45" s="257">
        <f t="shared" si="1"/>
        <v>9.4836200097655432</v>
      </c>
      <c r="B45">
        <f t="shared" si="0"/>
        <v>2.1840663840004275</v>
      </c>
      <c r="C45"/>
    </row>
    <row r="46" spans="1:12" ht="15.75" x14ac:dyDescent="0.25">
      <c r="A46" s="257">
        <f t="shared" si="1"/>
        <v>11.380344011718652</v>
      </c>
      <c r="B46">
        <f t="shared" si="0"/>
        <v>1.8604285006233214</v>
      </c>
      <c r="C46"/>
    </row>
    <row r="47" spans="1:12" ht="15.75" x14ac:dyDescent="0.25">
      <c r="A47" s="257">
        <f t="shared" si="1"/>
        <v>13.656412814062381</v>
      </c>
      <c r="B47">
        <f t="shared" si="0"/>
        <v>1.5784059299114319</v>
      </c>
      <c r="C47"/>
    </row>
    <row r="48" spans="1:12" ht="15.75" x14ac:dyDescent="0.25">
      <c r="A48" s="257">
        <f t="shared" si="1"/>
        <v>16.387695376874856</v>
      </c>
      <c r="B48">
        <f t="shared" si="0"/>
        <v>1.334823498733426</v>
      </c>
      <c r="C48"/>
    </row>
    <row r="49" spans="1:3" ht="15.75" x14ac:dyDescent="0.25">
      <c r="A49" s="257">
        <f t="shared" si="1"/>
        <v>19.665234452249827</v>
      </c>
      <c r="B49">
        <f t="shared" si="0"/>
        <v>1.1258882724318495</v>
      </c>
      <c r="C49"/>
    </row>
    <row r="50" spans="1:3" ht="15.75" x14ac:dyDescent="0.25">
      <c r="A50" s="257">
        <f t="shared" si="1"/>
        <v>23.598281342699792</v>
      </c>
      <c r="B50">
        <f t="shared" si="0"/>
        <v>0.94764205860584827</v>
      </c>
      <c r="C50"/>
    </row>
    <row r="51" spans="1:3" ht="15.75" x14ac:dyDescent="0.25">
      <c r="A51" s="257">
        <f t="shared" si="1"/>
        <v>28.317937611239749</v>
      </c>
      <c r="B51">
        <f t="shared" si="0"/>
        <v>0.79623207957362796</v>
      </c>
      <c r="C51"/>
    </row>
    <row r="52" spans="1:3" ht="15.75" x14ac:dyDescent="0.25">
      <c r="A52" s="257">
        <f t="shared" si="1"/>
        <v>33.9815251334877</v>
      </c>
      <c r="B52">
        <f t="shared" si="0"/>
        <v>0.6680624667006636</v>
      </c>
      <c r="C52"/>
    </row>
    <row r="53" spans="1:3" ht="15.75" x14ac:dyDescent="0.25">
      <c r="A53" s="257">
        <f t="shared" si="1"/>
        <v>40.777830160185239</v>
      </c>
      <c r="B53">
        <f t="shared" si="0"/>
        <v>0.55986897544595793</v>
      </c>
      <c r="C53"/>
    </row>
    <row r="54" spans="1:3" ht="15.75" x14ac:dyDescent="0.25">
      <c r="A54" s="257">
        <f t="shared" si="1"/>
        <v>48.933396192222283</v>
      </c>
      <c r="B54">
        <f t="shared" si="0"/>
        <v>0.46874540845341955</v>
      </c>
      <c r="C54"/>
    </row>
    <row r="55" spans="1:3" ht="15.75" x14ac:dyDescent="0.25">
      <c r="A55" s="257">
        <f t="shared" si="1"/>
        <v>58.720075430666739</v>
      </c>
      <c r="B55">
        <f t="shared" si="0"/>
        <v>0.39214071503530357</v>
      </c>
      <c r="C55"/>
    </row>
    <row r="56" spans="1:3" ht="15.75" x14ac:dyDescent="0.25">
      <c r="A56" s="257">
        <f t="shared" si="1"/>
        <v>70.464090516800084</v>
      </c>
      <c r="B56">
        <f t="shared" si="0"/>
        <v>0.32783925075429421</v>
      </c>
      <c r="C56"/>
    </row>
    <row r="57" spans="1:3" ht="15.75" x14ac:dyDescent="0.25">
      <c r="A57" s="257">
        <f t="shared" si="1"/>
        <v>84.556908620160101</v>
      </c>
      <c r="B57">
        <f t="shared" si="0"/>
        <v>0.27393228668788738</v>
      </c>
      <c r="C57"/>
    </row>
    <row r="58" spans="1:3" ht="15.75" x14ac:dyDescent="0.25">
      <c r="A58" s="257">
        <f t="shared" si="1"/>
        <v>101.46829034419211</v>
      </c>
      <c r="B58">
        <f t="shared" si="0"/>
        <v>0.22878589984141612</v>
      </c>
      <c r="C58"/>
    </row>
    <row r="59" spans="1:3" ht="15.75" x14ac:dyDescent="0.25">
      <c r="A59" s="257">
        <f t="shared" si="1"/>
        <v>121.76194841303052</v>
      </c>
      <c r="B59">
        <f t="shared" si="0"/>
        <v>0.19100840111576847</v>
      </c>
      <c r="C59"/>
    </row>
    <row r="60" spans="1:3" ht="15.75" x14ac:dyDescent="0.25">
      <c r="A60" s="257">
        <f t="shared" si="1"/>
        <v>146.11433809563661</v>
      </c>
      <c r="B60">
        <f t="shared" si="0"/>
        <v>0.15941915245020799</v>
      </c>
      <c r="C60"/>
    </row>
    <row r="61" spans="1:3" ht="15.75" x14ac:dyDescent="0.25">
      <c r="A61" s="257">
        <f t="shared" si="1"/>
        <v>175.33720571476394</v>
      </c>
      <c r="B61">
        <f t="shared" si="0"/>
        <v>0.1330197747674664</v>
      </c>
      <c r="C61"/>
    </row>
    <row r="62" spans="1:3" ht="15.75" x14ac:dyDescent="0.25">
      <c r="A62" s="257">
        <f t="shared" si="1"/>
        <v>210.40464685771673</v>
      </c>
      <c r="B62">
        <f t="shared" si="0"/>
        <v>0.11096820509243913</v>
      </c>
      <c r="C62"/>
    </row>
    <row r="63" spans="1:3" ht="15.75" x14ac:dyDescent="0.25">
      <c r="A63" s="257">
        <f t="shared" si="1"/>
        <v>252.48557622926006</v>
      </c>
      <c r="B63">
        <f t="shared" si="0"/>
        <v>9.255572328554651E-2</v>
      </c>
      <c r="C63"/>
    </row>
    <row r="64" spans="1:3" ht="15.75" x14ac:dyDescent="0.25">
      <c r="A64" s="257">
        <f t="shared" si="1"/>
        <v>302.98269147511206</v>
      </c>
      <c r="B64">
        <f t="shared" si="0"/>
        <v>7.7186867019719718E-2</v>
      </c>
      <c r="C64"/>
    </row>
    <row r="65" spans="1:3" ht="15.75" x14ac:dyDescent="0.25">
      <c r="A65" s="257">
        <f t="shared" si="1"/>
        <v>363.57922977013448</v>
      </c>
      <c r="B65">
        <f t="shared" si="0"/>
        <v>6.4362040916967539E-2</v>
      </c>
      <c r="C65"/>
    </row>
    <row r="66" spans="1:3" ht="15.75" x14ac:dyDescent="0.25">
      <c r="A66" s="257">
        <f t="shared" si="1"/>
        <v>436.29507572416134</v>
      </c>
      <c r="B66">
        <f t="shared" si="0"/>
        <v>5.3662570378023675E-2</v>
      </c>
      <c r="C66"/>
    </row>
    <row r="67" spans="1:3" ht="15.75" x14ac:dyDescent="0.25">
      <c r="A67" s="257">
        <f t="shared" si="1"/>
        <v>523.55409086899363</v>
      </c>
      <c r="B67">
        <f t="shared" si="0"/>
        <v>4.473793127037607E-2</v>
      </c>
      <c r="C67"/>
    </row>
    <row r="68" spans="1:3" ht="15.75" x14ac:dyDescent="0.25">
      <c r="A68" s="257">
        <f t="shared" si="1"/>
        <v>628.26490904279228</v>
      </c>
      <c r="B68">
        <f t="shared" si="0"/>
        <v>3.7294889109209903E-2</v>
      </c>
      <c r="C68"/>
    </row>
    <row r="69" spans="1:3" ht="15.75" x14ac:dyDescent="0.25">
      <c r="A69" s="257">
        <f t="shared" si="1"/>
        <v>753.91789085135076</v>
      </c>
      <c r="B69">
        <f t="shared" si="0"/>
        <v>3.1088296352156916E-2</v>
      </c>
      <c r="C69"/>
    </row>
    <row r="70" spans="1:3" ht="15.75" x14ac:dyDescent="0.25">
      <c r="A70" s="257">
        <f t="shared" si="1"/>
        <v>904.70146902162094</v>
      </c>
      <c r="B70">
        <f t="shared" si="0"/>
        <v>2.5913317898788035E-2</v>
      </c>
      <c r="C70"/>
    </row>
    <row r="71" spans="1:3" ht="15.75" x14ac:dyDescent="0.25">
      <c r="A71" s="257">
        <f t="shared" si="1"/>
        <v>1085.6417628259451</v>
      </c>
      <c r="B71">
        <f t="shared" si="0"/>
        <v>2.1598879016407259E-2</v>
      </c>
      <c r="C71"/>
    </row>
    <row r="72" spans="1:3" ht="15.75" x14ac:dyDescent="0.25">
      <c r="A72" s="257">
        <f t="shared" si="1"/>
        <v>1302.7701153911341</v>
      </c>
      <c r="B72">
        <f t="shared" si="0"/>
        <v>1.8002154356194972E-2</v>
      </c>
      <c r="C72"/>
    </row>
    <row r="73" spans="1:3" ht="15.75" x14ac:dyDescent="0.25">
      <c r="A73" s="257">
        <f t="shared" si="1"/>
        <v>1563.3241384693608</v>
      </c>
      <c r="B73">
        <f t="shared" si="0"/>
        <v>1.5003940102571795E-2</v>
      </c>
      <c r="C73"/>
    </row>
    <row r="74" spans="1:3" ht="15.75" x14ac:dyDescent="0.25">
      <c r="A74" s="257">
        <f t="shared" si="1"/>
        <v>1875.9889661632328</v>
      </c>
      <c r="B74">
        <f t="shared" si="0"/>
        <v>1.2504772871695021E-2</v>
      </c>
      <c r="C74"/>
    </row>
    <row r="75" spans="1:3" ht="15.75" x14ac:dyDescent="0.25">
      <c r="A75" s="257">
        <f t="shared" si="1"/>
        <v>2251.1867593958791</v>
      </c>
      <c r="B75">
        <f t="shared" si="0"/>
        <v>1.0421678404603984E-2</v>
      </c>
      <c r="C75"/>
    </row>
    <row r="76" spans="1:3" ht="15.75" x14ac:dyDescent="0.25">
      <c r="A76" s="257">
        <f t="shared" si="1"/>
        <v>2701.4241112750547</v>
      </c>
      <c r="B76">
        <f t="shared" si="0"/>
        <v>8.6854503003681513E-3</v>
      </c>
      <c r="C76"/>
    </row>
    <row r="77" spans="1:3" ht="15.75" x14ac:dyDescent="0.25">
      <c r="A77" s="257">
        <f t="shared" si="1"/>
        <v>3241.7089335300657</v>
      </c>
      <c r="B77">
        <f t="shared" si="0"/>
        <v>7.2383740682054496E-3</v>
      </c>
      <c r="C77"/>
    </row>
    <row r="78" spans="1:3" ht="15.75" x14ac:dyDescent="0.25">
      <c r="A78" s="257">
        <f t="shared" si="1"/>
        <v>3890.0507202360786</v>
      </c>
      <c r="B78">
        <f t="shared" si="0"/>
        <v>6.0323247919890719E-3</v>
      </c>
      <c r="C78"/>
    </row>
    <row r="79" spans="1:3" ht="15.75" x14ac:dyDescent="0.25">
      <c r="A79" s="257">
        <f t="shared" si="1"/>
        <v>4668.060864283294</v>
      </c>
      <c r="B79">
        <f t="shared" si="0"/>
        <v>5.0271778837644911E-3</v>
      </c>
      <c r="C79"/>
    </row>
    <row r="80" spans="1:3" ht="15.75" x14ac:dyDescent="0.25">
      <c r="A80" s="257">
        <f t="shared" si="1"/>
        <v>5601.6730371399526</v>
      </c>
      <c r="B80">
        <f t="shared" si="0"/>
        <v>4.1894819568507827E-3</v>
      </c>
      <c r="C80"/>
    </row>
    <row r="81" spans="1:3" ht="15.75" x14ac:dyDescent="0.25">
      <c r="A81" s="257">
        <f t="shared" si="1"/>
        <v>6722.0076445679433</v>
      </c>
      <c r="B81">
        <f t="shared" si="0"/>
        <v>3.4913509736624986E-3</v>
      </c>
      <c r="C81"/>
    </row>
    <row r="82" spans="1:3" ht="15.75" x14ac:dyDescent="0.25">
      <c r="A82" s="257">
        <f t="shared" si="1"/>
        <v>8066.409173481532</v>
      </c>
      <c r="B82">
        <f t="shared" si="0"/>
        <v>2.9095397070109876E-3</v>
      </c>
      <c r="C82"/>
    </row>
    <row r="83" spans="1:3" ht="15.75" x14ac:dyDescent="0.25">
      <c r="A83" s="257">
        <f t="shared" si="1"/>
        <v>9679.6910081778387</v>
      </c>
      <c r="B83">
        <f t="shared" si="0"/>
        <v>2.4246723685778407E-3</v>
      </c>
      <c r="C83"/>
    </row>
    <row r="84" spans="1:3" ht="15.75" x14ac:dyDescent="0.25">
      <c r="A84" s="257">
        <f t="shared" si="1"/>
        <v>11615.629209813405</v>
      </c>
      <c r="B84">
        <f t="shared" si="0"/>
        <v>2.0205991586035423E-3</v>
      </c>
      <c r="C84"/>
    </row>
    <row r="85" spans="1:3" ht="15.75" x14ac:dyDescent="0.25">
      <c r="A85" s="257">
        <f t="shared" si="1"/>
        <v>13938.755051776086</v>
      </c>
      <c r="B85">
        <f t="shared" si="0"/>
        <v>1.6838596123577925E-3</v>
      </c>
      <c r="C85"/>
    </row>
    <row r="86" spans="1:3" ht="15.75" x14ac:dyDescent="0.25">
      <c r="A86" s="257">
        <f t="shared" si="1"/>
        <v>16726.506062131302</v>
      </c>
      <c r="B86">
        <f>($B$10*$I$1/(A86-$B$14)-$B$13/A86^2)/100</f>
        <v>1.4032350798795622E-3</v>
      </c>
      <c r="C86"/>
    </row>
    <row r="87" spans="1:3" ht="15.75" x14ac:dyDescent="0.25">
      <c r="A87"/>
      <c r="B87"/>
      <c r="C87"/>
    </row>
    <row r="88" spans="1:3" ht="15.75" x14ac:dyDescent="0.25">
      <c r="A88"/>
      <c r="B88"/>
      <c r="C88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8"/>
  <sheetViews>
    <sheetView workbookViewId="0"/>
  </sheetViews>
  <sheetFormatPr defaultColWidth="8" defaultRowHeight="12.75" x14ac:dyDescent="0.2"/>
  <cols>
    <col min="1" max="16384" width="8" style="2"/>
  </cols>
  <sheetData>
    <row r="1" spans="1:15" ht="18" x14ac:dyDescent="0.25">
      <c r="A1" s="143" t="str">
        <f>' T = Tb'!A1</f>
        <v>Benzene</v>
      </c>
      <c r="E1" s="2" t="s">
        <v>0</v>
      </c>
      <c r="F1" s="2">
        <v>1</v>
      </c>
      <c r="H1" s="3" t="s">
        <v>1</v>
      </c>
      <c r="I1" s="2">
        <f>' T = Tb'!O10</f>
        <v>293.9842033127988</v>
      </c>
      <c r="J1" s="2" t="s">
        <v>2</v>
      </c>
    </row>
    <row r="2" spans="1:15" ht="15.75" x14ac:dyDescent="0.3">
      <c r="A2" s="4" t="s">
        <v>15</v>
      </c>
      <c r="B2" s="5">
        <f>' T = Tb'!B2</f>
        <v>78.114000000000004</v>
      </c>
      <c r="C2" s="2" t="s">
        <v>3</v>
      </c>
      <c r="E2" s="4" t="s">
        <v>4</v>
      </c>
      <c r="F2" s="2">
        <f>' T = Tb'!F2</f>
        <v>-7.0143300000000002</v>
      </c>
      <c r="H2" s="3" t="s">
        <v>16</v>
      </c>
      <c r="I2" s="2">
        <f>1-I1/B3</f>
        <v>0.47704531928134553</v>
      </c>
      <c r="M2" s="4"/>
    </row>
    <row r="3" spans="1:15" ht="15.75" x14ac:dyDescent="0.3">
      <c r="A3" s="4" t="s">
        <v>17</v>
      </c>
      <c r="B3" s="5">
        <f>' T = Tb'!B3</f>
        <v>562.16</v>
      </c>
      <c r="C3" s="2" t="s">
        <v>2</v>
      </c>
      <c r="E3" s="4" t="s">
        <v>5</v>
      </c>
      <c r="F3" s="2">
        <f>' T = Tb'!F3</f>
        <v>1.5525599999999999</v>
      </c>
      <c r="H3" s="3" t="s">
        <v>6</v>
      </c>
      <c r="I3" s="144">
        <f>(B4*EXP((F2*I2+F3*I2^1.5+F4*I2^2.5+F5*I2^5)/(1-I2)))</f>
        <v>0.10437433943134912</v>
      </c>
      <c r="J3" s="2" t="s">
        <v>7</v>
      </c>
      <c r="M3" s="4"/>
    </row>
    <row r="4" spans="1:15" ht="15.75" x14ac:dyDescent="0.3">
      <c r="A4" s="4" t="s">
        <v>18</v>
      </c>
      <c r="B4" s="5">
        <f>' T = Tb'!B4</f>
        <v>48.98</v>
      </c>
      <c r="C4" s="2" t="s">
        <v>7</v>
      </c>
      <c r="E4" s="4" t="s">
        <v>8</v>
      </c>
      <c r="F4" s="2">
        <f>' T = Tb'!F4</f>
        <v>-1.8479000000000001</v>
      </c>
      <c r="H4" s="3" t="s">
        <v>6</v>
      </c>
      <c r="I4" s="2">
        <f>I3*100</f>
        <v>10.437433943134913</v>
      </c>
      <c r="J4" s="2" t="s">
        <v>9</v>
      </c>
      <c r="M4" s="4"/>
      <c r="N4" s="6"/>
    </row>
    <row r="5" spans="1:15" ht="15.75" x14ac:dyDescent="0.3">
      <c r="A5" s="4" t="s">
        <v>18</v>
      </c>
      <c r="B5" s="5">
        <f>' T = Tb'!B5</f>
        <v>4898</v>
      </c>
      <c r="C5" s="2" t="s">
        <v>9</v>
      </c>
      <c r="E5" s="4" t="s">
        <v>10</v>
      </c>
      <c r="F5" s="2">
        <f>' T = Tb'!F5</f>
        <v>-3.7130000000000001</v>
      </c>
      <c r="H5" s="4"/>
      <c r="M5" s="4"/>
      <c r="N5" s="6"/>
    </row>
    <row r="6" spans="1:15" ht="15.75" x14ac:dyDescent="0.3">
      <c r="A6" s="4" t="s">
        <v>19</v>
      </c>
      <c r="B6" s="5">
        <f>' T = Tb'!B6</f>
        <v>256</v>
      </c>
      <c r="C6" s="2" t="s">
        <v>20</v>
      </c>
      <c r="E6" s="4" t="s">
        <v>21</v>
      </c>
      <c r="F6" s="2">
        <f>' T = Tb'!F6</f>
        <v>250</v>
      </c>
      <c r="G6" s="7">
        <f>F6/B3</f>
        <v>0.44471324889711117</v>
      </c>
      <c r="H6" s="2" t="s">
        <v>22</v>
      </c>
      <c r="I6" s="2">
        <v>2.5712194055283128E-3</v>
      </c>
    </row>
    <row r="7" spans="1:15" ht="15.75" x14ac:dyDescent="0.3">
      <c r="A7" s="4" t="s">
        <v>19</v>
      </c>
      <c r="B7" s="5">
        <f>' T = Tb'!B7</f>
        <v>0.25600000000000001</v>
      </c>
      <c r="C7" s="8" t="s">
        <v>23</v>
      </c>
      <c r="E7" s="4" t="s">
        <v>24</v>
      </c>
      <c r="F7" s="2">
        <f>' T = Tb'!F7</f>
        <v>562.16</v>
      </c>
      <c r="G7" s="7">
        <f>F7/B3</f>
        <v>1</v>
      </c>
      <c r="H7" s="2" t="s">
        <v>25</v>
      </c>
      <c r="I7" s="2">
        <f>I6/I3</f>
        <v>2.4634593325685183E-2</v>
      </c>
    </row>
    <row r="8" spans="1:15" ht="15.75" x14ac:dyDescent="0.3">
      <c r="A8" s="4" t="s">
        <v>26</v>
      </c>
      <c r="B8" s="5">
        <f>' T = Tb'!B8</f>
        <v>0.26800000000000002</v>
      </c>
      <c r="E8" s="4" t="s">
        <v>27</v>
      </c>
      <c r="F8" s="18">
        <f>' T = Tb'!F8</f>
        <v>353.24</v>
      </c>
      <c r="G8" s="7">
        <f>F8/B3</f>
        <v>0.6283620321616622</v>
      </c>
      <c r="H8" s="2" t="s">
        <v>28</v>
      </c>
    </row>
    <row r="9" spans="1:15" x14ac:dyDescent="0.2">
      <c r="A9" s="9" t="s">
        <v>29</v>
      </c>
      <c r="B9" s="5">
        <f>' T = Tb'!B9</f>
        <v>0.21</v>
      </c>
      <c r="E9" s="4"/>
      <c r="F9" s="2">
        <f>' T = Tb'!F9</f>
        <v>101.325</v>
      </c>
      <c r="K9" s="4"/>
    </row>
    <row r="10" spans="1:15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5" x14ac:dyDescent="0.2">
      <c r="A11" s="10" t="s">
        <v>13</v>
      </c>
      <c r="K11" s="11"/>
      <c r="M11" s="12"/>
    </row>
    <row r="12" spans="1:15" ht="18.75" x14ac:dyDescent="0.3">
      <c r="A12" s="13" t="s">
        <v>31</v>
      </c>
      <c r="B12" s="14">
        <f>27/64*(B10*B3)^2/B5</f>
        <v>1881.7339064250737</v>
      </c>
      <c r="C12" s="15"/>
      <c r="E12" s="16" t="s">
        <v>14</v>
      </c>
      <c r="H12" s="4" t="s">
        <v>32</v>
      </c>
      <c r="I12" s="191">
        <f>(2*B19)-B14-(B10*I1/I4)</f>
        <v>-234.30851362945688</v>
      </c>
      <c r="J12" s="17">
        <f>-(B18+B15+B16)</f>
        <v>-234.30851362945688</v>
      </c>
      <c r="K12" s="6"/>
      <c r="N12" s="4"/>
      <c r="O12" s="18"/>
    </row>
    <row r="13" spans="1:15" ht="18.75" x14ac:dyDescent="0.3">
      <c r="A13" s="13" t="s">
        <v>33</v>
      </c>
      <c r="B13" s="19">
        <v>2842.6049961085528</v>
      </c>
      <c r="C13" s="12">
        <f>' T = Tb'!P10</f>
        <v>2819.6727371610491</v>
      </c>
      <c r="E13" s="193">
        <f>ABS(B10*I1*LN((B16-B14)/(B15-B14))+B13*(1/(B16+B19)-1/(B15+B19))-I4*(B16-B15))</f>
        <v>3.5959279557573609E-5</v>
      </c>
      <c r="F13" s="21">
        <f>E13+E15+E16</f>
        <v>477.75373337670635</v>
      </c>
      <c r="H13" s="4" t="s">
        <v>34</v>
      </c>
      <c r="I13" s="191">
        <f>(B19^2)-(2*B19*B14)-(2*B10*I1*B19/I4)+(B13/I4)</f>
        <v>272.34711247952276</v>
      </c>
      <c r="J13" s="17">
        <f>B15*B16+B15*B18+B18*B16</f>
        <v>272.34711268456363</v>
      </c>
      <c r="K13" s="6"/>
      <c r="L13" s="26">
        <f>B13/B12</f>
        <v>1.5106306935335752</v>
      </c>
      <c r="N13" s="4"/>
      <c r="O13" s="18"/>
    </row>
    <row r="14" spans="1:15" ht="18.75" x14ac:dyDescent="0.5">
      <c r="A14" s="147" t="s">
        <v>35</v>
      </c>
      <c r="B14" s="262">
        <f>B10*B3/8/B5</f>
        <v>0.11928554873417722</v>
      </c>
      <c r="C14" s="263" t="s">
        <v>23</v>
      </c>
      <c r="H14" s="4" t="s">
        <v>36</v>
      </c>
      <c r="I14" s="191">
        <f>(-B14*(B19^2))-(B10*I1*(B19^2)/I4)-(B13*B14/I4)</f>
        <v>-32.487074758288557</v>
      </c>
      <c r="J14" s="17">
        <f>-(B18*B15*B16)</f>
        <v>-32.487074785958242</v>
      </c>
      <c r="K14" s="6"/>
      <c r="L14" s="26">
        <f>B15/B14</f>
        <v>1.1312581890978306</v>
      </c>
      <c r="N14" s="4"/>
      <c r="O14" s="18"/>
    </row>
    <row r="15" spans="1:15" ht="19.5" x14ac:dyDescent="0.5">
      <c r="A15" s="135" t="s">
        <v>37</v>
      </c>
      <c r="B15" s="264">
        <v>0.13494275384656634</v>
      </c>
      <c r="C15" s="263" t="s">
        <v>23</v>
      </c>
      <c r="D15" s="24" t="s">
        <v>38</v>
      </c>
      <c r="E15" s="25">
        <f>1000000*ABS(B15^3+I12*B15^2+I13*B15+I14)</f>
        <v>9.0238927441532724E-7</v>
      </c>
      <c r="K15" s="4"/>
      <c r="L15" s="26">
        <f>B16/B17</f>
        <v>0.99552378281547216</v>
      </c>
    </row>
    <row r="16" spans="1:15" ht="19.5" x14ac:dyDescent="0.5">
      <c r="A16" s="135" t="s">
        <v>39</v>
      </c>
      <c r="B16" s="265">
        <v>233.14094623355646</v>
      </c>
      <c r="C16" s="263" t="s">
        <v>23</v>
      </c>
      <c r="D16" s="24" t="s">
        <v>40</v>
      </c>
      <c r="E16" s="25">
        <f>10000000*ABS(B16^3+I12*B16^2+I13*B16+I14)</f>
        <v>477.75369651503752</v>
      </c>
      <c r="L16" s="26"/>
    </row>
    <row r="17" spans="1:12" ht="19.5" x14ac:dyDescent="0.5">
      <c r="A17" s="139" t="s">
        <v>41</v>
      </c>
      <c r="B17" s="148">
        <f>B10*I1/I4</f>
        <v>234.1892280807227</v>
      </c>
      <c r="C17" s="263" t="s">
        <v>23</v>
      </c>
      <c r="D17" s="24" t="s">
        <v>42</v>
      </c>
      <c r="E17" s="29">
        <f>1000*ABS(B18^3+I12*B18^2+I13*B18+I14)</f>
        <v>1.8406056767616974E-4</v>
      </c>
      <c r="H17" s="12"/>
      <c r="I17" s="4"/>
      <c r="J17" s="17"/>
      <c r="L17" s="25"/>
    </row>
    <row r="18" spans="1:12" ht="19.5" x14ac:dyDescent="0.5">
      <c r="A18" s="135" t="s">
        <v>43</v>
      </c>
      <c r="B18" s="138">
        <f>-I12-B15-B16</f>
        <v>1.032624642053861</v>
      </c>
      <c r="C18" s="263" t="s">
        <v>23</v>
      </c>
      <c r="D18" s="4"/>
      <c r="E18" s="29"/>
      <c r="H18" s="12"/>
      <c r="I18" s="4"/>
      <c r="J18" s="17"/>
      <c r="L18" s="25"/>
    </row>
    <row r="19" spans="1:12" ht="15.75" x14ac:dyDescent="0.25">
      <c r="A19" s="149" t="s">
        <v>132</v>
      </c>
      <c r="B19" s="259">
        <v>0</v>
      </c>
      <c r="C19" s="258">
        <v>1.18</v>
      </c>
      <c r="D19" s="29"/>
      <c r="E19" s="4"/>
      <c r="H19" s="12"/>
      <c r="I19" s="4"/>
      <c r="J19" s="17"/>
      <c r="L19" s="25"/>
    </row>
    <row r="20" spans="1:12" ht="15.75" x14ac:dyDescent="0.25">
      <c r="A20" s="256" t="s">
        <v>44</v>
      </c>
      <c r="B20" s="256" t="s">
        <v>45</v>
      </c>
      <c r="C20" s="256" t="s">
        <v>169</v>
      </c>
      <c r="D20" s="21"/>
      <c r="I20" s="31"/>
      <c r="J20" s="32"/>
      <c r="K20" s="33"/>
      <c r="L20" s="34"/>
    </row>
    <row r="21" spans="1:12" ht="15.75" x14ac:dyDescent="0.25">
      <c r="A21" s="257">
        <f>B14+0.00001</f>
        <v>0.11929554873417722</v>
      </c>
      <c r="B21">
        <f>($B$10*$I$1/(A21-$B$14)-$B$13/A21^2)/100</f>
        <v>2442337.184530498</v>
      </c>
      <c r="C21"/>
      <c r="I21" s="34"/>
      <c r="J21" s="34"/>
      <c r="K21" s="34"/>
      <c r="L21" s="34"/>
    </row>
    <row r="22" spans="1:12" ht="15.75" x14ac:dyDescent="0.25">
      <c r="A22" s="257">
        <f>A21*$C$19</f>
        <v>0.14076874750632912</v>
      </c>
      <c r="B22">
        <f t="shared" ref="B22:B85" si="0">($B$10*$I$1/(A22-$B$14)-$B$13/A22^2)/100</f>
        <v>-296.72251876701034</v>
      </c>
      <c r="C22"/>
      <c r="E22" s="195"/>
      <c r="I22" s="34"/>
      <c r="J22" s="34"/>
      <c r="K22" s="34"/>
      <c r="L22" s="34"/>
    </row>
    <row r="23" spans="1:12" ht="15.75" x14ac:dyDescent="0.25">
      <c r="A23" s="257">
        <f t="shared" ref="A23:A86" si="1">A22*$C$19</f>
        <v>0.16610712205746836</v>
      </c>
      <c r="B23">
        <f t="shared" si="0"/>
        <v>-508.19072721520098</v>
      </c>
      <c r="C23"/>
      <c r="I23" s="34"/>
      <c r="J23" s="34"/>
      <c r="K23" s="34"/>
      <c r="L23" s="34"/>
    </row>
    <row r="24" spans="1:12" ht="15.75" x14ac:dyDescent="0.25">
      <c r="A24" s="257">
        <f t="shared" si="1"/>
        <v>0.19600640402781266</v>
      </c>
      <c r="B24">
        <f t="shared" si="0"/>
        <v>-421.30399017409769</v>
      </c>
      <c r="C24"/>
      <c r="I24" s="34"/>
      <c r="J24" s="32"/>
      <c r="K24" s="32"/>
      <c r="L24" s="34"/>
    </row>
    <row r="25" spans="1:12" ht="15.75" x14ac:dyDescent="0.25">
      <c r="A25" s="257">
        <f t="shared" si="1"/>
        <v>0.23128755675281892</v>
      </c>
      <c r="B25">
        <f t="shared" si="0"/>
        <v>-313.14804026629793</v>
      </c>
      <c r="C25"/>
      <c r="I25" s="34"/>
      <c r="J25" s="32"/>
      <c r="K25" s="32"/>
      <c r="L25" s="34"/>
    </row>
    <row r="26" spans="1:12" ht="15.75" x14ac:dyDescent="0.25">
      <c r="A26" s="257">
        <f t="shared" si="1"/>
        <v>0.27291931696832633</v>
      </c>
      <c r="B26">
        <f t="shared" si="0"/>
        <v>-222.53340525170293</v>
      </c>
      <c r="C26"/>
      <c r="I26" s="34"/>
      <c r="J26" s="32"/>
      <c r="K26" s="32"/>
      <c r="L26" s="34"/>
    </row>
    <row r="27" spans="1:12" ht="15.75" x14ac:dyDescent="0.25">
      <c r="A27" s="257">
        <f t="shared" si="1"/>
        <v>0.32204479402262504</v>
      </c>
      <c r="B27">
        <f t="shared" si="0"/>
        <v>-153.53062146829046</v>
      </c>
      <c r="C27"/>
      <c r="I27" s="34"/>
      <c r="J27" s="34"/>
      <c r="K27" s="34"/>
      <c r="L27" s="34"/>
    </row>
    <row r="28" spans="1:12" ht="15.75" x14ac:dyDescent="0.25">
      <c r="A28" s="257">
        <f t="shared" si="1"/>
        <v>0.38001285694669751</v>
      </c>
      <c r="B28">
        <f t="shared" si="0"/>
        <v>-103.09236456387424</v>
      </c>
      <c r="C28"/>
      <c r="I28" s="34"/>
      <c r="J28" s="34"/>
      <c r="K28" s="34"/>
      <c r="L28" s="34"/>
    </row>
    <row r="29" spans="1:12" ht="15.75" x14ac:dyDescent="0.25">
      <c r="A29" s="257">
        <f t="shared" si="1"/>
        <v>0.44841517119710306</v>
      </c>
      <c r="B29">
        <f t="shared" si="0"/>
        <v>-67.102940187250852</v>
      </c>
      <c r="C29"/>
      <c r="D29"/>
      <c r="E29"/>
      <c r="F29"/>
      <c r="I29" s="34"/>
      <c r="J29" s="34"/>
      <c r="K29" s="34"/>
      <c r="L29" s="34"/>
    </row>
    <row r="30" spans="1:12" ht="15.75" x14ac:dyDescent="0.25">
      <c r="A30" s="257">
        <f t="shared" si="1"/>
        <v>0.52912990201258159</v>
      </c>
      <c r="B30">
        <f t="shared" si="0"/>
        <v>-41.888861834574399</v>
      </c>
      <c r="C30"/>
      <c r="D30"/>
      <c r="E30"/>
      <c r="F30"/>
      <c r="I30" s="34"/>
      <c r="J30" s="31"/>
      <c r="K30" s="35"/>
      <c r="L30" s="34"/>
    </row>
    <row r="31" spans="1:12" ht="15.75" x14ac:dyDescent="0.25">
      <c r="A31" s="257">
        <f t="shared" si="1"/>
        <v>0.62437328437484629</v>
      </c>
      <c r="B31">
        <f t="shared" si="0"/>
        <v>-24.522591005925751</v>
      </c>
      <c r="C31"/>
      <c r="D31"/>
      <c r="E31"/>
      <c r="F31"/>
      <c r="I31" s="34"/>
      <c r="J31" s="31"/>
      <c r="K31" s="35"/>
      <c r="L31" s="34"/>
    </row>
    <row r="32" spans="1:12" ht="15.75" x14ac:dyDescent="0.25">
      <c r="A32" s="257">
        <f t="shared" si="1"/>
        <v>0.73676047556231861</v>
      </c>
      <c r="B32">
        <f t="shared" si="0"/>
        <v>-12.78177200110113</v>
      </c>
      <c r="C32"/>
      <c r="D32"/>
      <c r="E32"/>
      <c r="F32"/>
      <c r="I32" s="34"/>
      <c r="J32" s="31"/>
      <c r="K32" s="36"/>
      <c r="L32" s="34"/>
    </row>
    <row r="33" spans="1:12" ht="15.75" x14ac:dyDescent="0.25">
      <c r="A33" s="257">
        <f t="shared" si="1"/>
        <v>0.86937736116353592</v>
      </c>
      <c r="B33">
        <f t="shared" si="0"/>
        <v>-5.0225605442930279</v>
      </c>
      <c r="C33"/>
      <c r="D33"/>
      <c r="E33"/>
      <c r="F33"/>
      <c r="I33" s="34"/>
      <c r="J33" s="31"/>
      <c r="K33" s="33"/>
      <c r="L33" s="34"/>
    </row>
    <row r="34" spans="1:12" ht="15.75" x14ac:dyDescent="0.25">
      <c r="A34" s="257">
        <f t="shared" si="1"/>
        <v>1.0258652861729722</v>
      </c>
      <c r="B34">
        <f t="shared" si="0"/>
        <v>-4.8542608219563591E-2</v>
      </c>
      <c r="C34"/>
      <c r="D34"/>
      <c r="E34"/>
      <c r="F34"/>
      <c r="I34" s="34"/>
      <c r="J34" s="34"/>
      <c r="K34" s="34"/>
      <c r="L34" s="34"/>
    </row>
    <row r="35" spans="1:12" ht="15.75" x14ac:dyDescent="0.25">
      <c r="A35" s="257">
        <f t="shared" si="1"/>
        <v>1.2105210376841071</v>
      </c>
      <c r="B35">
        <f t="shared" si="0"/>
        <v>3.0010340299166454</v>
      </c>
      <c r="C35"/>
      <c r="D35"/>
      <c r="E35"/>
      <c r="F35"/>
      <c r="I35" s="34"/>
      <c r="J35" s="34"/>
      <c r="K35" s="34"/>
      <c r="L35" s="34"/>
    </row>
    <row r="36" spans="1:12" ht="15.75" x14ac:dyDescent="0.25">
      <c r="A36" s="257">
        <f t="shared" si="1"/>
        <v>1.4284148244672463</v>
      </c>
      <c r="B36">
        <f t="shared" si="0"/>
        <v>4.7396343778799563</v>
      </c>
      <c r="C36"/>
      <c r="D36"/>
      <c r="E36"/>
      <c r="F36"/>
    </row>
    <row r="37" spans="1:12" ht="15.75" x14ac:dyDescent="0.25">
      <c r="A37" s="257">
        <f t="shared" si="1"/>
        <v>1.6855294928713507</v>
      </c>
      <c r="B37">
        <f t="shared" si="0"/>
        <v>5.6007313389440778</v>
      </c>
      <c r="C37"/>
      <c r="D37"/>
      <c r="E37"/>
      <c r="F37"/>
    </row>
    <row r="38" spans="1:12" ht="15.75" x14ac:dyDescent="0.25">
      <c r="A38" s="257">
        <f t="shared" si="1"/>
        <v>1.9889248015881937</v>
      </c>
      <c r="B38">
        <f t="shared" si="0"/>
        <v>5.8879529723522612</v>
      </c>
      <c r="C38"/>
      <c r="D38"/>
      <c r="E38"/>
      <c r="F38"/>
    </row>
    <row r="39" spans="1:12" ht="15.75" x14ac:dyDescent="0.25">
      <c r="A39" s="257">
        <f t="shared" si="1"/>
        <v>2.3469312658740686</v>
      </c>
      <c r="B39">
        <f t="shared" si="0"/>
        <v>5.8119408730504354</v>
      </c>
      <c r="C39"/>
      <c r="D39"/>
      <c r="E39"/>
      <c r="F39"/>
    </row>
    <row r="40" spans="1:12" ht="15.75" x14ac:dyDescent="0.25">
      <c r="A40" s="257">
        <f t="shared" si="1"/>
        <v>2.769378893731401</v>
      </c>
      <c r="B40">
        <f t="shared" si="0"/>
        <v>5.5171837558124119</v>
      </c>
      <c r="C40"/>
    </row>
    <row r="41" spans="1:12" ht="15.75" x14ac:dyDescent="0.25">
      <c r="A41" s="257">
        <f t="shared" si="1"/>
        <v>3.2678670946030528</v>
      </c>
      <c r="B41">
        <f t="shared" si="0"/>
        <v>5.1014126734826659</v>
      </c>
      <c r="C41"/>
    </row>
    <row r="42" spans="1:12" ht="15.75" x14ac:dyDescent="0.25">
      <c r="A42" s="257">
        <f t="shared" si="1"/>
        <v>3.8560831716316022</v>
      </c>
      <c r="B42">
        <f t="shared" si="0"/>
        <v>4.6295373974327143</v>
      </c>
      <c r="C42"/>
    </row>
    <row r="43" spans="1:12" ht="15.75" x14ac:dyDescent="0.25">
      <c r="A43" s="257">
        <f t="shared" si="1"/>
        <v>4.5501781425252901</v>
      </c>
      <c r="B43">
        <f t="shared" si="0"/>
        <v>4.1436080105240336</v>
      </c>
      <c r="C43"/>
    </row>
    <row r="44" spans="1:12" ht="15.75" x14ac:dyDescent="0.25">
      <c r="A44" s="257">
        <f t="shared" si="1"/>
        <v>5.3692102081798421</v>
      </c>
      <c r="B44">
        <f t="shared" si="0"/>
        <v>3.6698995899178755</v>
      </c>
      <c r="C44"/>
    </row>
    <row r="45" spans="1:12" ht="15.75" x14ac:dyDescent="0.25">
      <c r="A45" s="257">
        <f t="shared" si="1"/>
        <v>6.3356680456522136</v>
      </c>
      <c r="B45">
        <f t="shared" si="0"/>
        <v>3.2239247804551474</v>
      </c>
      <c r="C45"/>
    </row>
    <row r="46" spans="1:12" ht="15.75" x14ac:dyDescent="0.25">
      <c r="A46" s="257">
        <f t="shared" si="1"/>
        <v>7.476088293869612</v>
      </c>
      <c r="B46">
        <f t="shared" si="0"/>
        <v>2.8139603091771601</v>
      </c>
      <c r="C46"/>
    </row>
    <row r="47" spans="1:12" ht="15.75" x14ac:dyDescent="0.25">
      <c r="A47" s="257">
        <f t="shared" si="1"/>
        <v>8.8217841867661413</v>
      </c>
      <c r="B47">
        <f t="shared" si="0"/>
        <v>2.4435120221113982</v>
      </c>
      <c r="C47"/>
    </row>
    <row r="48" spans="1:12" ht="15.75" x14ac:dyDescent="0.25">
      <c r="A48" s="257">
        <f t="shared" si="1"/>
        <v>10.409705340384047</v>
      </c>
      <c r="B48">
        <f t="shared" si="0"/>
        <v>2.1130247644127356</v>
      </c>
      <c r="C48"/>
    </row>
    <row r="49" spans="1:3" ht="15.75" x14ac:dyDescent="0.25">
      <c r="A49" s="257">
        <f t="shared" si="1"/>
        <v>12.283452301653174</v>
      </c>
      <c r="B49">
        <f t="shared" si="0"/>
        <v>1.8210573096069405</v>
      </c>
      <c r="C49"/>
    </row>
    <row r="50" spans="1:3" ht="15.75" x14ac:dyDescent="0.25">
      <c r="A50" s="257">
        <f t="shared" si="1"/>
        <v>14.494473715950745</v>
      </c>
      <c r="B50">
        <f t="shared" si="0"/>
        <v>1.5650801148210485</v>
      </c>
      <c r="C50"/>
    </row>
    <row r="51" spans="1:3" ht="15.75" x14ac:dyDescent="0.25">
      <c r="A51" s="257">
        <f t="shared" si="1"/>
        <v>17.10347898482188</v>
      </c>
      <c r="B51">
        <f t="shared" si="0"/>
        <v>1.3420085850433718</v>
      </c>
      <c r="C51"/>
    </row>
    <row r="52" spans="1:3" ht="15.75" x14ac:dyDescent="0.25">
      <c r="A52" s="257">
        <f t="shared" si="1"/>
        <v>20.182105202089819</v>
      </c>
      <c r="B52">
        <f t="shared" si="0"/>
        <v>1.1485520577411181</v>
      </c>
      <c r="C52"/>
    </row>
    <row r="53" spans="1:3" ht="15.75" x14ac:dyDescent="0.25">
      <c r="A53" s="257">
        <f t="shared" si="1"/>
        <v>23.814884138465985</v>
      </c>
      <c r="B53">
        <f t="shared" si="0"/>
        <v>0.98143540162850829</v>
      </c>
      <c r="C53"/>
    </row>
    <row r="54" spans="1:3" ht="15.75" x14ac:dyDescent="0.25">
      <c r="A54" s="257">
        <f t="shared" si="1"/>
        <v>28.101563283389861</v>
      </c>
      <c r="B54">
        <f t="shared" si="0"/>
        <v>0.83753342363555849</v>
      </c>
      <c r="C54"/>
    </row>
    <row r="55" spans="1:3" ht="15.75" x14ac:dyDescent="0.25">
      <c r="A55" s="257">
        <f t="shared" si="1"/>
        <v>33.159844674400034</v>
      </c>
      <c r="B55">
        <f t="shared" si="0"/>
        <v>0.7139463496010634</v>
      </c>
      <c r="C55"/>
    </row>
    <row r="56" spans="1:3" ht="15.75" x14ac:dyDescent="0.25">
      <c r="A56" s="257">
        <f t="shared" si="1"/>
        <v>39.128616715792042</v>
      </c>
      <c r="B56">
        <f t="shared" si="0"/>
        <v>0.60803614733134426</v>
      </c>
      <c r="C56"/>
    </row>
    <row r="57" spans="1:3" ht="15.75" x14ac:dyDescent="0.25">
      <c r="A57" s="257">
        <f t="shared" si="1"/>
        <v>46.171767724634606</v>
      </c>
      <c r="B57">
        <f t="shared" si="0"/>
        <v>0.51743742645839896</v>
      </c>
      <c r="C57"/>
    </row>
    <row r="58" spans="1:3" ht="15.75" x14ac:dyDescent="0.25">
      <c r="A58" s="257">
        <f t="shared" si="1"/>
        <v>54.482685915068835</v>
      </c>
      <c r="B58">
        <f t="shared" si="0"/>
        <v>0.44005237879222747</v>
      </c>
      <c r="C58"/>
    </row>
    <row r="59" spans="1:3" ht="15.75" x14ac:dyDescent="0.25">
      <c r="A59" s="257">
        <f t="shared" si="1"/>
        <v>64.289569379781227</v>
      </c>
      <c r="B59">
        <f t="shared" si="0"/>
        <v>0.37403621211251886</v>
      </c>
      <c r="C59"/>
    </row>
    <row r="60" spans="1:3" ht="15.75" x14ac:dyDescent="0.25">
      <c r="A60" s="257">
        <f t="shared" si="1"/>
        <v>75.861691868141847</v>
      </c>
      <c r="B60">
        <f t="shared" si="0"/>
        <v>0.31777741773702273</v>
      </c>
      <c r="C60"/>
    </row>
    <row r="61" spans="1:3" ht="15.75" x14ac:dyDescent="0.25">
      <c r="A61" s="257">
        <f t="shared" si="1"/>
        <v>89.516796404407373</v>
      </c>
      <c r="B61">
        <f t="shared" si="0"/>
        <v>0.26987573815485938</v>
      </c>
      <c r="C61"/>
    </row>
    <row r="62" spans="1:3" ht="15.75" x14ac:dyDescent="0.25">
      <c r="A62" s="257">
        <f t="shared" si="1"/>
        <v>105.62981975720069</v>
      </c>
      <c r="B62">
        <f t="shared" si="0"/>
        <v>0.22911967963996221</v>
      </c>
      <c r="C62"/>
    </row>
    <row r="63" spans="1:3" ht="15.75" x14ac:dyDescent="0.25">
      <c r="A63" s="257">
        <f t="shared" si="1"/>
        <v>124.64318731349681</v>
      </c>
      <c r="B63">
        <f t="shared" si="0"/>
        <v>0.19446471320477496</v>
      </c>
      <c r="C63"/>
    </row>
    <row r="64" spans="1:3" ht="15.75" x14ac:dyDescent="0.25">
      <c r="A64" s="257">
        <f t="shared" si="1"/>
        <v>147.07896102992623</v>
      </c>
      <c r="B64">
        <f t="shared" si="0"/>
        <v>0.16501283074891229</v>
      </c>
      <c r="C64"/>
    </row>
    <row r="65" spans="1:3" ht="15.75" x14ac:dyDescent="0.25">
      <c r="A65" s="257">
        <f t="shared" si="1"/>
        <v>173.55317401531295</v>
      </c>
      <c r="B65">
        <f t="shared" si="0"/>
        <v>0.13999380435313544</v>
      </c>
      <c r="C65"/>
    </row>
    <row r="66" spans="1:3" ht="15.75" x14ac:dyDescent="0.25">
      <c r="A66" s="257">
        <f t="shared" si="1"/>
        <v>204.79274533806927</v>
      </c>
      <c r="B66">
        <f t="shared" si="0"/>
        <v>0.11874828748208248</v>
      </c>
      <c r="C66"/>
    </row>
    <row r="67" spans="1:3" ht="15.75" x14ac:dyDescent="0.25">
      <c r="A67" s="257">
        <f t="shared" si="1"/>
        <v>241.65543949892171</v>
      </c>
      <c r="B67">
        <f t="shared" si="0"/>
        <v>0.1007127634951773</v>
      </c>
      <c r="C67"/>
    </row>
    <row r="68" spans="1:3" ht="15.75" x14ac:dyDescent="0.25">
      <c r="A68" s="257">
        <f t="shared" si="1"/>
        <v>285.15341860872758</v>
      </c>
      <c r="B68">
        <f t="shared" si="0"/>
        <v>8.5406265414375723E-2</v>
      </c>
      <c r="C68"/>
    </row>
    <row r="69" spans="1:3" ht="15.75" x14ac:dyDescent="0.25">
      <c r="A69" s="257">
        <f t="shared" si="1"/>
        <v>336.4810339582985</v>
      </c>
      <c r="B69">
        <f t="shared" si="0"/>
        <v>7.2418744563470736E-2</v>
      </c>
      <c r="C69"/>
    </row>
    <row r="70" spans="1:3" ht="15.75" x14ac:dyDescent="0.25">
      <c r="A70" s="257">
        <f t="shared" si="1"/>
        <v>397.04762007079222</v>
      </c>
      <c r="B70">
        <f t="shared" si="0"/>
        <v>6.1400942736498758E-2</v>
      </c>
      <c r="C70"/>
    </row>
    <row r="71" spans="1:3" ht="15.75" x14ac:dyDescent="0.25">
      <c r="A71" s="257">
        <f t="shared" si="1"/>
        <v>468.51619168353477</v>
      </c>
      <c r="B71">
        <f t="shared" si="0"/>
        <v>5.2055614817440615E-2</v>
      </c>
      <c r="C71"/>
    </row>
    <row r="72" spans="1:3" ht="15.75" x14ac:dyDescent="0.25">
      <c r="A72" s="257">
        <f t="shared" si="1"/>
        <v>552.84910618657102</v>
      </c>
      <c r="B72">
        <f t="shared" si="0"/>
        <v>4.4129950639391707E-2</v>
      </c>
      <c r="C72"/>
    </row>
    <row r="73" spans="1:3" ht="15.75" x14ac:dyDescent="0.25">
      <c r="A73" s="257">
        <f t="shared" si="1"/>
        <v>652.36194530015382</v>
      </c>
      <c r="B73">
        <f t="shared" si="0"/>
        <v>3.7409052503426632E-2</v>
      </c>
      <c r="C73"/>
    </row>
    <row r="74" spans="1:3" ht="15.75" x14ac:dyDescent="0.25">
      <c r="A74" s="257">
        <f t="shared" si="1"/>
        <v>769.78709545418144</v>
      </c>
      <c r="B74">
        <f t="shared" si="0"/>
        <v>3.1710335592342355E-2</v>
      </c>
      <c r="C74"/>
    </row>
    <row r="75" spans="1:3" ht="15.75" x14ac:dyDescent="0.25">
      <c r="A75" s="257">
        <f t="shared" si="1"/>
        <v>908.3487726359341</v>
      </c>
      <c r="B75">
        <f t="shared" si="0"/>
        <v>2.687873080268376E-2</v>
      </c>
      <c r="C75"/>
    </row>
    <row r="76" spans="1:3" ht="15.75" x14ac:dyDescent="0.25">
      <c r="A76" s="257">
        <f t="shared" si="1"/>
        <v>1071.8515517104022</v>
      </c>
      <c r="B76">
        <f t="shared" si="0"/>
        <v>2.2782582175680199E-2</v>
      </c>
      <c r="C76"/>
    </row>
    <row r="77" spans="1:3" ht="15.75" x14ac:dyDescent="0.25">
      <c r="A77" s="257">
        <f t="shared" si="1"/>
        <v>1264.7848310182744</v>
      </c>
      <c r="B77">
        <f t="shared" si="0"/>
        <v>1.9310143445771172E-2</v>
      </c>
      <c r="C77"/>
    </row>
    <row r="78" spans="1:3" ht="15.75" x14ac:dyDescent="0.25">
      <c r="A78" s="257">
        <f t="shared" si="1"/>
        <v>1492.4461006015638</v>
      </c>
      <c r="B78">
        <f t="shared" si="0"/>
        <v>1.6366589839009196E-2</v>
      </c>
      <c r="C78"/>
    </row>
    <row r="79" spans="1:3" ht="15.75" x14ac:dyDescent="0.25">
      <c r="A79" s="257">
        <f t="shared" si="1"/>
        <v>1761.0863987098451</v>
      </c>
      <c r="B79">
        <f t="shared" si="0"/>
        <v>1.3871471927197909E-2</v>
      </c>
      <c r="C79"/>
    </row>
    <row r="80" spans="1:3" ht="15.75" x14ac:dyDescent="0.25">
      <c r="A80" s="257">
        <f t="shared" si="1"/>
        <v>2078.0819504776173</v>
      </c>
      <c r="B80">
        <f t="shared" si="0"/>
        <v>1.1756547986292044E-2</v>
      </c>
      <c r="C80"/>
    </row>
    <row r="81" spans="1:3" ht="15.75" x14ac:dyDescent="0.25">
      <c r="A81" s="257">
        <f t="shared" si="1"/>
        <v>2452.1367015635883</v>
      </c>
      <c r="B81">
        <f t="shared" si="0"/>
        <v>9.9639399083387807E-3</v>
      </c>
      <c r="C81"/>
    </row>
    <row r="82" spans="1:3" ht="15.75" x14ac:dyDescent="0.25">
      <c r="A82" s="257">
        <f t="shared" si="1"/>
        <v>2893.5213078450342</v>
      </c>
      <c r="B82">
        <f t="shared" si="0"/>
        <v>8.4445653131436232E-3</v>
      </c>
      <c r="C82"/>
    </row>
    <row r="83" spans="1:3" ht="15.75" x14ac:dyDescent="0.25">
      <c r="A83" s="257">
        <f t="shared" si="1"/>
        <v>3414.3551432571403</v>
      </c>
      <c r="B83">
        <f t="shared" si="0"/>
        <v>7.1568051652104456E-3</v>
      </c>
      <c r="C83"/>
    </row>
    <row r="84" spans="1:3" ht="15.75" x14ac:dyDescent="0.25">
      <c r="A84" s="257">
        <f t="shared" si="1"/>
        <v>4028.9390690434252</v>
      </c>
      <c r="B84">
        <f t="shared" si="0"/>
        <v>6.0653720039907759E-3</v>
      </c>
      <c r="C84"/>
    </row>
    <row r="85" spans="1:3" ht="15.75" x14ac:dyDescent="0.25">
      <c r="A85" s="257">
        <f t="shared" si="1"/>
        <v>4754.1481014712417</v>
      </c>
      <c r="B85">
        <f t="shared" si="0"/>
        <v>5.1403489270026971E-3</v>
      </c>
      <c r="C85"/>
    </row>
    <row r="86" spans="1:3" ht="15.75" x14ac:dyDescent="0.25">
      <c r="A86" s="257">
        <f t="shared" si="1"/>
        <v>5609.8947597360648</v>
      </c>
      <c r="B86">
        <f>($B$10*$I$1/(A86-$B$14)-$B$13/A86^2)/100</f>
        <v>4.3563738113801811E-3</v>
      </c>
      <c r="C86"/>
    </row>
    <row r="87" spans="1:3" ht="15.75" x14ac:dyDescent="0.25">
      <c r="A87"/>
      <c r="B87"/>
      <c r="C87"/>
    </row>
    <row r="88" spans="1:3" ht="15.75" x14ac:dyDescent="0.25">
      <c r="A88"/>
      <c r="B88"/>
      <c r="C88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88"/>
  <sheetViews>
    <sheetView workbookViewId="0"/>
  </sheetViews>
  <sheetFormatPr defaultColWidth="8" defaultRowHeight="12.75" x14ac:dyDescent="0.2"/>
  <cols>
    <col min="1" max="4" width="8" style="2" customWidth="1"/>
    <col min="5" max="5" width="13.875" style="2" customWidth="1"/>
    <col min="6" max="16384" width="8" style="2"/>
  </cols>
  <sheetData>
    <row r="1" spans="1:15" ht="18" x14ac:dyDescent="0.25">
      <c r="A1" s="143" t="str">
        <f>' T = Tb'!A1</f>
        <v>Benzene</v>
      </c>
      <c r="E1" s="2" t="s">
        <v>0</v>
      </c>
      <c r="F1" s="2">
        <v>1</v>
      </c>
      <c r="H1" s="3" t="s">
        <v>1</v>
      </c>
      <c r="I1" s="2">
        <f>' T = Tb'!O11</f>
        <v>306.13993921716707</v>
      </c>
      <c r="J1" s="2" t="s">
        <v>2</v>
      </c>
    </row>
    <row r="2" spans="1:15" ht="15.75" x14ac:dyDescent="0.3">
      <c r="A2" s="4" t="s">
        <v>15</v>
      </c>
      <c r="B2" s="5">
        <f>' T = Tb'!B2</f>
        <v>78.114000000000004</v>
      </c>
      <c r="C2" s="2" t="s">
        <v>3</v>
      </c>
      <c r="E2" s="4" t="s">
        <v>4</v>
      </c>
      <c r="F2" s="2">
        <f>' T = Tb'!F2</f>
        <v>-7.0143300000000002</v>
      </c>
      <c r="H2" s="3" t="s">
        <v>16</v>
      </c>
      <c r="I2" s="2">
        <f>1-I1/B3</f>
        <v>0.45542205205427799</v>
      </c>
      <c r="M2" s="4"/>
    </row>
    <row r="3" spans="1:15" ht="15.75" x14ac:dyDescent="0.3">
      <c r="A3" s="4" t="s">
        <v>17</v>
      </c>
      <c r="B3" s="5">
        <f>' T = Tb'!B3</f>
        <v>562.16</v>
      </c>
      <c r="C3" s="2" t="s">
        <v>2</v>
      </c>
      <c r="E3" s="4" t="s">
        <v>5</v>
      </c>
      <c r="F3" s="2">
        <f>' T = Tb'!F3</f>
        <v>1.5525599999999999</v>
      </c>
      <c r="H3" s="3" t="s">
        <v>6</v>
      </c>
      <c r="I3" s="144">
        <f>(B4*EXP((F2*I2+F3*I2^1.5+F4*I2^2.5+F5*I2^5)/(1-I2)))</f>
        <v>0.18143013473605477</v>
      </c>
      <c r="J3" s="2" t="s">
        <v>7</v>
      </c>
      <c r="M3" s="4"/>
    </row>
    <row r="4" spans="1:15" ht="15.75" x14ac:dyDescent="0.3">
      <c r="A4" s="4" t="s">
        <v>18</v>
      </c>
      <c r="B4" s="5">
        <f>' T = Tb'!B4</f>
        <v>48.98</v>
      </c>
      <c r="C4" s="2" t="s">
        <v>7</v>
      </c>
      <c r="E4" s="4" t="s">
        <v>8</v>
      </c>
      <c r="F4" s="2">
        <f>' T = Tb'!F4</f>
        <v>-1.8479000000000001</v>
      </c>
      <c r="H4" s="3" t="s">
        <v>6</v>
      </c>
      <c r="I4" s="2">
        <f>I3*100</f>
        <v>18.143013473605478</v>
      </c>
      <c r="J4" s="2" t="s">
        <v>9</v>
      </c>
      <c r="M4" s="4"/>
      <c r="N4" s="6"/>
    </row>
    <row r="5" spans="1:15" ht="15.75" x14ac:dyDescent="0.3">
      <c r="A5" s="4" t="s">
        <v>18</v>
      </c>
      <c r="B5" s="5">
        <f>' T = Tb'!B5</f>
        <v>4898</v>
      </c>
      <c r="C5" s="2" t="s">
        <v>9</v>
      </c>
      <c r="E5" s="4" t="s">
        <v>10</v>
      </c>
      <c r="F5" s="2">
        <f>' T = Tb'!F5</f>
        <v>-3.7130000000000001</v>
      </c>
      <c r="H5" s="4"/>
      <c r="M5" s="4"/>
      <c r="N5" s="6"/>
    </row>
    <row r="6" spans="1:15" ht="15.75" x14ac:dyDescent="0.3">
      <c r="A6" s="4" t="s">
        <v>19</v>
      </c>
      <c r="B6" s="5">
        <f>' T = Tb'!B6</f>
        <v>256</v>
      </c>
      <c r="C6" s="2" t="s">
        <v>20</v>
      </c>
      <c r="E6" s="4" t="s">
        <v>21</v>
      </c>
      <c r="F6" s="2">
        <f>' T = Tb'!F6</f>
        <v>250</v>
      </c>
      <c r="G6" s="7">
        <f>F6/B3</f>
        <v>0.44471324889711117</v>
      </c>
      <c r="H6" s="2" t="s">
        <v>22</v>
      </c>
      <c r="I6" s="2">
        <v>2.5712194055283128E-3</v>
      </c>
    </row>
    <row r="7" spans="1:15" ht="15.75" x14ac:dyDescent="0.3">
      <c r="A7" s="4" t="s">
        <v>19</v>
      </c>
      <c r="B7" s="5">
        <f>' T = Tb'!B7</f>
        <v>0.25600000000000001</v>
      </c>
      <c r="C7" s="8" t="s">
        <v>23</v>
      </c>
      <c r="E7" s="4" t="s">
        <v>24</v>
      </c>
      <c r="F7" s="2">
        <f>' T = Tb'!F7</f>
        <v>562.16</v>
      </c>
      <c r="G7" s="7">
        <f>F7/B3</f>
        <v>1</v>
      </c>
      <c r="H7" s="2" t="s">
        <v>25</v>
      </c>
      <c r="I7" s="2">
        <f>I6/I3</f>
        <v>1.4171953348703248E-2</v>
      </c>
    </row>
    <row r="8" spans="1:15" ht="15.75" x14ac:dyDescent="0.3">
      <c r="A8" s="4" t="s">
        <v>26</v>
      </c>
      <c r="B8" s="5">
        <f>' T = Tb'!B8</f>
        <v>0.26800000000000002</v>
      </c>
      <c r="E8" s="4" t="s">
        <v>27</v>
      </c>
      <c r="F8" s="18">
        <f>' T = Tb'!F8</f>
        <v>353.24</v>
      </c>
      <c r="G8" s="7">
        <f>F8/B3</f>
        <v>0.6283620321616622</v>
      </c>
      <c r="H8" s="2" t="s">
        <v>28</v>
      </c>
    </row>
    <row r="9" spans="1:15" x14ac:dyDescent="0.2">
      <c r="A9" s="9" t="s">
        <v>29</v>
      </c>
      <c r="B9" s="5">
        <f>' T = Tb'!B9</f>
        <v>0.21</v>
      </c>
      <c r="E9" s="4"/>
      <c r="F9" s="2">
        <f>' T = Tb'!F9</f>
        <v>101.325</v>
      </c>
      <c r="K9" s="4"/>
    </row>
    <row r="10" spans="1:15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5" x14ac:dyDescent="0.2">
      <c r="A11" s="10" t="s">
        <v>13</v>
      </c>
      <c r="K11" s="11"/>
      <c r="M11" s="12"/>
    </row>
    <row r="12" spans="1:15" ht="18.75" x14ac:dyDescent="0.3">
      <c r="A12" s="13" t="s">
        <v>31</v>
      </c>
      <c r="B12" s="14">
        <f>27/64*(B10*B3)^2/B5</f>
        <v>1881.7339064250737</v>
      </c>
      <c r="C12" s="15"/>
      <c r="E12" s="16" t="s">
        <v>14</v>
      </c>
      <c r="H12" s="4" t="s">
        <v>32</v>
      </c>
      <c r="I12" s="191">
        <f>(2*B19)-B14-(B10*I1/I4)</f>
        <v>-140.41591211099683</v>
      </c>
      <c r="J12" s="17">
        <f>-(B18+B15+B16)</f>
        <v>-140.41591211099683</v>
      </c>
      <c r="K12" s="6"/>
      <c r="N12" s="4"/>
      <c r="O12" s="18"/>
    </row>
    <row r="13" spans="1:15" ht="18.75" x14ac:dyDescent="0.3">
      <c r="A13" s="13" t="s">
        <v>33</v>
      </c>
      <c r="B13" s="19">
        <v>2784.3170844830029</v>
      </c>
      <c r="C13" s="12">
        <f>' T = Tb'!P11</f>
        <v>2768.4543224785134</v>
      </c>
      <c r="E13" s="193">
        <f>ABS(B10*I1*LN((B16-B14)/(B15-B14))+B13*(1/(B16+B19)-1/(B15+B19))-I4*(B16-B15))</f>
        <v>2.3850487650634022E-5</v>
      </c>
      <c r="F13" s="21">
        <f>E13+E15+E16</f>
        <v>1.3158736633499757E-2</v>
      </c>
      <c r="H13" s="4" t="s">
        <v>34</v>
      </c>
      <c r="I13" s="191">
        <f>(B19^2)-(2*B19*B14)-(2*B10*I1*B19/I4)+(B13/I4)</f>
        <v>153.46497364032925</v>
      </c>
      <c r="J13" s="17">
        <f>B15*B16+B15*B18+B18*B16</f>
        <v>153.46497373469822</v>
      </c>
      <c r="K13" s="6"/>
      <c r="L13" s="26">
        <f>B13/B12</f>
        <v>1.4796550537650994</v>
      </c>
      <c r="N13" s="4"/>
      <c r="O13" s="18"/>
    </row>
    <row r="14" spans="1:15" ht="18.75" x14ac:dyDescent="0.5">
      <c r="A14" s="147" t="s">
        <v>35</v>
      </c>
      <c r="B14" s="262">
        <f>B10*B3/8/B5</f>
        <v>0.11928554873417722</v>
      </c>
      <c r="C14" s="263" t="s">
        <v>23</v>
      </c>
      <c r="H14" s="4" t="s">
        <v>36</v>
      </c>
      <c r="I14" s="191">
        <f>(-B14*(B19^2))-(B10*I1*(B19^2)/I4)-(B13*B14/I4)</f>
        <v>-18.306153592162715</v>
      </c>
      <c r="J14" s="17">
        <f>-(B18*B15*B16)</f>
        <v>-18.306153605021837</v>
      </c>
      <c r="K14" s="6"/>
      <c r="L14" s="26">
        <f>B15/B14</f>
        <v>1.1422688944434423</v>
      </c>
      <c r="N14" s="4"/>
      <c r="O14" s="18"/>
    </row>
    <row r="15" spans="1:15" ht="19.5" x14ac:dyDescent="0.5">
      <c r="A15" s="135" t="s">
        <v>37</v>
      </c>
      <c r="B15" s="264">
        <v>0.13625617187566796</v>
      </c>
      <c r="C15" s="263" t="s">
        <v>23</v>
      </c>
      <c r="D15" s="24" t="s">
        <v>38</v>
      </c>
      <c r="E15" s="25">
        <f>1000000*ABS(B15^3+I12*B15^2+I13*B15+I14)</f>
        <v>7.673861546209082E-7</v>
      </c>
      <c r="K15" s="4"/>
      <c r="L15" s="26">
        <f>B16/B17</f>
        <v>0.99300526893634311</v>
      </c>
    </row>
    <row r="16" spans="1:15" ht="19.5" x14ac:dyDescent="0.5">
      <c r="A16" s="135" t="s">
        <v>39</v>
      </c>
      <c r="B16" s="265">
        <v>139.31528939032131</v>
      </c>
      <c r="C16" s="263" t="s">
        <v>23</v>
      </c>
      <c r="D16" s="24" t="s">
        <v>40</v>
      </c>
      <c r="E16" s="25">
        <f>1000*ABS(B16^3+I12*B16^2+I13*B16+I14)</f>
        <v>1.3134118759694502E-2</v>
      </c>
      <c r="L16" s="26"/>
    </row>
    <row r="17" spans="1:12" ht="19.5" x14ac:dyDescent="0.5">
      <c r="A17" s="139" t="s">
        <v>41</v>
      </c>
      <c r="B17" s="148">
        <f>B10*I1/I4</f>
        <v>140.29662656226265</v>
      </c>
      <c r="C17" s="263" t="s">
        <v>23</v>
      </c>
      <c r="D17" s="24" t="s">
        <v>42</v>
      </c>
      <c r="E17" s="29">
        <f>1000*ABS(B18^3+I12*B18^2+I13*B18+I14)</f>
        <v>7.8147152748897497E-5</v>
      </c>
      <c r="H17" s="12"/>
      <c r="I17" s="4"/>
      <c r="J17" s="17"/>
      <c r="L17" s="25"/>
    </row>
    <row r="18" spans="1:12" ht="19.5" x14ac:dyDescent="0.5">
      <c r="A18" s="135" t="s">
        <v>43</v>
      </c>
      <c r="B18" s="138">
        <f>-I12-B15-B16</f>
        <v>0.96436654879985895</v>
      </c>
      <c r="C18" s="263" t="s">
        <v>23</v>
      </c>
      <c r="D18" s="4"/>
      <c r="E18" s="29"/>
      <c r="H18" s="12"/>
      <c r="I18" s="4"/>
      <c r="J18" s="17"/>
      <c r="L18" s="25"/>
    </row>
    <row r="19" spans="1:12" ht="15.75" x14ac:dyDescent="0.25">
      <c r="A19" s="149" t="s">
        <v>132</v>
      </c>
      <c r="B19" s="259">
        <v>0</v>
      </c>
      <c r="C19" s="258">
        <v>1.1499999999999999</v>
      </c>
      <c r="D19" s="29"/>
      <c r="E19" s="4"/>
      <c r="H19" s="12"/>
      <c r="I19" s="4"/>
      <c r="J19" s="17"/>
      <c r="L19" s="25"/>
    </row>
    <row r="20" spans="1:12" ht="15.75" x14ac:dyDescent="0.25">
      <c r="A20" s="256" t="s">
        <v>44</v>
      </c>
      <c r="B20" s="256" t="s">
        <v>45</v>
      </c>
      <c r="C20" s="256" t="s">
        <v>169</v>
      </c>
      <c r="D20" s="21"/>
      <c r="I20" s="31"/>
      <c r="J20" s="32"/>
      <c r="K20" s="33"/>
      <c r="L20" s="34"/>
    </row>
    <row r="21" spans="1:12" ht="15.75" x14ac:dyDescent="0.25">
      <c r="A21" s="257">
        <f>B14+0.00001</f>
        <v>0.11929554873417722</v>
      </c>
      <c r="B21">
        <f>($B$10*$I$1/(A21-$B$14)-$B$13/A21^2)/100</f>
        <v>2543447.1294419654</v>
      </c>
      <c r="C21"/>
      <c r="I21" s="34"/>
      <c r="J21" s="34"/>
      <c r="K21" s="34"/>
      <c r="L21" s="34"/>
    </row>
    <row r="22" spans="1:12" ht="15.75" x14ac:dyDescent="0.25">
      <c r="A22" s="257">
        <f>A21*$C$19</f>
        <v>0.1371898810443038</v>
      </c>
      <c r="B22">
        <f t="shared" ref="B22:B85" si="0">($B$10*$I$1/(A22-$B$14)-$B$13/A22^2)/100</f>
        <v>-57.693160855421738</v>
      </c>
      <c r="C22"/>
      <c r="E22" s="195"/>
      <c r="I22" s="34"/>
      <c r="J22" s="34"/>
      <c r="K22" s="34"/>
      <c r="L22" s="34"/>
    </row>
    <row r="23" spans="1:12" ht="15.75" x14ac:dyDescent="0.25">
      <c r="A23" s="257">
        <f t="shared" ref="A23:A86" si="1">A22*$C$19</f>
        <v>0.15776836320094936</v>
      </c>
      <c r="B23">
        <f t="shared" si="0"/>
        <v>-457.17135914615704</v>
      </c>
      <c r="C23"/>
      <c r="I23" s="34"/>
      <c r="J23" s="34"/>
      <c r="K23" s="34"/>
      <c r="L23" s="34"/>
    </row>
    <row r="24" spans="1:12" ht="15.75" x14ac:dyDescent="0.25">
      <c r="A24" s="257">
        <f t="shared" si="1"/>
        <v>0.18143361768109176</v>
      </c>
      <c r="B24">
        <f t="shared" si="0"/>
        <v>-436.25934471140533</v>
      </c>
      <c r="C24"/>
      <c r="I24" s="34"/>
      <c r="J24" s="32"/>
      <c r="K24" s="32"/>
      <c r="L24" s="34"/>
    </row>
    <row r="25" spans="1:12" ht="15.75" x14ac:dyDescent="0.25">
      <c r="A25" s="257">
        <f t="shared" si="1"/>
        <v>0.20864866033325549</v>
      </c>
      <c r="B25">
        <f t="shared" si="0"/>
        <v>-354.730836718918</v>
      </c>
      <c r="C25"/>
      <c r="I25" s="34"/>
      <c r="J25" s="32"/>
      <c r="K25" s="32"/>
      <c r="L25" s="34"/>
    </row>
    <row r="26" spans="1:12" ht="15.75" x14ac:dyDescent="0.25">
      <c r="A26" s="257">
        <f t="shared" si="1"/>
        <v>0.23994595938324378</v>
      </c>
      <c r="B26">
        <f t="shared" si="0"/>
        <v>-272.65015898285509</v>
      </c>
      <c r="C26"/>
      <c r="I26" s="34"/>
      <c r="J26" s="32"/>
      <c r="K26" s="32"/>
      <c r="L26" s="34"/>
    </row>
    <row r="27" spans="1:12" ht="15.75" x14ac:dyDescent="0.25">
      <c r="A27" s="257">
        <f t="shared" si="1"/>
        <v>0.27593785329073034</v>
      </c>
      <c r="B27">
        <f t="shared" si="0"/>
        <v>-203.18825870660538</v>
      </c>
      <c r="C27"/>
      <c r="I27" s="34"/>
      <c r="J27" s="34"/>
      <c r="K27" s="34"/>
      <c r="L27" s="34"/>
    </row>
    <row r="28" spans="1:12" ht="15.75" x14ac:dyDescent="0.25">
      <c r="A28" s="257">
        <f t="shared" si="1"/>
        <v>0.31732853128433985</v>
      </c>
      <c r="B28">
        <f t="shared" si="0"/>
        <v>-147.97554741161571</v>
      </c>
      <c r="C28"/>
      <c r="I28" s="34"/>
      <c r="J28" s="34"/>
      <c r="K28" s="34"/>
      <c r="L28" s="34"/>
    </row>
    <row r="29" spans="1:12" ht="15.75" x14ac:dyDescent="0.25">
      <c r="A29" s="257">
        <f t="shared" si="1"/>
        <v>0.36492781097699079</v>
      </c>
      <c r="B29">
        <f t="shared" si="0"/>
        <v>-105.45390181384093</v>
      </c>
      <c r="C29"/>
      <c r="D29"/>
      <c r="E29"/>
      <c r="F29"/>
      <c r="I29" s="34"/>
      <c r="J29" s="34"/>
      <c r="K29" s="34"/>
      <c r="L29" s="34"/>
    </row>
    <row r="30" spans="1:12" ht="15.75" x14ac:dyDescent="0.25">
      <c r="A30" s="257">
        <f t="shared" si="1"/>
        <v>0.41966698262353935</v>
      </c>
      <c r="B30">
        <f t="shared" si="0"/>
        <v>-73.352661475403295</v>
      </c>
      <c r="C30"/>
      <c r="D30"/>
      <c r="E30"/>
      <c r="F30"/>
      <c r="I30" s="34"/>
      <c r="J30" s="31"/>
      <c r="K30" s="35"/>
      <c r="L30" s="34"/>
    </row>
    <row r="31" spans="1:12" ht="15.75" x14ac:dyDescent="0.25">
      <c r="A31" s="257">
        <f t="shared" si="1"/>
        <v>0.48261703001707024</v>
      </c>
      <c r="B31">
        <f t="shared" si="0"/>
        <v>-49.482706204450707</v>
      </c>
      <c r="C31"/>
      <c r="D31"/>
      <c r="E31"/>
      <c r="F31"/>
      <c r="I31" s="34"/>
      <c r="J31" s="31"/>
      <c r="K31" s="35"/>
      <c r="L31" s="34"/>
    </row>
    <row r="32" spans="1:12" ht="15.75" x14ac:dyDescent="0.25">
      <c r="A32" s="257">
        <f t="shared" si="1"/>
        <v>0.55500958451963078</v>
      </c>
      <c r="B32">
        <f t="shared" si="0"/>
        <v>-31.971654842202625</v>
      </c>
      <c r="C32"/>
      <c r="D32"/>
      <c r="E32"/>
      <c r="F32"/>
      <c r="I32" s="34"/>
      <c r="J32" s="31"/>
      <c r="K32" s="36"/>
      <c r="L32" s="34"/>
    </row>
    <row r="33" spans="1:12" ht="15.75" x14ac:dyDescent="0.25">
      <c r="A33" s="257">
        <f t="shared" si="1"/>
        <v>0.6382610221975753</v>
      </c>
      <c r="B33">
        <f t="shared" si="0"/>
        <v>-19.300704516432479</v>
      </c>
      <c r="C33"/>
      <c r="D33"/>
      <c r="E33"/>
      <c r="F33"/>
      <c r="I33" s="34"/>
      <c r="J33" s="31"/>
      <c r="K33" s="33"/>
      <c r="L33" s="34"/>
    </row>
    <row r="34" spans="1:12" ht="15.75" x14ac:dyDescent="0.25">
      <c r="A34" s="257">
        <f t="shared" si="1"/>
        <v>0.73400017552721153</v>
      </c>
      <c r="B34">
        <f t="shared" si="0"/>
        <v>-10.27256894954072</v>
      </c>
      <c r="C34"/>
      <c r="D34"/>
      <c r="E34"/>
      <c r="F34"/>
      <c r="I34" s="34"/>
      <c r="J34" s="34"/>
      <c r="K34" s="34"/>
      <c r="L34" s="34"/>
    </row>
    <row r="35" spans="1:12" ht="15.75" x14ac:dyDescent="0.25">
      <c r="A35" s="257">
        <f t="shared" si="1"/>
        <v>0.8441002018562932</v>
      </c>
      <c r="B35">
        <f t="shared" si="0"/>
        <v>-3.9598590942625922</v>
      </c>
      <c r="C35"/>
      <c r="D35"/>
      <c r="E35"/>
      <c r="F35"/>
      <c r="I35" s="34"/>
      <c r="J35" s="34"/>
      <c r="K35" s="34"/>
      <c r="L35" s="34"/>
    </row>
    <row r="36" spans="1:12" ht="15.75" x14ac:dyDescent="0.25">
      <c r="A36" s="257">
        <f t="shared" si="1"/>
        <v>0.97071523213473709</v>
      </c>
      <c r="B36">
        <f t="shared" si="0"/>
        <v>0.34717032180672502</v>
      </c>
      <c r="C36"/>
      <c r="D36"/>
      <c r="E36"/>
      <c r="F36"/>
    </row>
    <row r="37" spans="1:12" ht="15.75" x14ac:dyDescent="0.25">
      <c r="A37" s="257">
        <f t="shared" si="1"/>
        <v>1.1163225169549476</v>
      </c>
      <c r="B37">
        <f t="shared" si="0"/>
        <v>3.1867923939078993</v>
      </c>
      <c r="C37"/>
      <c r="D37"/>
      <c r="E37"/>
      <c r="F37"/>
    </row>
    <row r="38" spans="1:12" ht="15.75" x14ac:dyDescent="0.25">
      <c r="A38" s="257">
        <f t="shared" si="1"/>
        <v>1.2837708944981896</v>
      </c>
      <c r="B38">
        <f t="shared" si="0"/>
        <v>4.9641803364492532</v>
      </c>
      <c r="C38"/>
      <c r="D38"/>
      <c r="E38"/>
      <c r="F38"/>
    </row>
    <row r="39" spans="1:12" ht="15.75" x14ac:dyDescent="0.25">
      <c r="A39" s="257">
        <f t="shared" si="1"/>
        <v>1.476336528672918</v>
      </c>
      <c r="B39">
        <f t="shared" si="0"/>
        <v>5.9822560490688419</v>
      </c>
      <c r="C39"/>
      <c r="D39"/>
      <c r="E39"/>
      <c r="F39"/>
    </row>
    <row r="40" spans="1:12" ht="15.75" x14ac:dyDescent="0.25">
      <c r="A40" s="257">
        <f t="shared" si="1"/>
        <v>1.6977870079738555</v>
      </c>
      <c r="B40">
        <f t="shared" si="0"/>
        <v>6.4659959836210188</v>
      </c>
      <c r="C40"/>
    </row>
    <row r="41" spans="1:12" ht="15.75" x14ac:dyDescent="0.25">
      <c r="A41" s="257">
        <f t="shared" si="1"/>
        <v>1.9524550591699337</v>
      </c>
      <c r="B41">
        <f t="shared" si="0"/>
        <v>6.5813303621101094</v>
      </c>
      <c r="C41"/>
    </row>
    <row r="42" spans="1:12" ht="15.75" x14ac:dyDescent="0.25">
      <c r="A42" s="257">
        <f t="shared" si="1"/>
        <v>2.2453233180454237</v>
      </c>
      <c r="B42">
        <f t="shared" si="0"/>
        <v>6.4497025081491293</v>
      </c>
      <c r="C42"/>
    </row>
    <row r="43" spans="1:12" ht="15.75" x14ac:dyDescent="0.25">
      <c r="A43" s="257">
        <f t="shared" si="1"/>
        <v>2.5821218157522372</v>
      </c>
      <c r="B43">
        <f t="shared" si="0"/>
        <v>6.1592073187463621</v>
      </c>
      <c r="C43"/>
    </row>
    <row r="44" spans="1:12" ht="15.75" x14ac:dyDescent="0.25">
      <c r="A44" s="257">
        <f t="shared" si="1"/>
        <v>2.9694400881150727</v>
      </c>
      <c r="B44">
        <f t="shared" si="0"/>
        <v>5.7730659095742594</v>
      </c>
      <c r="C44"/>
    </row>
    <row r="45" spans="1:12" ht="15.75" x14ac:dyDescent="0.25">
      <c r="A45" s="257">
        <f t="shared" si="1"/>
        <v>3.4148561013323331</v>
      </c>
      <c r="B45">
        <f t="shared" si="0"/>
        <v>5.3360437453579221</v>
      </c>
      <c r="C45"/>
    </row>
    <row r="46" spans="1:12" ht="15.75" x14ac:dyDescent="0.25">
      <c r="A46" s="257">
        <f t="shared" si="1"/>
        <v>3.9270845165321826</v>
      </c>
      <c r="B46">
        <f t="shared" si="0"/>
        <v>4.8792912765124585</v>
      </c>
      <c r="C46"/>
    </row>
    <row r="47" spans="1:12" ht="15.75" x14ac:dyDescent="0.25">
      <c r="A47" s="257">
        <f t="shared" si="1"/>
        <v>4.5161471940120093</v>
      </c>
      <c r="B47">
        <f t="shared" si="0"/>
        <v>4.4239805909434828</v>
      </c>
      <c r="C47"/>
    </row>
    <row r="48" spans="1:12" ht="15.75" x14ac:dyDescent="0.25">
      <c r="A48" s="257">
        <f t="shared" si="1"/>
        <v>5.1935692731138099</v>
      </c>
      <c r="B48">
        <f t="shared" si="0"/>
        <v>3.9840269379758273</v>
      </c>
      <c r="C48"/>
    </row>
    <row r="49" spans="1:3" ht="15.75" x14ac:dyDescent="0.25">
      <c r="A49" s="257">
        <f t="shared" si="1"/>
        <v>5.9726046640808805</v>
      </c>
      <c r="B49">
        <f t="shared" si="0"/>
        <v>3.5681171539044296</v>
      </c>
      <c r="C49"/>
    </row>
    <row r="50" spans="1:3" ht="15.75" x14ac:dyDescent="0.25">
      <c r="A50" s="257">
        <f t="shared" si="1"/>
        <v>6.8684953636930119</v>
      </c>
      <c r="B50">
        <f t="shared" si="0"/>
        <v>3.1812148450495332</v>
      </c>
      <c r="C50"/>
    </row>
    <row r="51" spans="1:3" ht="15.75" x14ac:dyDescent="0.25">
      <c r="A51" s="257">
        <f t="shared" si="1"/>
        <v>7.8987696682469632</v>
      </c>
      <c r="B51">
        <f t="shared" si="0"/>
        <v>2.825671774470627</v>
      </c>
      <c r="C51"/>
    </row>
    <row r="52" spans="1:3" ht="15.75" x14ac:dyDescent="0.25">
      <c r="A52" s="257">
        <f t="shared" si="1"/>
        <v>9.0835851184840077</v>
      </c>
      <c r="B52">
        <f t="shared" si="0"/>
        <v>2.5020437854527562</v>
      </c>
      <c r="C52"/>
    </row>
    <row r="53" spans="1:3" ht="15.75" x14ac:dyDescent="0.25">
      <c r="A53" s="257">
        <f t="shared" si="1"/>
        <v>10.446122886256608</v>
      </c>
      <c r="B53">
        <f t="shared" si="0"/>
        <v>2.2096857491611535</v>
      </c>
      <c r="C53"/>
    </row>
    <row r="54" spans="1:3" ht="15.75" x14ac:dyDescent="0.25">
      <c r="A54" s="257">
        <f t="shared" si="1"/>
        <v>12.013041319195098</v>
      </c>
      <c r="B54">
        <f t="shared" si="0"/>
        <v>1.9471818146092901</v>
      </c>
      <c r="C54"/>
    </row>
    <row r="55" spans="1:3" ht="15.75" x14ac:dyDescent="0.25">
      <c r="A55" s="257">
        <f t="shared" si="1"/>
        <v>13.814997517074362</v>
      </c>
      <c r="B55">
        <f t="shared" si="0"/>
        <v>1.7126533758613991</v>
      </c>
      <c r="C55"/>
    </row>
    <row r="56" spans="1:3" ht="15.75" x14ac:dyDescent="0.25">
      <c r="A56" s="257">
        <f t="shared" si="1"/>
        <v>15.887247144635515</v>
      </c>
      <c r="B56">
        <f t="shared" si="0"/>
        <v>1.5039766441143143</v>
      </c>
      <c r="C56"/>
    </row>
    <row r="57" spans="1:3" ht="15.75" x14ac:dyDescent="0.25">
      <c r="A57" s="257">
        <f t="shared" si="1"/>
        <v>18.270334216330841</v>
      </c>
      <c r="B57">
        <f t="shared" si="0"/>
        <v>1.3189337365301974</v>
      </c>
      <c r="C57"/>
    </row>
    <row r="58" spans="1:3" ht="15.75" x14ac:dyDescent="0.25">
      <c r="A58" s="257">
        <f t="shared" si="1"/>
        <v>21.010884348780465</v>
      </c>
      <c r="B58">
        <f t="shared" si="0"/>
        <v>1.1553151637737247</v>
      </c>
      <c r="C58"/>
    </row>
    <row r="59" spans="1:3" ht="15.75" x14ac:dyDescent="0.25">
      <c r="A59" s="257">
        <f t="shared" si="1"/>
        <v>24.162517001097534</v>
      </c>
      <c r="B59">
        <f t="shared" si="0"/>
        <v>1.0109870486442598</v>
      </c>
      <c r="C59"/>
    </row>
    <row r="60" spans="1:3" ht="15.75" x14ac:dyDescent="0.25">
      <c r="A60" s="257">
        <f t="shared" si="1"/>
        <v>27.786894551262161</v>
      </c>
      <c r="B60">
        <f t="shared" si="0"/>
        <v>0.88393298247053753</v>
      </c>
      <c r="C60"/>
    </row>
    <row r="61" spans="1:3" ht="15.75" x14ac:dyDescent="0.25">
      <c r="A61" s="257">
        <f t="shared" si="1"/>
        <v>31.954928733951483</v>
      </c>
      <c r="B61">
        <f t="shared" si="0"/>
        <v>0.77227785178751573</v>
      </c>
      <c r="C61"/>
    </row>
    <row r="62" spans="1:3" ht="15.75" x14ac:dyDescent="0.25">
      <c r="A62" s="257">
        <f t="shared" si="1"/>
        <v>36.748168044044206</v>
      </c>
      <c r="B62">
        <f t="shared" si="0"/>
        <v>0.67429903781032907</v>
      </c>
      <c r="C62"/>
    </row>
    <row r="63" spans="1:3" ht="15.75" x14ac:dyDescent="0.25">
      <c r="A63" s="257">
        <f t="shared" si="1"/>
        <v>42.260393250650836</v>
      </c>
      <c r="B63">
        <f t="shared" si="0"/>
        <v>0.58842894763869025</v>
      </c>
      <c r="C63"/>
    </row>
    <row r="64" spans="1:3" ht="15.75" x14ac:dyDescent="0.25">
      <c r="A64" s="257">
        <f t="shared" si="1"/>
        <v>48.59945223824846</v>
      </c>
      <c r="B64">
        <f t="shared" si="0"/>
        <v>0.51325175925548461</v>
      </c>
      <c r="C64"/>
    </row>
    <row r="65" spans="1:3" ht="15.75" x14ac:dyDescent="0.25">
      <c r="A65" s="257">
        <f t="shared" si="1"/>
        <v>55.889370073985724</v>
      </c>
      <c r="B65">
        <f t="shared" si="0"/>
        <v>0.44749646150679845</v>
      </c>
      <c r="C65"/>
    </row>
    <row r="66" spans="1:3" ht="15.75" x14ac:dyDescent="0.25">
      <c r="A66" s="257">
        <f t="shared" si="1"/>
        <v>64.272775585083579</v>
      </c>
      <c r="B66">
        <f t="shared" si="0"/>
        <v>0.39002767671953675</v>
      </c>
      <c r="C66"/>
    </row>
    <row r="67" spans="1:3" ht="15.75" x14ac:dyDescent="0.25">
      <c r="A67" s="257">
        <f t="shared" si="1"/>
        <v>73.913691922846112</v>
      </c>
      <c r="B67">
        <f t="shared" si="0"/>
        <v>0.33983531555357549</v>
      </c>
      <c r="C67"/>
    </row>
    <row r="68" spans="1:3" ht="15.75" x14ac:dyDescent="0.25">
      <c r="A68" s="257">
        <f t="shared" si="1"/>
        <v>85.000745711273026</v>
      </c>
      <c r="B68">
        <f t="shared" si="0"/>
        <v>0.29602379195378054</v>
      </c>
      <c r="C68"/>
    </row>
    <row r="69" spans="1:3" ht="15.75" x14ac:dyDescent="0.25">
      <c r="A69" s="257">
        <f t="shared" si="1"/>
        <v>97.750857567963976</v>
      </c>
      <c r="B69">
        <f t="shared" si="0"/>
        <v>0.25780129116612838</v>
      </c>
      <c r="C69"/>
    </row>
    <row r="70" spans="1:3" ht="15.75" x14ac:dyDescent="0.25">
      <c r="A70" s="257">
        <f t="shared" si="1"/>
        <v>112.41348620315857</v>
      </c>
      <c r="B70">
        <f t="shared" si="0"/>
        <v>0.22446941351654801</v>
      </c>
      <c r="C70"/>
    </row>
    <row r="71" spans="1:3" ht="15.75" x14ac:dyDescent="0.25">
      <c r="A71" s="257">
        <f t="shared" si="1"/>
        <v>129.27550913363234</v>
      </c>
      <c r="B71">
        <f t="shared" si="0"/>
        <v>0.195413394346658</v>
      </c>
      <c r="C71"/>
    </row>
    <row r="72" spans="1:3" ht="15.75" x14ac:dyDescent="0.25">
      <c r="A72" s="257">
        <f t="shared" si="1"/>
        <v>148.66683550367719</v>
      </c>
      <c r="B72">
        <f t="shared" si="0"/>
        <v>0.17009301365194149</v>
      </c>
      <c r="C72"/>
    </row>
    <row r="73" spans="1:3" ht="15.75" x14ac:dyDescent="0.25">
      <c r="A73" s="257">
        <f t="shared" si="1"/>
        <v>170.96686082922875</v>
      </c>
      <c r="B73">
        <f t="shared" si="0"/>
        <v>0.14803424821432629</v>
      </c>
      <c r="C73"/>
    </row>
    <row r="74" spans="1:3" ht="15.75" x14ac:dyDescent="0.25">
      <c r="A74" s="257">
        <f t="shared" si="1"/>
        <v>196.61188995361306</v>
      </c>
      <c r="B74">
        <f t="shared" si="0"/>
        <v>0.12882167737087014</v>
      </c>
      <c r="C74"/>
    </row>
    <row r="75" spans="1:3" ht="15.75" x14ac:dyDescent="0.25">
      <c r="A75" s="257">
        <f t="shared" si="1"/>
        <v>226.10367344665499</v>
      </c>
      <c r="B75">
        <f t="shared" si="0"/>
        <v>0.112091625804001</v>
      </c>
      <c r="C75"/>
    </row>
    <row r="76" spans="1:3" ht="15.75" x14ac:dyDescent="0.25">
      <c r="A76" s="257">
        <f t="shared" si="1"/>
        <v>260.01922446365325</v>
      </c>
      <c r="B76">
        <f t="shared" si="0"/>
        <v>9.7526009006459816E-2</v>
      </c>
      <c r="C76"/>
    </row>
    <row r="77" spans="1:3" ht="15.75" x14ac:dyDescent="0.25">
      <c r="A77" s="257">
        <f t="shared" si="1"/>
        <v>299.02210813320119</v>
      </c>
      <c r="B77">
        <f t="shared" si="0"/>
        <v>8.4846836500362996E-2</v>
      </c>
      <c r="C77"/>
    </row>
    <row r="78" spans="1:3" ht="15.75" x14ac:dyDescent="0.25">
      <c r="A78" s="257">
        <f t="shared" si="1"/>
        <v>343.87542435318136</v>
      </c>
      <c r="B78">
        <f t="shared" si="0"/>
        <v>7.3811322361655329E-2</v>
      </c>
      <c r="C78"/>
    </row>
    <row r="79" spans="1:3" ht="15.75" x14ac:dyDescent="0.25">
      <c r="A79" s="257">
        <f t="shared" si="1"/>
        <v>395.45673800615856</v>
      </c>
      <c r="B79">
        <f t="shared" si="0"/>
        <v>6.4207550568031568E-2</v>
      </c>
      <c r="C79"/>
    </row>
    <row r="80" spans="1:3" ht="15.75" x14ac:dyDescent="0.25">
      <c r="A80" s="257">
        <f t="shared" si="1"/>
        <v>454.77524870708231</v>
      </c>
      <c r="B80">
        <f t="shared" si="0"/>
        <v>5.5850643018898548E-2</v>
      </c>
      <c r="C80"/>
    </row>
    <row r="81" spans="1:3" ht="15.75" x14ac:dyDescent="0.25">
      <c r="A81" s="257">
        <f t="shared" si="1"/>
        <v>522.99153601314458</v>
      </c>
      <c r="B81">
        <f t="shared" si="0"/>
        <v>4.8579379950766013E-2</v>
      </c>
      <c r="C81"/>
    </row>
    <row r="82" spans="1:3" ht="15.75" x14ac:dyDescent="0.25">
      <c r="A82" s="257">
        <f t="shared" si="1"/>
        <v>601.44026641511618</v>
      </c>
      <c r="B82">
        <f t="shared" si="0"/>
        <v>4.2253225302497546E-2</v>
      </c>
      <c r="C82"/>
    </row>
    <row r="83" spans="1:3" ht="15.75" x14ac:dyDescent="0.25">
      <c r="A83" s="257">
        <f t="shared" si="1"/>
        <v>691.65630637738354</v>
      </c>
      <c r="B83">
        <f t="shared" si="0"/>
        <v>3.6749712954871894E-2</v>
      </c>
      <c r="C83"/>
    </row>
    <row r="84" spans="1:3" ht="15.75" x14ac:dyDescent="0.25">
      <c r="A84" s="257">
        <f t="shared" si="1"/>
        <v>795.40475233399104</v>
      </c>
      <c r="B84">
        <f t="shared" si="0"/>
        <v>3.1962153386309054E-2</v>
      </c>
      <c r="C84"/>
    </row>
    <row r="85" spans="1:3" ht="15.75" x14ac:dyDescent="0.25">
      <c r="A85" s="257">
        <f t="shared" si="1"/>
        <v>914.71546518408968</v>
      </c>
      <c r="B85">
        <f t="shared" si="0"/>
        <v>2.7797623951744746E-2</v>
      </c>
      <c r="C85"/>
    </row>
    <row r="86" spans="1:3" ht="15.75" x14ac:dyDescent="0.25">
      <c r="A86" s="257">
        <f t="shared" si="1"/>
        <v>1051.922784961703</v>
      </c>
      <c r="B86">
        <f>($B$10*$I$1/(A86-$B$14)-$B$13/A86^2)/100</f>
        <v>2.417520957164886E-2</v>
      </c>
      <c r="C86"/>
    </row>
    <row r="87" spans="1:3" ht="15.75" x14ac:dyDescent="0.25">
      <c r="A87"/>
      <c r="B87"/>
      <c r="C87"/>
    </row>
    <row r="88" spans="1:3" ht="15.75" x14ac:dyDescent="0.25">
      <c r="A88"/>
      <c r="B88"/>
      <c r="C88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88"/>
  <sheetViews>
    <sheetView workbookViewId="0"/>
  </sheetViews>
  <sheetFormatPr defaultColWidth="8" defaultRowHeight="12.75" x14ac:dyDescent="0.2"/>
  <cols>
    <col min="1" max="16384" width="8" style="2"/>
  </cols>
  <sheetData>
    <row r="1" spans="1:16" ht="18" x14ac:dyDescent="0.25">
      <c r="A1" s="143" t="str">
        <f>' T = Tb'!A1</f>
        <v>Benzene</v>
      </c>
      <c r="E1" s="2" t="s">
        <v>0</v>
      </c>
      <c r="F1" s="2">
        <v>1</v>
      </c>
      <c r="H1" s="3" t="s">
        <v>1</v>
      </c>
      <c r="I1" s="2">
        <f>' T = Tb'!O12</f>
        <v>318.79829367624569</v>
      </c>
      <c r="J1" s="2" t="s">
        <v>2</v>
      </c>
    </row>
    <row r="2" spans="1:16" ht="15.75" x14ac:dyDescent="0.3">
      <c r="A2" s="4" t="s">
        <v>15</v>
      </c>
      <c r="B2" s="5">
        <f>' T = Tb'!B2</f>
        <v>78.114000000000004</v>
      </c>
      <c r="C2" s="2" t="s">
        <v>3</v>
      </c>
      <c r="E2" s="4" t="s">
        <v>4</v>
      </c>
      <c r="F2" s="2">
        <f>' T = Tb'!F2</f>
        <v>-7.0143300000000002</v>
      </c>
      <c r="H2" s="3" t="s">
        <v>16</v>
      </c>
      <c r="I2" s="2">
        <f>1-I1/B3</f>
        <v>0.43290470030552564</v>
      </c>
      <c r="M2" s="4"/>
    </row>
    <row r="3" spans="1:16" ht="15.75" x14ac:dyDescent="0.3">
      <c r="A3" s="4" t="s">
        <v>17</v>
      </c>
      <c r="B3" s="5">
        <f>' T = Tb'!B3</f>
        <v>562.16</v>
      </c>
      <c r="C3" s="2" t="s">
        <v>2</v>
      </c>
      <c r="E3" s="4" t="s">
        <v>5</v>
      </c>
      <c r="F3" s="2">
        <f>' T = Tb'!F3</f>
        <v>1.5525599999999999</v>
      </c>
      <c r="H3" s="3" t="s">
        <v>6</v>
      </c>
      <c r="I3" s="144">
        <f>(B4*EXP((F2*I2+F3*I2^1.5+F4*I2^2.5+F5*I2^5)/(1-I2)))</f>
        <v>0.30584494184815675</v>
      </c>
      <c r="J3" s="2" t="s">
        <v>7</v>
      </c>
      <c r="M3" s="4"/>
    </row>
    <row r="4" spans="1:16" ht="15.75" x14ac:dyDescent="0.3">
      <c r="A4" s="4" t="s">
        <v>18</v>
      </c>
      <c r="B4" s="5">
        <f>' T = Tb'!B4</f>
        <v>48.98</v>
      </c>
      <c r="C4" s="2" t="s">
        <v>7</v>
      </c>
      <c r="E4" s="4" t="s">
        <v>8</v>
      </c>
      <c r="F4" s="2">
        <f>' T = Tb'!F4</f>
        <v>-1.8479000000000001</v>
      </c>
      <c r="H4" s="3" t="s">
        <v>6</v>
      </c>
      <c r="I4" s="2">
        <f>I3*100</f>
        <v>30.584494184815675</v>
      </c>
      <c r="J4" s="2" t="s">
        <v>9</v>
      </c>
      <c r="M4" s="4"/>
      <c r="N4" s="6"/>
    </row>
    <row r="5" spans="1:16" ht="15.75" x14ac:dyDescent="0.3">
      <c r="A5" s="4" t="s">
        <v>18</v>
      </c>
      <c r="B5" s="5">
        <f>' T = Tb'!B5</f>
        <v>4898</v>
      </c>
      <c r="C5" s="2" t="s">
        <v>9</v>
      </c>
      <c r="E5" s="4" t="s">
        <v>10</v>
      </c>
      <c r="F5" s="2">
        <f>' T = Tb'!F5</f>
        <v>-3.7130000000000001</v>
      </c>
      <c r="H5" s="4"/>
      <c r="M5" s="4"/>
      <c r="N5" s="6"/>
    </row>
    <row r="6" spans="1:16" ht="15.75" x14ac:dyDescent="0.3">
      <c r="A6" s="4" t="s">
        <v>19</v>
      </c>
      <c r="B6" s="5">
        <f>' T = Tb'!B6</f>
        <v>256</v>
      </c>
      <c r="C6" s="2" t="s">
        <v>20</v>
      </c>
      <c r="E6" s="4" t="s">
        <v>21</v>
      </c>
      <c r="F6" s="2">
        <f>' T = Tb'!F6</f>
        <v>250</v>
      </c>
      <c r="G6" s="7">
        <f>F6/B3</f>
        <v>0.44471324889711117</v>
      </c>
      <c r="H6" s="2" t="s">
        <v>22</v>
      </c>
      <c r="I6" s="2">
        <v>2.5712194055283128E-3</v>
      </c>
    </row>
    <row r="7" spans="1:16" ht="15.75" x14ac:dyDescent="0.3">
      <c r="A7" s="4" t="s">
        <v>19</v>
      </c>
      <c r="B7" s="5">
        <f>' T = Tb'!B7</f>
        <v>0.25600000000000001</v>
      </c>
      <c r="C7" s="8" t="s">
        <v>23</v>
      </c>
      <c r="E7" s="4" t="s">
        <v>24</v>
      </c>
      <c r="F7" s="2">
        <f>' T = Tb'!F7</f>
        <v>562.16</v>
      </c>
      <c r="G7" s="7">
        <f>F7/B3</f>
        <v>1</v>
      </c>
      <c r="H7" s="2" t="s">
        <v>25</v>
      </c>
      <c r="I7" s="2">
        <f>I6/I3</f>
        <v>8.4069378096985163E-3</v>
      </c>
    </row>
    <row r="8" spans="1:16" ht="15.75" x14ac:dyDescent="0.3">
      <c r="A8" s="4" t="s">
        <v>26</v>
      </c>
      <c r="B8" s="5">
        <f>' T = Tb'!B8</f>
        <v>0.26800000000000002</v>
      </c>
      <c r="E8" s="4" t="s">
        <v>27</v>
      </c>
      <c r="F8" s="18">
        <f>' T = Tb'!F8</f>
        <v>353.24</v>
      </c>
      <c r="G8" s="7">
        <f>F8/B3</f>
        <v>0.6283620321616622</v>
      </c>
      <c r="H8" s="2" t="s">
        <v>28</v>
      </c>
    </row>
    <row r="9" spans="1:16" x14ac:dyDescent="0.2">
      <c r="A9" s="9" t="s">
        <v>29</v>
      </c>
      <c r="B9" s="5">
        <f>' T = Tb'!B9</f>
        <v>0.21</v>
      </c>
      <c r="E9" s="4"/>
      <c r="F9" s="2">
        <f>' T = Tb'!F9</f>
        <v>101.325</v>
      </c>
      <c r="K9" s="4"/>
    </row>
    <row r="10" spans="1:16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6" x14ac:dyDescent="0.2">
      <c r="A11" s="10" t="s">
        <v>13</v>
      </c>
      <c r="K11" s="11"/>
      <c r="M11" s="12"/>
    </row>
    <row r="12" spans="1:16" ht="18.75" x14ac:dyDescent="0.3">
      <c r="A12" s="13" t="s">
        <v>31</v>
      </c>
      <c r="B12" s="14">
        <f>27/64*(B10*B3)^2/B5</f>
        <v>1881.7339064250737</v>
      </c>
      <c r="C12" s="15"/>
      <c r="E12" s="16" t="s">
        <v>14</v>
      </c>
      <c r="H12" s="4" t="s">
        <v>32</v>
      </c>
      <c r="I12" s="191">
        <f>(2*B19)-B14-(B10*I1/I4)</f>
        <v>-86.785803057140598</v>
      </c>
      <c r="J12" s="17">
        <f>-(B18+B15+B16)</f>
        <v>-86.785803057140598</v>
      </c>
      <c r="K12" s="6"/>
      <c r="N12" s="4"/>
      <c r="O12" s="18"/>
      <c r="P12" s="15"/>
    </row>
    <row r="13" spans="1:16" ht="18.75" x14ac:dyDescent="0.3">
      <c r="A13" s="13" t="s">
        <v>33</v>
      </c>
      <c r="B13" s="19">
        <v>2726.08013390323</v>
      </c>
      <c r="C13" s="12">
        <f>' T = Tb'!P12</f>
        <v>2716.1067309224436</v>
      </c>
      <c r="E13" s="193">
        <f>ABS(B10*I1*LN((B16-B14)/(B15-B14))+B13*(1/(B16+B19)-1/(B15+B19))-I4*(B16-B15))</f>
        <v>1.4327546068670927E-5</v>
      </c>
      <c r="F13" s="21">
        <f>E13+E15+E16</f>
        <v>1.8686960078895254E-5</v>
      </c>
      <c r="H13" s="4" t="s">
        <v>34</v>
      </c>
      <c r="I13" s="191">
        <f>(B19^2)-(2*B19*B14)-(2*B10*I1*B19/I4)+(B13/I4)</f>
        <v>89.132751956926285</v>
      </c>
      <c r="J13" s="17">
        <f>B15*B16+B15*B18+B18*B16</f>
        <v>89.132751983530099</v>
      </c>
      <c r="K13" s="6"/>
      <c r="L13" s="17">
        <f>B13/B12</f>
        <v>1.4487064959584264</v>
      </c>
      <c r="N13" s="4"/>
      <c r="O13" s="18"/>
      <c r="P13" s="15"/>
    </row>
    <row r="14" spans="1:16" ht="18.75" x14ac:dyDescent="0.5">
      <c r="A14" s="147" t="s">
        <v>35</v>
      </c>
      <c r="B14" s="262">
        <f>B10*B3/8/B5</f>
        <v>0.11928554873417722</v>
      </c>
      <c r="C14" s="263" t="s">
        <v>23</v>
      </c>
      <c r="H14" s="4" t="s">
        <v>36</v>
      </c>
      <c r="I14" s="191">
        <f>(-B14*(B19^2))-(B10*I1*(B19^2)/I4)-(B13*B14/I4)</f>
        <v>-10.632249227369261</v>
      </c>
      <c r="J14" s="17">
        <f>-(B18*B15*B16)</f>
        <v>-10.632249231035352</v>
      </c>
      <c r="K14" s="6"/>
      <c r="L14" s="17">
        <f>B15/B14</f>
        <v>1.1545820460171015</v>
      </c>
      <c r="N14" s="4"/>
      <c r="O14" s="18"/>
    </row>
    <row r="15" spans="1:16" ht="19.5" x14ac:dyDescent="0.5">
      <c r="A15" s="135" t="s">
        <v>37</v>
      </c>
      <c r="B15" s="264">
        <v>0.137724952917779</v>
      </c>
      <c r="C15" s="263" t="s">
        <v>23</v>
      </c>
      <c r="D15" s="24" t="s">
        <v>38</v>
      </c>
      <c r="E15" s="25">
        <f>1000000*ABS(B15^3+I12*B15^2+I13*B15+I14)</f>
        <v>2.0818902157770935E-6</v>
      </c>
      <c r="K15" s="4"/>
      <c r="L15" s="23"/>
    </row>
    <row r="16" spans="1:16" ht="19.5" x14ac:dyDescent="0.5">
      <c r="A16" s="135" t="s">
        <v>39</v>
      </c>
      <c r="B16" s="265">
        <v>85.747773096660865</v>
      </c>
      <c r="C16" s="263" t="s">
        <v>23</v>
      </c>
      <c r="D16" s="24" t="s">
        <v>40</v>
      </c>
      <c r="E16" s="25">
        <f>ABS(B16^3+I12*B16^2+I13*B16+I14)</f>
        <v>2.2775237944472337E-6</v>
      </c>
      <c r="L16" s="26"/>
    </row>
    <row r="17" spans="1:12" ht="19.5" x14ac:dyDescent="0.5">
      <c r="A17" s="139" t="s">
        <v>41</v>
      </c>
      <c r="B17" s="148">
        <f>B10*I1/I4</f>
        <v>86.666517508406415</v>
      </c>
      <c r="C17" s="263" t="s">
        <v>23</v>
      </c>
      <c r="D17" s="24" t="s">
        <v>42</v>
      </c>
      <c r="E17" s="29">
        <f>1000*ABS(B18^3+I12*B18^2+I13*B18+I14)</f>
        <v>2.0285472857040077E-5</v>
      </c>
      <c r="H17" s="12"/>
      <c r="I17" s="4"/>
      <c r="J17" s="17"/>
      <c r="L17" s="25"/>
    </row>
    <row r="18" spans="1:12" ht="19.5" x14ac:dyDescent="0.5">
      <c r="A18" s="135" t="s">
        <v>43</v>
      </c>
      <c r="B18" s="138">
        <f>-I12-B15-B16</f>
        <v>0.90030500756195408</v>
      </c>
      <c r="C18" s="263" t="s">
        <v>23</v>
      </c>
      <c r="D18" s="4"/>
      <c r="E18" s="29"/>
      <c r="H18" s="12"/>
      <c r="I18" s="4"/>
      <c r="J18" s="17"/>
      <c r="L18" s="25"/>
    </row>
    <row r="19" spans="1:12" ht="15.75" x14ac:dyDescent="0.25">
      <c r="A19" s="149" t="s">
        <v>132</v>
      </c>
      <c r="B19" s="259">
        <v>0</v>
      </c>
      <c r="C19" s="258">
        <v>1.1499999999999999</v>
      </c>
      <c r="D19" s="29"/>
      <c r="E19" s="4"/>
      <c r="H19" s="12"/>
      <c r="I19" s="4"/>
      <c r="J19" s="17"/>
      <c r="L19" s="25"/>
    </row>
    <row r="20" spans="1:12" ht="15.75" x14ac:dyDescent="0.25">
      <c r="A20" s="256" t="s">
        <v>44</v>
      </c>
      <c r="B20" s="256" t="s">
        <v>45</v>
      </c>
      <c r="C20" s="256" t="s">
        <v>169</v>
      </c>
      <c r="D20" s="21"/>
      <c r="E20" s="4"/>
      <c r="I20" s="4"/>
      <c r="J20" s="17"/>
      <c r="K20" s="21"/>
    </row>
    <row r="21" spans="1:12" ht="15.75" x14ac:dyDescent="0.25">
      <c r="A21" s="257">
        <f>B14+0.00001</f>
        <v>0.11929554873417722</v>
      </c>
      <c r="B21">
        <f>($B$10*$I$1/(A21-$B$14)-$B$13/A21^2)/100</f>
        <v>2648736.0655439524</v>
      </c>
      <c r="C21"/>
      <c r="E21" s="4"/>
    </row>
    <row r="22" spans="1:12" ht="15.75" x14ac:dyDescent="0.25">
      <c r="A22" s="257">
        <f>A21*$C$19</f>
        <v>0.1371898810443038</v>
      </c>
      <c r="B22">
        <f t="shared" ref="B22:B85" si="0">($B$10*$I$1/(A22-$B$14)-$B$13/A22^2)/100</f>
        <v>32.032819012123511</v>
      </c>
      <c r="C22"/>
      <c r="E22" s="195"/>
    </row>
    <row r="23" spans="1:12" ht="15.75" x14ac:dyDescent="0.25">
      <c r="A23" s="257">
        <f t="shared" ref="A23:A86" si="1">A22*$C$19</f>
        <v>0.15776836320094936</v>
      </c>
      <c r="B23">
        <f t="shared" si="0"/>
        <v>-406.42507913353927</v>
      </c>
      <c r="C23"/>
    </row>
    <row r="24" spans="1:12" ht="15.75" x14ac:dyDescent="0.25">
      <c r="A24" s="257">
        <f t="shared" si="1"/>
        <v>0.18143361768109176</v>
      </c>
      <c r="B24">
        <f t="shared" si="0"/>
        <v>-401.63286606195885</v>
      </c>
      <c r="C24"/>
    </row>
    <row r="25" spans="1:12" ht="15.75" x14ac:dyDescent="0.25">
      <c r="A25" s="257">
        <f t="shared" si="1"/>
        <v>0.20864866033325549</v>
      </c>
      <c r="B25">
        <f t="shared" si="0"/>
        <v>-329.57600053714282</v>
      </c>
      <c r="C25"/>
      <c r="J25" s="17"/>
      <c r="K25" s="17"/>
    </row>
    <row r="26" spans="1:12" ht="15.75" x14ac:dyDescent="0.25">
      <c r="A26" s="257">
        <f t="shared" si="1"/>
        <v>0.23994595938324378</v>
      </c>
      <c r="B26">
        <f t="shared" si="0"/>
        <v>-253.81235916656723</v>
      </c>
      <c r="C26"/>
      <c r="J26" s="5"/>
      <c r="K26" s="17"/>
    </row>
    <row r="27" spans="1:12" ht="15.75" x14ac:dyDescent="0.25">
      <c r="A27" s="257">
        <f t="shared" si="1"/>
        <v>0.27593785329073034</v>
      </c>
      <c r="B27">
        <f t="shared" si="0"/>
        <v>-188.82118805929002</v>
      </c>
      <c r="C27"/>
      <c r="J27" s="5"/>
      <c r="K27" s="17"/>
    </row>
    <row r="28" spans="1:12" ht="15.75" x14ac:dyDescent="0.25">
      <c r="A28" s="257">
        <f t="shared" si="1"/>
        <v>0.31732853128433985</v>
      </c>
      <c r="B28">
        <f t="shared" si="0"/>
        <v>-136.87778270370697</v>
      </c>
      <c r="C28"/>
    </row>
    <row r="29" spans="1:12" ht="15.75" x14ac:dyDescent="0.25">
      <c r="A29" s="257">
        <f t="shared" si="1"/>
        <v>0.36492781097699079</v>
      </c>
      <c r="B29">
        <f t="shared" si="0"/>
        <v>-96.796243867898198</v>
      </c>
      <c r="C29"/>
      <c r="D29"/>
      <c r="E29"/>
      <c r="F29"/>
    </row>
    <row r="30" spans="1:12" ht="15.75" x14ac:dyDescent="0.25">
      <c r="A30" s="257">
        <f t="shared" si="1"/>
        <v>0.41966698262353935</v>
      </c>
      <c r="B30">
        <f t="shared" si="0"/>
        <v>-66.542193188297915</v>
      </c>
      <c r="C30"/>
      <c r="D30"/>
      <c r="E30"/>
      <c r="F30"/>
      <c r="J30" s="4"/>
      <c r="K30" s="18"/>
    </row>
    <row r="31" spans="1:12" ht="15.75" x14ac:dyDescent="0.25">
      <c r="A31" s="257">
        <f t="shared" si="1"/>
        <v>0.48261703001707024</v>
      </c>
      <c r="B31">
        <f t="shared" si="0"/>
        <v>-44.085650064746751</v>
      </c>
      <c r="C31"/>
      <c r="D31"/>
      <c r="E31"/>
      <c r="F31"/>
      <c r="J31" s="4"/>
      <c r="K31" s="18"/>
    </row>
    <row r="32" spans="1:12" ht="15.75" x14ac:dyDescent="0.25">
      <c r="A32" s="257">
        <f t="shared" si="1"/>
        <v>0.55500958451963078</v>
      </c>
      <c r="B32">
        <f t="shared" si="0"/>
        <v>-27.665589364748076</v>
      </c>
      <c r="C32"/>
      <c r="D32"/>
      <c r="E32"/>
      <c r="F32"/>
      <c r="J32" s="4"/>
      <c r="K32" s="37"/>
    </row>
    <row r="33" spans="1:11" ht="15.75" x14ac:dyDescent="0.25">
      <c r="A33" s="257">
        <f t="shared" si="1"/>
        <v>0.6382610221975753</v>
      </c>
      <c r="B33">
        <f t="shared" si="0"/>
        <v>-15.843149932021534</v>
      </c>
      <c r="C33"/>
      <c r="D33"/>
      <c r="E33"/>
      <c r="F33"/>
      <c r="J33" s="4"/>
      <c r="K33" s="18"/>
    </row>
    <row r="34" spans="1:11" ht="15.75" x14ac:dyDescent="0.25">
      <c r="A34" s="257">
        <f t="shared" si="1"/>
        <v>0.73400017552721153</v>
      </c>
      <c r="B34">
        <f t="shared" si="0"/>
        <v>-7.4794729202868799</v>
      </c>
      <c r="C34"/>
      <c r="D34"/>
      <c r="E34"/>
      <c r="F34"/>
    </row>
    <row r="35" spans="1:11" ht="15.75" x14ac:dyDescent="0.25">
      <c r="A35" s="257">
        <f t="shared" si="1"/>
        <v>0.8441002018562932</v>
      </c>
      <c r="B35">
        <f t="shared" si="0"/>
        <v>-1.6904363157750686</v>
      </c>
      <c r="C35"/>
      <c r="D35"/>
      <c r="E35"/>
      <c r="F35"/>
    </row>
    <row r="36" spans="1:11" ht="15.75" x14ac:dyDescent="0.25">
      <c r="A36" s="257">
        <f t="shared" si="1"/>
        <v>0.97071523213473709</v>
      </c>
      <c r="B36">
        <f t="shared" si="0"/>
        <v>2.2013407654321235</v>
      </c>
      <c r="C36"/>
      <c r="D36"/>
      <c r="E36"/>
      <c r="F36"/>
    </row>
    <row r="37" spans="1:11" ht="15.75" x14ac:dyDescent="0.25">
      <c r="A37" s="257">
        <f t="shared" si="1"/>
        <v>1.1163225169549476</v>
      </c>
      <c r="B37">
        <f t="shared" si="0"/>
        <v>4.7097256014708773</v>
      </c>
      <c r="C37"/>
      <c r="D37"/>
      <c r="E37"/>
      <c r="F37"/>
    </row>
    <row r="38" spans="1:11" ht="15.75" x14ac:dyDescent="0.25">
      <c r="A38" s="257">
        <f t="shared" si="1"/>
        <v>1.2837708944981896</v>
      </c>
      <c r="B38">
        <f t="shared" si="0"/>
        <v>6.2213610807025068</v>
      </c>
      <c r="C38"/>
      <c r="D38"/>
      <c r="E38"/>
      <c r="F38"/>
    </row>
    <row r="39" spans="1:11" ht="15.75" x14ac:dyDescent="0.25">
      <c r="A39" s="257">
        <f t="shared" si="1"/>
        <v>1.476336528672918</v>
      </c>
      <c r="B39">
        <f t="shared" si="0"/>
        <v>7.0250149758369158</v>
      </c>
      <c r="C39"/>
      <c r="D39"/>
      <c r="E39"/>
      <c r="F39"/>
    </row>
    <row r="40" spans="1:11" ht="15.75" x14ac:dyDescent="0.25">
      <c r="A40" s="257">
        <f t="shared" si="1"/>
        <v>1.6977870079738555</v>
      </c>
      <c r="B40">
        <f t="shared" si="0"/>
        <v>7.3347926487667348</v>
      </c>
      <c r="C40"/>
    </row>
    <row r="41" spans="1:11" ht="15.75" x14ac:dyDescent="0.25">
      <c r="A41" s="257">
        <f t="shared" si="1"/>
        <v>1.9524550591699337</v>
      </c>
      <c r="B41">
        <f t="shared" si="0"/>
        <v>7.3082312022411511</v>
      </c>
      <c r="C41"/>
    </row>
    <row r="42" spans="1:11" ht="15.75" x14ac:dyDescent="0.25">
      <c r="A42" s="257">
        <f t="shared" si="1"/>
        <v>2.2453233180454237</v>
      </c>
      <c r="B42">
        <f t="shared" si="0"/>
        <v>7.0602611802935247</v>
      </c>
      <c r="C42"/>
    </row>
    <row r="43" spans="1:11" ht="15.75" x14ac:dyDescent="0.25">
      <c r="A43" s="257">
        <f t="shared" si="1"/>
        <v>2.5821218157522372</v>
      </c>
      <c r="B43">
        <f t="shared" si="0"/>
        <v>6.6738985007628688</v>
      </c>
      <c r="C43"/>
    </row>
    <row r="44" spans="1:11" ht="15.75" x14ac:dyDescent="0.25">
      <c r="A44" s="257">
        <f t="shared" si="1"/>
        <v>2.9694400881150727</v>
      </c>
      <c r="B44">
        <f t="shared" si="0"/>
        <v>6.2083836177353611</v>
      </c>
      <c r="C44"/>
    </row>
    <row r="45" spans="1:11" ht="15.75" x14ac:dyDescent="0.25">
      <c r="A45" s="257">
        <f t="shared" si="1"/>
        <v>3.4148561013323331</v>
      </c>
      <c r="B45">
        <f t="shared" si="0"/>
        <v>5.705346395550694</v>
      </c>
      <c r="C45"/>
    </row>
    <row r="46" spans="1:11" ht="15.75" x14ac:dyDescent="0.25">
      <c r="A46" s="257">
        <f t="shared" si="1"/>
        <v>3.9270845165321826</v>
      </c>
      <c r="B46">
        <f t="shared" si="0"/>
        <v>5.1934547348417253</v>
      </c>
      <c r="C46"/>
    </row>
    <row r="47" spans="1:11" ht="15.75" x14ac:dyDescent="0.25">
      <c r="A47" s="257">
        <f t="shared" si="1"/>
        <v>4.5161471940120093</v>
      </c>
      <c r="B47">
        <f t="shared" si="0"/>
        <v>4.6919050623682246</v>
      </c>
      <c r="C47"/>
    </row>
    <row r="48" spans="1:11" ht="15.75" x14ac:dyDescent="0.25">
      <c r="A48" s="257">
        <f t="shared" si="1"/>
        <v>5.1935692731138099</v>
      </c>
      <c r="B48">
        <f t="shared" si="0"/>
        <v>4.2130321650423461</v>
      </c>
      <c r="C48"/>
    </row>
    <row r="49" spans="1:3" ht="15.75" x14ac:dyDescent="0.25">
      <c r="A49" s="257">
        <f t="shared" si="1"/>
        <v>5.9726046640808805</v>
      </c>
      <c r="B49">
        <f t="shared" si="0"/>
        <v>3.7642519446756331</v>
      </c>
      <c r="C49"/>
    </row>
    <row r="50" spans="1:3" ht="15.75" x14ac:dyDescent="0.25">
      <c r="A50" s="257">
        <f t="shared" si="1"/>
        <v>6.8684953636930119</v>
      </c>
      <c r="B50">
        <f t="shared" si="0"/>
        <v>3.3495006391174997</v>
      </c>
      <c r="C50"/>
    </row>
    <row r="51" spans="1:3" ht="15.75" x14ac:dyDescent="0.25">
      <c r="A51" s="257">
        <f t="shared" si="1"/>
        <v>7.8987696682469632</v>
      </c>
      <c r="B51">
        <f t="shared" si="0"/>
        <v>2.970295226303497</v>
      </c>
      <c r="C51"/>
    </row>
    <row r="52" spans="1:3" ht="15.75" x14ac:dyDescent="0.25">
      <c r="A52" s="257">
        <f t="shared" si="1"/>
        <v>9.0835851184840077</v>
      </c>
      <c r="B52">
        <f t="shared" si="0"/>
        <v>2.6265097867826115</v>
      </c>
      <c r="C52"/>
    </row>
    <row r="53" spans="1:3" ht="15.75" x14ac:dyDescent="0.25">
      <c r="A53" s="257">
        <f t="shared" si="1"/>
        <v>10.446122886256608</v>
      </c>
      <c r="B53">
        <f t="shared" si="0"/>
        <v>2.3169396276221845</v>
      </c>
      <c r="C53"/>
    </row>
    <row r="54" spans="1:3" ht="15.75" x14ac:dyDescent="0.25">
      <c r="A54" s="257">
        <f t="shared" si="1"/>
        <v>12.013041319195098</v>
      </c>
      <c r="B54">
        <f t="shared" si="0"/>
        <v>2.039707414108062</v>
      </c>
      <c r="C54"/>
    </row>
    <row r="55" spans="1:3" ht="15.75" x14ac:dyDescent="0.25">
      <c r="A55" s="257">
        <f t="shared" si="1"/>
        <v>13.814997517074362</v>
      </c>
      <c r="B55">
        <f t="shared" si="0"/>
        <v>1.7925521821174653</v>
      </c>
      <c r="C55"/>
    </row>
    <row r="56" spans="1:3" ht="15.75" x14ac:dyDescent="0.25">
      <c r="A56" s="257">
        <f t="shared" si="1"/>
        <v>15.887247144635515</v>
      </c>
      <c r="B56">
        <f t="shared" si="0"/>
        <v>1.5730319451895323</v>
      </c>
      <c r="C56"/>
    </row>
    <row r="57" spans="1:3" ht="15.75" x14ac:dyDescent="0.25">
      <c r="A57" s="257">
        <f t="shared" si="1"/>
        <v>18.270334216330841</v>
      </c>
      <c r="B57">
        <f t="shared" si="0"/>
        <v>1.3786629124797554</v>
      </c>
      <c r="C57"/>
    </row>
    <row r="58" spans="1:3" ht="15.75" x14ac:dyDescent="0.25">
      <c r="A58" s="257">
        <f t="shared" si="1"/>
        <v>21.010884348780465</v>
      </c>
      <c r="B58">
        <f t="shared" si="0"/>
        <v>1.2070125140626811</v>
      </c>
      <c r="C58"/>
    </row>
    <row r="59" spans="1:3" ht="15.75" x14ac:dyDescent="0.25">
      <c r="A59" s="257">
        <f t="shared" si="1"/>
        <v>24.162517001097534</v>
      </c>
      <c r="B59">
        <f t="shared" si="0"/>
        <v>1.0557590398329577</v>
      </c>
      <c r="C59"/>
    </row>
    <row r="60" spans="1:3" ht="15.75" x14ac:dyDescent="0.25">
      <c r="A60" s="257">
        <f t="shared" si="1"/>
        <v>27.786894551262161</v>
      </c>
      <c r="B60">
        <f t="shared" si="0"/>
        <v>0.92272739361773981</v>
      </c>
      <c r="C60"/>
    </row>
    <row r="61" spans="1:3" ht="15.75" x14ac:dyDescent="0.25">
      <c r="A61" s="257">
        <f t="shared" si="1"/>
        <v>31.954928733951483</v>
      </c>
      <c r="B61">
        <f t="shared" si="0"/>
        <v>0.80590798219345705</v>
      </c>
      <c r="C61"/>
    </row>
    <row r="62" spans="1:3" ht="15.75" x14ac:dyDescent="0.25">
      <c r="A62" s="257">
        <f t="shared" si="1"/>
        <v>36.748168044044206</v>
      </c>
      <c r="B62">
        <f t="shared" si="0"/>
        <v>0.70346389931169939</v>
      </c>
      <c r="C62"/>
    </row>
    <row r="63" spans="1:3" ht="15.75" x14ac:dyDescent="0.25">
      <c r="A63" s="257">
        <f t="shared" si="1"/>
        <v>42.260393250650836</v>
      </c>
      <c r="B63">
        <f t="shared" si="0"/>
        <v>0.61373017515480233</v>
      </c>
      <c r="C63"/>
    </row>
    <row r="64" spans="1:3" ht="15.75" x14ac:dyDescent="0.25">
      <c r="A64" s="257">
        <f t="shared" si="1"/>
        <v>48.59945223824846</v>
      </c>
      <c r="B64">
        <f t="shared" si="0"/>
        <v>0.53520782613352613</v>
      </c>
      <c r="C64"/>
    </row>
    <row r="65" spans="1:3" ht="15.75" x14ac:dyDescent="0.25">
      <c r="A65" s="257">
        <f t="shared" si="1"/>
        <v>55.889370073985724</v>
      </c>
      <c r="B65">
        <f t="shared" si="0"/>
        <v>0.46655467089160579</v>
      </c>
      <c r="C65"/>
    </row>
    <row r="66" spans="1:3" ht="15.75" x14ac:dyDescent="0.25">
      <c r="A66" s="257">
        <f t="shared" si="1"/>
        <v>64.272775585083579</v>
      </c>
      <c r="B66">
        <f t="shared" si="0"/>
        <v>0.40657430941618439</v>
      </c>
      <c r="C66"/>
    </row>
    <row r="67" spans="1:3" ht="15.75" x14ac:dyDescent="0.25">
      <c r="A67" s="257">
        <f t="shared" si="1"/>
        <v>73.913691922846112</v>
      </c>
      <c r="B67">
        <f t="shared" si="0"/>
        <v>0.35420424311273474</v>
      </c>
      <c r="C67"/>
    </row>
    <row r="68" spans="1:3" ht="15.75" x14ac:dyDescent="0.25">
      <c r="A68" s="257">
        <f t="shared" si="1"/>
        <v>85.000745711273026</v>
      </c>
      <c r="B68">
        <f t="shared" si="0"/>
        <v>0.3085038067453974</v>
      </c>
      <c r="C68"/>
    </row>
    <row r="69" spans="1:3" ht="15.75" x14ac:dyDescent="0.25">
      <c r="A69" s="257">
        <f t="shared" si="1"/>
        <v>97.750857567963976</v>
      </c>
      <c r="B69">
        <f t="shared" si="0"/>
        <v>0.26864235976002787</v>
      </c>
      <c r="C69"/>
    </row>
    <row r="70" spans="1:3" ht="15.75" x14ac:dyDescent="0.25">
      <c r="A70" s="257">
        <f t="shared" si="1"/>
        <v>112.41348620315857</v>
      </c>
      <c r="B70">
        <f t="shared" si="0"/>
        <v>0.23388802325455038</v>
      </c>
      <c r="C70"/>
    </row>
    <row r="71" spans="1:3" ht="15.75" x14ac:dyDescent="0.25">
      <c r="A71" s="257">
        <f t="shared" si="1"/>
        <v>129.27550913363234</v>
      </c>
      <c r="B71">
        <f t="shared" si="0"/>
        <v>0.20359713363813925</v>
      </c>
      <c r="C71"/>
    </row>
    <row r="72" spans="1:3" ht="15.75" x14ac:dyDescent="0.25">
      <c r="A72" s="257">
        <f t="shared" si="1"/>
        <v>148.66683550367719</v>
      </c>
      <c r="B72">
        <f t="shared" si="0"/>
        <v>0.17720450275949001</v>
      </c>
      <c r="C72"/>
    </row>
    <row r="73" spans="1:3" ht="15.75" x14ac:dyDescent="0.25">
      <c r="A73" s="257">
        <f t="shared" si="1"/>
        <v>170.96686082922875</v>
      </c>
      <c r="B73">
        <f t="shared" si="0"/>
        <v>0.15421451795901076</v>
      </c>
      <c r="C73"/>
    </row>
    <row r="74" spans="1:3" ht="15.75" x14ac:dyDescent="0.25">
      <c r="A74" s="257">
        <f t="shared" si="1"/>
        <v>196.61188995361306</v>
      </c>
      <c r="B74">
        <f t="shared" si="0"/>
        <v>0.13419307737511671</v>
      </c>
      <c r="C74"/>
    </row>
    <row r="75" spans="1:3" ht="15.75" x14ac:dyDescent="0.25">
      <c r="A75" s="257">
        <f t="shared" si="1"/>
        <v>226.10367344665499</v>
      </c>
      <c r="B75">
        <f t="shared" si="0"/>
        <v>0.11676033089896903</v>
      </c>
      <c r="C75"/>
    </row>
    <row r="76" spans="1:3" ht="15.75" x14ac:dyDescent="0.25">
      <c r="A76" s="257">
        <f t="shared" si="1"/>
        <v>260.01922446365325</v>
      </c>
      <c r="B76">
        <f t="shared" si="0"/>
        <v>0.10158418170693541</v>
      </c>
      <c r="C76"/>
    </row>
    <row r="77" spans="1:3" ht="15.75" x14ac:dyDescent="0.25">
      <c r="A77" s="257">
        <f t="shared" si="1"/>
        <v>299.02210813320119</v>
      </c>
      <c r="B77">
        <f t="shared" si="0"/>
        <v>8.8374494557878713E-2</v>
      </c>
      <c r="C77"/>
    </row>
    <row r="78" spans="1:3" ht="15.75" x14ac:dyDescent="0.25">
      <c r="A78" s="257">
        <f t="shared" si="1"/>
        <v>343.87542435318136</v>
      </c>
      <c r="B78">
        <f t="shared" si="0"/>
        <v>7.6877953001162444E-2</v>
      </c>
      <c r="C78"/>
    </row>
    <row r="79" spans="1:3" ht="15.75" x14ac:dyDescent="0.25">
      <c r="A79" s="257">
        <f t="shared" si="1"/>
        <v>395.45673800615856</v>
      </c>
      <c r="B79">
        <f t="shared" si="0"/>
        <v>6.6873506821175446E-2</v>
      </c>
      <c r="C79"/>
    </row>
    <row r="80" spans="1:3" ht="15.75" x14ac:dyDescent="0.25">
      <c r="A80" s="257">
        <f t="shared" si="1"/>
        <v>454.77524870708231</v>
      </c>
      <c r="B80">
        <f t="shared" si="0"/>
        <v>5.8168352369184412E-2</v>
      </c>
      <c r="C80"/>
    </row>
    <row r="81" spans="1:3" ht="15.75" x14ac:dyDescent="0.25">
      <c r="A81" s="257">
        <f t="shared" si="1"/>
        <v>522.99153601314458</v>
      </c>
      <c r="B81">
        <f t="shared" si="0"/>
        <v>5.0594391127323127E-2</v>
      </c>
      <c r="C81"/>
    </row>
    <row r="82" spans="1:3" ht="15.75" x14ac:dyDescent="0.25">
      <c r="A82" s="257">
        <f t="shared" si="1"/>
        <v>601.44026641511618</v>
      </c>
      <c r="B82">
        <f t="shared" si="0"/>
        <v>4.4005115358432129E-2</v>
      </c>
      <c r="C82"/>
    </row>
    <row r="83" spans="1:3" ht="15.75" x14ac:dyDescent="0.25">
      <c r="A83" s="257">
        <f t="shared" si="1"/>
        <v>691.65630637738354</v>
      </c>
      <c r="B83">
        <f t="shared" si="0"/>
        <v>3.8272873628874049E-2</v>
      </c>
      <c r="C83"/>
    </row>
    <row r="84" spans="1:3" ht="15.75" x14ac:dyDescent="0.25">
      <c r="A84" s="257">
        <f t="shared" si="1"/>
        <v>795.40475233399104</v>
      </c>
      <c r="B84">
        <f t="shared" si="0"/>
        <v>3.3286473079069054E-2</v>
      </c>
      <c r="C84"/>
    </row>
    <row r="85" spans="1:3" ht="15.75" x14ac:dyDescent="0.25">
      <c r="A85" s="257">
        <f t="shared" si="1"/>
        <v>914.71546518408968</v>
      </c>
      <c r="B85">
        <f t="shared" si="0"/>
        <v>2.8949079375620624E-2</v>
      </c>
      <c r="C85"/>
    </row>
    <row r="86" spans="1:3" ht="15.75" x14ac:dyDescent="0.25">
      <c r="A86" s="257">
        <f t="shared" si="1"/>
        <v>1051.922784961703</v>
      </c>
      <c r="B86">
        <f>($B$10*$I$1/(A86-$B$14)-$B$13/A86^2)/100</f>
        <v>2.5176379190269743E-2</v>
      </c>
      <c r="C86"/>
    </row>
    <row r="87" spans="1:3" ht="15.75" x14ac:dyDescent="0.25">
      <c r="A87"/>
      <c r="B87"/>
      <c r="C87"/>
    </row>
    <row r="88" spans="1:3" ht="15.75" x14ac:dyDescent="0.25">
      <c r="A88"/>
      <c r="B88"/>
      <c r="C88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88"/>
  <sheetViews>
    <sheetView workbookViewId="0"/>
  </sheetViews>
  <sheetFormatPr defaultColWidth="8" defaultRowHeight="12.75" x14ac:dyDescent="0.2"/>
  <cols>
    <col min="1" max="2" width="8" style="2" customWidth="1"/>
    <col min="3" max="3" width="8.375" style="2" bestFit="1" customWidth="1"/>
    <col min="4" max="4" width="8" style="2" customWidth="1"/>
    <col min="5" max="5" width="9.375" style="2" bestFit="1" customWidth="1"/>
    <col min="6" max="16384" width="8" style="2"/>
  </cols>
  <sheetData>
    <row r="1" spans="1:15" ht="18" x14ac:dyDescent="0.25">
      <c r="A1" s="143" t="str">
        <f>' T = Tb'!A1</f>
        <v>Benzene</v>
      </c>
      <c r="E1" s="2" t="s">
        <v>0</v>
      </c>
      <c r="F1" s="2">
        <v>1</v>
      </c>
      <c r="H1" s="3" t="s">
        <v>1</v>
      </c>
      <c r="I1" s="2">
        <f>' T = Tb'!O13</f>
        <v>331.9800490937925</v>
      </c>
      <c r="J1" s="2" t="s">
        <v>2</v>
      </c>
    </row>
    <row r="2" spans="1:15" ht="15.75" x14ac:dyDescent="0.3">
      <c r="A2" s="4" t="s">
        <v>15</v>
      </c>
      <c r="B2" s="5">
        <f>' T = Tb'!B2</f>
        <v>78.114000000000004</v>
      </c>
      <c r="C2" s="2" t="s">
        <v>3</v>
      </c>
      <c r="E2" s="4" t="s">
        <v>4</v>
      </c>
      <c r="F2" s="2">
        <f>' T = Tb'!F2</f>
        <v>-7.0143300000000002</v>
      </c>
      <c r="H2" s="3" t="s">
        <v>16</v>
      </c>
      <c r="I2" s="2">
        <f>1-I1/B3</f>
        <v>0.40945629519390825</v>
      </c>
      <c r="M2" s="4"/>
    </row>
    <row r="3" spans="1:15" ht="15.75" x14ac:dyDescent="0.3">
      <c r="A3" s="4" t="s">
        <v>17</v>
      </c>
      <c r="B3" s="5">
        <f>' T = Tb'!B3</f>
        <v>562.16</v>
      </c>
      <c r="C3" s="2" t="s">
        <v>2</v>
      </c>
      <c r="E3" s="4" t="s">
        <v>5</v>
      </c>
      <c r="F3" s="2">
        <f>' T = Tb'!F3</f>
        <v>1.5525599999999999</v>
      </c>
      <c r="H3" s="3" t="s">
        <v>6</v>
      </c>
      <c r="I3" s="144">
        <f>(B4*EXP((F2*I2+F3*I2^1.5+F4*I2^2.5+F5*I2^5)/(1-I2)))</f>
        <v>0.50095379404491969</v>
      </c>
      <c r="J3" s="2" t="s">
        <v>7</v>
      </c>
      <c r="M3" s="4"/>
    </row>
    <row r="4" spans="1:15" ht="15.75" x14ac:dyDescent="0.3">
      <c r="A4" s="4" t="s">
        <v>18</v>
      </c>
      <c r="B4" s="5">
        <f>' T = Tb'!B4</f>
        <v>48.98</v>
      </c>
      <c r="C4" s="2" t="s">
        <v>7</v>
      </c>
      <c r="E4" s="4" t="s">
        <v>8</v>
      </c>
      <c r="F4" s="2">
        <f>' T = Tb'!F4</f>
        <v>-1.8479000000000001</v>
      </c>
      <c r="H4" s="3" t="s">
        <v>6</v>
      </c>
      <c r="I4" s="2">
        <f>I3*100</f>
        <v>50.095379404491972</v>
      </c>
      <c r="J4" s="2" t="s">
        <v>9</v>
      </c>
      <c r="M4" s="4"/>
      <c r="N4" s="6"/>
    </row>
    <row r="5" spans="1:15" ht="15.75" x14ac:dyDescent="0.3">
      <c r="A5" s="4" t="s">
        <v>18</v>
      </c>
      <c r="B5" s="5">
        <f>' T = Tb'!B5</f>
        <v>4898</v>
      </c>
      <c r="C5" s="2" t="s">
        <v>9</v>
      </c>
      <c r="E5" s="4" t="s">
        <v>10</v>
      </c>
      <c r="F5" s="2">
        <f>' T = Tb'!F5</f>
        <v>-3.7130000000000001</v>
      </c>
      <c r="H5" s="4"/>
      <c r="M5" s="4"/>
      <c r="N5" s="6"/>
    </row>
    <row r="6" spans="1:15" ht="15.75" x14ac:dyDescent="0.3">
      <c r="A6" s="4" t="s">
        <v>19</v>
      </c>
      <c r="B6" s="5">
        <f>' T = Tb'!B6</f>
        <v>256</v>
      </c>
      <c r="C6" s="2" t="s">
        <v>20</v>
      </c>
      <c r="E6" s="4" t="s">
        <v>21</v>
      </c>
      <c r="F6" s="2">
        <f>' T = Tb'!F6</f>
        <v>250</v>
      </c>
      <c r="G6" s="7">
        <f>F6/B3</f>
        <v>0.44471324889711117</v>
      </c>
      <c r="H6" s="2" t="s">
        <v>22</v>
      </c>
      <c r="I6" s="2">
        <v>2.5712194055283128E-3</v>
      </c>
    </row>
    <row r="7" spans="1:15" ht="15.75" x14ac:dyDescent="0.3">
      <c r="A7" s="4" t="s">
        <v>19</v>
      </c>
      <c r="B7" s="5">
        <f>' T = Tb'!B7</f>
        <v>0.25600000000000001</v>
      </c>
      <c r="C7" s="8" t="s">
        <v>23</v>
      </c>
      <c r="E7" s="4" t="s">
        <v>24</v>
      </c>
      <c r="F7" s="2">
        <f>' T = Tb'!F7</f>
        <v>562.16</v>
      </c>
      <c r="G7" s="7">
        <f>F7/B3</f>
        <v>1</v>
      </c>
      <c r="H7" s="2" t="s">
        <v>25</v>
      </c>
      <c r="I7" s="2">
        <f>I6/I3</f>
        <v>5.1326478331807099E-3</v>
      </c>
    </row>
    <row r="8" spans="1:15" ht="15.75" x14ac:dyDescent="0.3">
      <c r="A8" s="4" t="s">
        <v>26</v>
      </c>
      <c r="B8" s="5">
        <f>' T = Tb'!B8</f>
        <v>0.26800000000000002</v>
      </c>
      <c r="E8" s="4" t="s">
        <v>27</v>
      </c>
      <c r="F8" s="18">
        <f>' T = Tb'!F8</f>
        <v>353.24</v>
      </c>
      <c r="G8" s="7">
        <f>F8/B3</f>
        <v>0.6283620321616622</v>
      </c>
      <c r="H8" s="2" t="s">
        <v>28</v>
      </c>
    </row>
    <row r="9" spans="1:15" x14ac:dyDescent="0.2">
      <c r="A9" s="9" t="s">
        <v>29</v>
      </c>
      <c r="B9" s="5">
        <f>' T = Tb'!B9</f>
        <v>0.21</v>
      </c>
      <c r="E9" s="4"/>
      <c r="F9" s="2">
        <f>' T = Tb'!F9</f>
        <v>101.325</v>
      </c>
      <c r="K9" s="4"/>
    </row>
    <row r="10" spans="1:15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5" x14ac:dyDescent="0.2">
      <c r="A11" s="10" t="s">
        <v>13</v>
      </c>
      <c r="K11" s="11"/>
      <c r="M11" s="12"/>
    </row>
    <row r="12" spans="1:15" ht="18.75" x14ac:dyDescent="0.3">
      <c r="A12" s="13" t="s">
        <v>31</v>
      </c>
      <c r="B12" s="14">
        <f>27/64*(B10*B3)^2/B5</f>
        <v>1881.7339064250737</v>
      </c>
      <c r="C12" s="15"/>
      <c r="E12" s="16" t="s">
        <v>14</v>
      </c>
      <c r="H12" s="4" t="s">
        <v>32</v>
      </c>
      <c r="I12" s="191">
        <f>(2*B19)-B14-(B10*I1/I4)</f>
        <v>-55.219206355867968</v>
      </c>
      <c r="J12" s="17">
        <f>-(B18+B15+B16)</f>
        <v>-55.219206355867968</v>
      </c>
      <c r="K12" s="6"/>
      <c r="N12" s="4"/>
      <c r="O12" s="18"/>
    </row>
    <row r="13" spans="1:15" ht="18.75" x14ac:dyDescent="0.3">
      <c r="A13" s="13" t="s">
        <v>33</v>
      </c>
      <c r="B13" s="156">
        <v>2667.8614237862971</v>
      </c>
      <c r="C13" s="157">
        <f>' T = Tb'!P13</f>
        <v>2662.6464387112073</v>
      </c>
      <c r="E13" s="193">
        <f>ABS(B10*I1*LN((B16-B14)/(B15-B14))+B13*(1/(B16+B19)-1/(B15+B19))-I4*(B16-B15))</f>
        <v>7.5467914939508773E-6</v>
      </c>
      <c r="F13" s="21">
        <f>E13+E15+E16</f>
        <v>6.386288177395727E-5</v>
      </c>
      <c r="H13" s="4" t="s">
        <v>34</v>
      </c>
      <c r="I13" s="191">
        <f>(B19^2)-(2*B19*B14)-(2*B10*I1*B19/I4)+(B13/I4)</f>
        <v>53.255638653713326</v>
      </c>
      <c r="J13" s="17">
        <f>B15*B16+B15*B18+B18*B16</f>
        <v>53.255638664100339</v>
      </c>
      <c r="K13" s="6"/>
      <c r="L13" s="26">
        <f>B13/B12</f>
        <v>1.4177676315854413</v>
      </c>
      <c r="N13" s="4"/>
      <c r="O13" s="18"/>
    </row>
    <row r="14" spans="1:15" ht="18.75" x14ac:dyDescent="0.5">
      <c r="A14" s="147" t="s">
        <v>35</v>
      </c>
      <c r="B14" s="262">
        <f>B10*B3/8/B5</f>
        <v>0.11928554873417722</v>
      </c>
      <c r="C14" s="263" t="s">
        <v>23</v>
      </c>
      <c r="H14" s="4" t="s">
        <v>36</v>
      </c>
      <c r="I14" s="191">
        <f>(-B14*(B19^2))-(B10*I1*(B19^2)/I4)-(B13*B14/I4)</f>
        <v>-6.3526280799972525</v>
      </c>
      <c r="J14" s="17">
        <f>-(B18*B15*B16)</f>
        <v>-6.3526280814450846</v>
      </c>
      <c r="K14" s="6"/>
      <c r="L14" s="26">
        <f>B15/B14</f>
        <v>1.1684304208814025</v>
      </c>
      <c r="N14" s="4"/>
      <c r="O14" s="18"/>
    </row>
    <row r="15" spans="1:15" ht="19.5" x14ac:dyDescent="0.5">
      <c r="A15" s="135" t="s">
        <v>37</v>
      </c>
      <c r="B15" s="264">
        <v>0.13937686391254375</v>
      </c>
      <c r="C15" s="263" t="s">
        <v>23</v>
      </c>
      <c r="D15" s="24" t="s">
        <v>38</v>
      </c>
      <c r="E15" s="25">
        <f>1000000*ABS(B15^3+I12*B15^2+I13*B15+I14)</f>
        <v>1.2256862191861728E-7</v>
      </c>
      <c r="K15" s="4"/>
      <c r="L15" s="26">
        <f>B16/B17</f>
        <v>0.9843844455708084</v>
      </c>
    </row>
    <row r="16" spans="1:15" ht="19.5" x14ac:dyDescent="0.5">
      <c r="A16" s="135" t="s">
        <v>39</v>
      </c>
      <c r="B16" s="265">
        <v>54.239504994725849</v>
      </c>
      <c r="C16" s="263" t="s">
        <v>23</v>
      </c>
      <c r="D16" s="24" t="s">
        <v>40</v>
      </c>
      <c r="E16" s="25">
        <f>100*ABS(B16^3+I12*B16^2+I13*B16+I14)</f>
        <v>5.6193521658087775E-5</v>
      </c>
      <c r="L16" s="26"/>
    </row>
    <row r="17" spans="1:12" ht="19.5" x14ac:dyDescent="0.5">
      <c r="A17" s="139" t="s">
        <v>41</v>
      </c>
      <c r="B17" s="148">
        <f>B10*I1/I4</f>
        <v>55.099920807133792</v>
      </c>
      <c r="C17" s="263" t="s">
        <v>23</v>
      </c>
      <c r="D17" s="24" t="s">
        <v>42</v>
      </c>
      <c r="E17" s="29">
        <f>1000*ABS(B18^3+I12*B18^2+I13*B18+I14)</f>
        <v>7.2806329853847274E-6</v>
      </c>
      <c r="H17" s="12"/>
      <c r="I17" s="4"/>
      <c r="J17" s="17"/>
      <c r="L17" s="25"/>
    </row>
    <row r="18" spans="1:12" ht="19.5" x14ac:dyDescent="0.5">
      <c r="A18" s="135" t="s">
        <v>43</v>
      </c>
      <c r="B18" s="138">
        <f>-I12-B15-B16</f>
        <v>0.84032449722957381</v>
      </c>
      <c r="C18" s="263" t="s">
        <v>23</v>
      </c>
      <c r="D18" s="4"/>
      <c r="E18" s="29"/>
      <c r="H18" s="12"/>
      <c r="I18" s="4"/>
      <c r="J18" s="17"/>
      <c r="L18" s="25"/>
    </row>
    <row r="19" spans="1:12" ht="15.75" x14ac:dyDescent="0.25">
      <c r="A19" s="149" t="s">
        <v>132</v>
      </c>
      <c r="B19" s="259">
        <v>0</v>
      </c>
      <c r="C19" s="258">
        <v>1.1499999999999999</v>
      </c>
      <c r="D19" s="29"/>
      <c r="E19" s="4"/>
      <c r="H19" s="12"/>
      <c r="I19" s="4"/>
      <c r="J19" s="17"/>
      <c r="L19" s="25"/>
    </row>
    <row r="20" spans="1:12" ht="15.75" x14ac:dyDescent="0.25">
      <c r="A20" s="256" t="s">
        <v>44</v>
      </c>
      <c r="B20" s="256" t="s">
        <v>45</v>
      </c>
      <c r="C20" s="256" t="s">
        <v>169</v>
      </c>
      <c r="D20" s="21"/>
      <c r="E20" s="4"/>
      <c r="I20" s="4"/>
      <c r="J20" s="17"/>
      <c r="K20" s="21"/>
    </row>
    <row r="21" spans="1:12" ht="15.75" x14ac:dyDescent="0.25">
      <c r="A21" s="257">
        <f>B14+0.00001</f>
        <v>0.11929554873417722</v>
      </c>
      <c r="B21">
        <f>($B$10*$I$1/(A21-$B$14)-$B$13/A21^2)/100</f>
        <v>2758376.8113321052</v>
      </c>
      <c r="C21"/>
      <c r="E21" s="4"/>
    </row>
    <row r="22" spans="1:12" ht="15.75" x14ac:dyDescent="0.25">
      <c r="A22" s="257">
        <f>A21*$C$19</f>
        <v>0.1371898810443038</v>
      </c>
      <c r="B22">
        <f t="shared" ref="B22:B85" si="0">($B$10*$I$1/(A22-$B$14)-$B$13/A22^2)/100</f>
        <v>124.17970484627557</v>
      </c>
      <c r="C22"/>
      <c r="E22" s="195"/>
    </row>
    <row r="23" spans="1:12" ht="15.75" x14ac:dyDescent="0.25">
      <c r="A23" s="257">
        <f t="shared" ref="A23:A86" si="1">A22*$C$19</f>
        <v>0.15776836320094936</v>
      </c>
      <c r="B23">
        <f t="shared" si="0"/>
        <v>-354.55527900645757</v>
      </c>
      <c r="C23"/>
    </row>
    <row r="24" spans="1:12" ht="15.75" x14ac:dyDescent="0.25">
      <c r="A24" s="257">
        <f t="shared" si="1"/>
        <v>0.18143361768109176</v>
      </c>
      <c r="B24">
        <f t="shared" si="0"/>
        <v>-366.31169401893152</v>
      </c>
      <c r="C24"/>
    </row>
    <row r="25" spans="1:12" ht="15.75" x14ac:dyDescent="0.25">
      <c r="A25" s="257">
        <f t="shared" si="1"/>
        <v>0.20864866033325549</v>
      </c>
      <c r="B25">
        <f t="shared" si="0"/>
        <v>-303.93837228489548</v>
      </c>
      <c r="C25"/>
      <c r="J25" s="17"/>
      <c r="K25" s="17"/>
    </row>
    <row r="26" spans="1:12" ht="15.75" x14ac:dyDescent="0.25">
      <c r="A26" s="257">
        <f t="shared" si="1"/>
        <v>0.23994595938324378</v>
      </c>
      <c r="B26">
        <f t="shared" si="0"/>
        <v>-234.61706055120331</v>
      </c>
      <c r="C26"/>
      <c r="J26" s="5"/>
      <c r="K26" s="17"/>
    </row>
    <row r="27" spans="1:12" ht="15.75" x14ac:dyDescent="0.25">
      <c r="A27" s="257">
        <f t="shared" si="1"/>
        <v>0.27593785329073034</v>
      </c>
      <c r="B27">
        <f t="shared" si="0"/>
        <v>-174.17871163503108</v>
      </c>
      <c r="C27"/>
      <c r="J27" s="5"/>
      <c r="K27" s="17"/>
    </row>
    <row r="28" spans="1:12" ht="15.75" x14ac:dyDescent="0.25">
      <c r="A28" s="257">
        <f t="shared" si="1"/>
        <v>0.31732853128433985</v>
      </c>
      <c r="B28">
        <f t="shared" si="0"/>
        <v>-125.56208809626236</v>
      </c>
      <c r="C28"/>
    </row>
    <row r="29" spans="1:12" ht="15.75" x14ac:dyDescent="0.25">
      <c r="A29" s="257">
        <f t="shared" si="1"/>
        <v>0.36492781097699079</v>
      </c>
      <c r="B29">
        <f t="shared" si="0"/>
        <v>-87.96279462626191</v>
      </c>
      <c r="C29"/>
      <c r="D29"/>
      <c r="E29"/>
      <c r="F29"/>
    </row>
    <row r="30" spans="1:12" ht="15.75" x14ac:dyDescent="0.25">
      <c r="A30" s="257">
        <f t="shared" si="1"/>
        <v>0.41966698262353935</v>
      </c>
      <c r="B30">
        <f t="shared" si="0"/>
        <v>-59.58788403540904</v>
      </c>
      <c r="C30"/>
      <c r="D30"/>
      <c r="E30"/>
      <c r="F30"/>
      <c r="J30" s="4"/>
      <c r="K30" s="18"/>
    </row>
    <row r="31" spans="1:12" ht="15.75" x14ac:dyDescent="0.25">
      <c r="A31" s="257">
        <f t="shared" si="1"/>
        <v>0.48261703001707024</v>
      </c>
      <c r="B31">
        <f t="shared" si="0"/>
        <v>-38.569601507282904</v>
      </c>
      <c r="C31"/>
      <c r="D31"/>
      <c r="E31"/>
      <c r="F31"/>
      <c r="J31" s="4"/>
      <c r="K31" s="18"/>
    </row>
    <row r="32" spans="1:12" ht="15.75" x14ac:dyDescent="0.25">
      <c r="A32" s="257">
        <f t="shared" si="1"/>
        <v>0.55500958451963078</v>
      </c>
      <c r="B32">
        <f t="shared" si="0"/>
        <v>-23.260240383017326</v>
      </c>
      <c r="C32"/>
      <c r="D32"/>
      <c r="E32"/>
      <c r="F32"/>
      <c r="J32" s="4"/>
      <c r="K32" s="37"/>
    </row>
    <row r="33" spans="1:11" ht="15.75" x14ac:dyDescent="0.25">
      <c r="A33" s="257">
        <f t="shared" si="1"/>
        <v>0.6382610221975753</v>
      </c>
      <c r="B33">
        <f t="shared" si="0"/>
        <v>-12.3021889940467</v>
      </c>
      <c r="C33"/>
      <c r="D33"/>
      <c r="E33"/>
      <c r="F33"/>
      <c r="J33" s="4"/>
      <c r="K33" s="18"/>
    </row>
    <row r="34" spans="1:11" ht="15.75" x14ac:dyDescent="0.25">
      <c r="A34" s="257">
        <f t="shared" si="1"/>
        <v>0.73400017552721153</v>
      </c>
      <c r="B34">
        <f t="shared" si="0"/>
        <v>-4.6159212656359436</v>
      </c>
      <c r="C34"/>
      <c r="D34"/>
      <c r="E34"/>
      <c r="F34"/>
    </row>
    <row r="35" spans="1:11" ht="15.75" x14ac:dyDescent="0.25">
      <c r="A35" s="257">
        <f t="shared" si="1"/>
        <v>0.8441002018562932</v>
      </c>
      <c r="B35">
        <f t="shared" si="0"/>
        <v>0.63877094544482138</v>
      </c>
      <c r="C35"/>
      <c r="D35"/>
      <c r="E35"/>
      <c r="F35"/>
    </row>
    <row r="36" spans="1:11" ht="15.75" x14ac:dyDescent="0.25">
      <c r="A36" s="257">
        <f t="shared" si="1"/>
        <v>0.97071523213473709</v>
      </c>
      <c r="B36">
        <f t="shared" si="0"/>
        <v>4.1064295752792894</v>
      </c>
      <c r="C36"/>
      <c r="D36"/>
      <c r="E36"/>
      <c r="F36"/>
    </row>
    <row r="37" spans="1:11" ht="15.75" x14ac:dyDescent="0.25">
      <c r="A37" s="257">
        <f t="shared" si="1"/>
        <v>1.1163225169549476</v>
      </c>
      <c r="B37">
        <f t="shared" si="0"/>
        <v>6.2761599916688917</v>
      </c>
      <c r="C37"/>
      <c r="D37"/>
      <c r="E37"/>
      <c r="F37"/>
    </row>
    <row r="38" spans="1:11" ht="15.75" x14ac:dyDescent="0.25">
      <c r="A38" s="257">
        <f t="shared" si="1"/>
        <v>1.2837708944981896</v>
      </c>
      <c r="B38">
        <f t="shared" si="0"/>
        <v>7.515802355909404</v>
      </c>
      <c r="C38"/>
      <c r="D38"/>
      <c r="E38"/>
      <c r="F38"/>
    </row>
    <row r="39" spans="1:11" ht="15.75" x14ac:dyDescent="0.25">
      <c r="A39" s="257">
        <f t="shared" si="1"/>
        <v>1.476336528672918</v>
      </c>
      <c r="B39">
        <f t="shared" si="0"/>
        <v>8.0997584457691385</v>
      </c>
      <c r="C39"/>
      <c r="D39"/>
      <c r="E39"/>
      <c r="F39"/>
    </row>
    <row r="40" spans="1:11" ht="15.75" x14ac:dyDescent="0.25">
      <c r="A40" s="257">
        <f t="shared" si="1"/>
        <v>1.6977870079738555</v>
      </c>
      <c r="B40">
        <f t="shared" si="0"/>
        <v>8.2310953618301941</v>
      </c>
      <c r="C40"/>
    </row>
    <row r="41" spans="1:11" ht="15.75" x14ac:dyDescent="0.25">
      <c r="A41" s="257">
        <f t="shared" si="1"/>
        <v>1.9524550591699337</v>
      </c>
      <c r="B41">
        <f t="shared" si="0"/>
        <v>8.0588235282254566</v>
      </c>
      <c r="C41"/>
    </row>
    <row r="42" spans="1:11" ht="15.75" x14ac:dyDescent="0.25">
      <c r="A42" s="257">
        <f t="shared" si="1"/>
        <v>2.2453233180454237</v>
      </c>
      <c r="B42">
        <f t="shared" si="0"/>
        <v>7.6912528400012823</v>
      </c>
      <c r="C42"/>
    </row>
    <row r="43" spans="1:11" ht="15.75" x14ac:dyDescent="0.25">
      <c r="A43" s="257">
        <f t="shared" si="1"/>
        <v>2.5821218157522372</v>
      </c>
      <c r="B43">
        <f t="shared" si="0"/>
        <v>7.2062322876252551</v>
      </c>
      <c r="C43"/>
    </row>
    <row r="44" spans="1:11" ht="15.75" x14ac:dyDescent="0.25">
      <c r="A44" s="257">
        <f t="shared" si="1"/>
        <v>2.9694400881150727</v>
      </c>
      <c r="B44">
        <f t="shared" si="0"/>
        <v>6.6589493641168609</v>
      </c>
      <c r="C44"/>
    </row>
    <row r="45" spans="1:11" ht="15.75" x14ac:dyDescent="0.25">
      <c r="A45" s="257">
        <f t="shared" si="1"/>
        <v>3.4148561013323331</v>
      </c>
      <c r="B45">
        <f t="shared" si="0"/>
        <v>6.0878384692958125</v>
      </c>
      <c r="C45"/>
    </row>
    <row r="46" spans="1:11" ht="15.75" x14ac:dyDescent="0.25">
      <c r="A46" s="257">
        <f t="shared" si="1"/>
        <v>3.9270845165321826</v>
      </c>
      <c r="B46">
        <f t="shared" si="0"/>
        <v>5.5190350742637859</v>
      </c>
      <c r="C46"/>
    </row>
    <row r="47" spans="1:11" ht="15.75" x14ac:dyDescent="0.25">
      <c r="A47" s="257">
        <f t="shared" si="1"/>
        <v>4.5161471940120093</v>
      </c>
      <c r="B47">
        <f t="shared" si="0"/>
        <v>4.969718155704876</v>
      </c>
      <c r="C47"/>
    </row>
    <row r="48" spans="1:11" ht="15.75" x14ac:dyDescent="0.25">
      <c r="A48" s="257">
        <f t="shared" si="1"/>
        <v>5.1935692731138099</v>
      </c>
      <c r="B48">
        <f t="shared" si="0"/>
        <v>4.4506068598031137</v>
      </c>
      <c r="C48"/>
    </row>
    <row r="49" spans="1:3" ht="15.75" x14ac:dyDescent="0.25">
      <c r="A49" s="257">
        <f t="shared" si="1"/>
        <v>5.9726046640808805</v>
      </c>
      <c r="B49">
        <f t="shared" si="0"/>
        <v>3.9678164166094358</v>
      </c>
      <c r="C49"/>
    </row>
    <row r="50" spans="1:3" ht="15.75" x14ac:dyDescent="0.25">
      <c r="A50" s="257">
        <f t="shared" si="1"/>
        <v>6.8684953636930119</v>
      </c>
      <c r="B50">
        <f t="shared" si="0"/>
        <v>3.5242304660023165</v>
      </c>
      <c r="C50"/>
    </row>
    <row r="51" spans="1:3" ht="15.75" x14ac:dyDescent="0.25">
      <c r="A51" s="257">
        <f t="shared" si="1"/>
        <v>7.8987696682469632</v>
      </c>
      <c r="B51">
        <f t="shared" si="0"/>
        <v>3.1205097276605067</v>
      </c>
      <c r="C51"/>
    </row>
    <row r="52" spans="1:3" ht="15.75" x14ac:dyDescent="0.25">
      <c r="A52" s="257">
        <f t="shared" si="1"/>
        <v>9.0835851184840077</v>
      </c>
      <c r="B52">
        <f t="shared" si="0"/>
        <v>2.7558281926652133</v>
      </c>
      <c r="C52"/>
    </row>
    <row r="53" spans="1:3" ht="15.75" x14ac:dyDescent="0.25">
      <c r="A53" s="257">
        <f t="shared" si="1"/>
        <v>10.446122886256608</v>
      </c>
      <c r="B53">
        <f t="shared" si="0"/>
        <v>2.4284059248071594</v>
      </c>
      <c r="C53"/>
    </row>
    <row r="54" spans="1:3" ht="15.75" x14ac:dyDescent="0.25">
      <c r="A54" s="257">
        <f t="shared" si="1"/>
        <v>12.013041319195098</v>
      </c>
      <c r="B54">
        <f t="shared" si="0"/>
        <v>2.135890663281022</v>
      </c>
      <c r="C54"/>
    </row>
    <row r="55" spans="1:3" ht="15.75" x14ac:dyDescent="0.25">
      <c r="A55" s="257">
        <f t="shared" si="1"/>
        <v>13.814997517074362</v>
      </c>
      <c r="B55">
        <f t="shared" si="0"/>
        <v>1.8756275399656972</v>
      </c>
      <c r="C55"/>
    </row>
    <row r="56" spans="1:3" ht="15.75" x14ac:dyDescent="0.25">
      <c r="A56" s="257">
        <f t="shared" si="1"/>
        <v>15.887247144635515</v>
      </c>
      <c r="B56">
        <f t="shared" si="0"/>
        <v>1.6448464380457062</v>
      </c>
      <c r="C56"/>
    </row>
    <row r="57" spans="1:3" ht="15.75" x14ac:dyDescent="0.25">
      <c r="A57" s="257">
        <f t="shared" si="1"/>
        <v>18.270334216330841</v>
      </c>
      <c r="B57">
        <f t="shared" si="0"/>
        <v>1.4407891018118908</v>
      </c>
      <c r="C57"/>
    </row>
    <row r="58" spans="1:3" ht="15.75" x14ac:dyDescent="0.25">
      <c r="A58" s="257">
        <f t="shared" si="1"/>
        <v>21.010884348780465</v>
      </c>
      <c r="B58">
        <f t="shared" si="0"/>
        <v>1.2607925002140516</v>
      </c>
      <c r="C58"/>
    </row>
    <row r="59" spans="1:3" ht="15.75" x14ac:dyDescent="0.25">
      <c r="A59" s="257">
        <f t="shared" si="1"/>
        <v>24.162517001097534</v>
      </c>
      <c r="B59">
        <f t="shared" si="0"/>
        <v>1.1023407175986215</v>
      </c>
      <c r="C59"/>
    </row>
    <row r="60" spans="1:3" ht="15.75" x14ac:dyDescent="0.25">
      <c r="A60" s="257">
        <f t="shared" si="1"/>
        <v>27.786894551262161</v>
      </c>
      <c r="B60">
        <f t="shared" si="0"/>
        <v>0.96309446284305678</v>
      </c>
      <c r="C60"/>
    </row>
    <row r="61" spans="1:3" ht="15.75" x14ac:dyDescent="0.25">
      <c r="A61" s="257">
        <f t="shared" si="1"/>
        <v>31.954928733951483</v>
      </c>
      <c r="B61">
        <f t="shared" si="0"/>
        <v>0.84090489943962476</v>
      </c>
      <c r="C61"/>
    </row>
    <row r="62" spans="1:3" ht="15.75" x14ac:dyDescent="0.25">
      <c r="A62" s="257">
        <f t="shared" si="1"/>
        <v>36.748168044044206</v>
      </c>
      <c r="B62">
        <f t="shared" si="0"/>
        <v>0.73381671071874666</v>
      </c>
      <c r="C62"/>
    </row>
    <row r="63" spans="1:3" ht="15.75" x14ac:dyDescent="0.25">
      <c r="A63" s="257">
        <f t="shared" si="1"/>
        <v>42.260393250650836</v>
      </c>
      <c r="B63">
        <f t="shared" si="0"/>
        <v>0.64006397925421721</v>
      </c>
      <c r="C63"/>
    </row>
    <row r="64" spans="1:3" ht="15.75" x14ac:dyDescent="0.25">
      <c r="A64" s="257">
        <f t="shared" si="1"/>
        <v>48.59945223824846</v>
      </c>
      <c r="B64">
        <f t="shared" si="0"/>
        <v>0.55806146585406236</v>
      </c>
      <c r="C64"/>
    </row>
    <row r="65" spans="1:3" ht="15.75" x14ac:dyDescent="0.25">
      <c r="A65" s="257">
        <f t="shared" si="1"/>
        <v>55.889370073985724</v>
      </c>
      <c r="B65">
        <f t="shared" si="0"/>
        <v>0.48639313672922407</v>
      </c>
      <c r="C65"/>
    </row>
    <row r="66" spans="1:3" ht="15.75" x14ac:dyDescent="0.25">
      <c r="A66" s="257">
        <f t="shared" si="1"/>
        <v>64.272775585083579</v>
      </c>
      <c r="B66">
        <f t="shared" si="0"/>
        <v>0.42379924336032171</v>
      </c>
      <c r="C66"/>
    </row>
    <row r="67" spans="1:3" ht="15.75" x14ac:dyDescent="0.25">
      <c r="A67" s="257">
        <f t="shared" si="1"/>
        <v>73.913691922846112</v>
      </c>
      <c r="B67">
        <f t="shared" si="0"/>
        <v>0.36916285982784847</v>
      </c>
      <c r="C67"/>
    </row>
    <row r="68" spans="1:3" ht="15.75" x14ac:dyDescent="0.25">
      <c r="A68" s="257">
        <f t="shared" si="1"/>
        <v>85.000745711273026</v>
      </c>
      <c r="B68">
        <f t="shared" si="0"/>
        <v>0.32149649040536415</v>
      </c>
      <c r="C68"/>
    </row>
    <row r="69" spans="1:3" ht="15.75" x14ac:dyDescent="0.25">
      <c r="A69" s="257">
        <f t="shared" si="1"/>
        <v>97.750857567963976</v>
      </c>
      <c r="B69">
        <f t="shared" si="0"/>
        <v>0.2799291485281844</v>
      </c>
      <c r="C69"/>
    </row>
    <row r="70" spans="1:3" ht="15.75" x14ac:dyDescent="0.25">
      <c r="A70" s="257">
        <f t="shared" si="1"/>
        <v>112.41348620315857</v>
      </c>
      <c r="B70">
        <f t="shared" si="0"/>
        <v>0.24369415615828935</v>
      </c>
      <c r="C70"/>
    </row>
    <row r="71" spans="1:3" ht="15.75" x14ac:dyDescent="0.25">
      <c r="A71" s="257">
        <f t="shared" si="1"/>
        <v>129.27550913363234</v>
      </c>
      <c r="B71">
        <f t="shared" si="0"/>
        <v>0.21211780454739393</v>
      </c>
      <c r="C71"/>
    </row>
    <row r="72" spans="1:3" ht="15.75" x14ac:dyDescent="0.25">
      <c r="A72" s="257">
        <f t="shared" si="1"/>
        <v>148.66683550367719</v>
      </c>
      <c r="B72">
        <f t="shared" si="0"/>
        <v>0.18460894182881177</v>
      </c>
      <c r="C72"/>
    </row>
    <row r="73" spans="1:3" ht="15.75" x14ac:dyDescent="0.25">
      <c r="A73" s="257">
        <f t="shared" si="1"/>
        <v>170.96686082922875</v>
      </c>
      <c r="B73">
        <f t="shared" si="0"/>
        <v>0.16064950105742223</v>
      </c>
      <c r="C73"/>
    </row>
    <row r="74" spans="1:3" ht="15.75" x14ac:dyDescent="0.25">
      <c r="A74" s="257">
        <f t="shared" si="1"/>
        <v>196.61188995361306</v>
      </c>
      <c r="B74">
        <f t="shared" si="0"/>
        <v>0.13978594779035938</v>
      </c>
      <c r="C74"/>
    </row>
    <row r="75" spans="1:3" ht="15.75" x14ac:dyDescent="0.25">
      <c r="A75" s="257">
        <f t="shared" si="1"/>
        <v>226.10367344665499</v>
      </c>
      <c r="B75">
        <f t="shared" si="0"/>
        <v>0.12162160424669236</v>
      </c>
      <c r="C75"/>
    </row>
    <row r="76" spans="1:3" ht="15.75" x14ac:dyDescent="0.25">
      <c r="A76" s="257">
        <f t="shared" si="1"/>
        <v>260.01922446365325</v>
      </c>
      <c r="B76">
        <f t="shared" si="0"/>
        <v>0.10580979393829752</v>
      </c>
      <c r="C76"/>
    </row>
    <row r="77" spans="1:3" ht="15.75" x14ac:dyDescent="0.25">
      <c r="A77" s="257">
        <f t="shared" si="1"/>
        <v>299.02210813320119</v>
      </c>
      <c r="B77">
        <f t="shared" si="0"/>
        <v>9.204774379748891E-2</v>
      </c>
      <c r="C77"/>
    </row>
    <row r="78" spans="1:3" ht="15.75" x14ac:dyDescent="0.25">
      <c r="A78" s="257">
        <f t="shared" si="1"/>
        <v>343.87542435318136</v>
      </c>
      <c r="B78">
        <f t="shared" si="0"/>
        <v>8.0071178310161653E-2</v>
      </c>
      <c r="C78"/>
    </row>
    <row r="79" spans="1:3" ht="15.75" x14ac:dyDescent="0.25">
      <c r="A79" s="257">
        <f t="shared" si="1"/>
        <v>395.45673800615856</v>
      </c>
      <c r="B79">
        <f t="shared" si="0"/>
        <v>6.9649540588225547E-2</v>
      </c>
      <c r="C79"/>
    </row>
    <row r="80" spans="1:3" ht="15.75" x14ac:dyDescent="0.25">
      <c r="A80" s="257">
        <f t="shared" si="1"/>
        <v>454.77524870708231</v>
      </c>
      <c r="B80">
        <f t="shared" si="0"/>
        <v>6.0581777662020359E-2</v>
      </c>
      <c r="C80"/>
    </row>
    <row r="81" spans="1:3" ht="15.75" x14ac:dyDescent="0.25">
      <c r="A81" s="257">
        <f t="shared" si="1"/>
        <v>522.99153601314458</v>
      </c>
      <c r="B81">
        <f t="shared" si="0"/>
        <v>5.2692630810080701E-2</v>
      </c>
      <c r="C81"/>
    </row>
    <row r="82" spans="1:3" ht="15.75" x14ac:dyDescent="0.25">
      <c r="A82" s="257">
        <f t="shared" si="1"/>
        <v>601.44026641511618</v>
      </c>
      <c r="B82">
        <f t="shared" si="0"/>
        <v>4.582937595056466E-2</v>
      </c>
      <c r="C82"/>
    </row>
    <row r="83" spans="1:3" ht="15.75" x14ac:dyDescent="0.25">
      <c r="A83" s="257">
        <f t="shared" si="1"/>
        <v>691.65630637738354</v>
      </c>
      <c r="B83">
        <f t="shared" si="0"/>
        <v>3.9858963632825581E-2</v>
      </c>
      <c r="C83"/>
    </row>
    <row r="84" spans="1:3" ht="15.75" x14ac:dyDescent="0.25">
      <c r="A84" s="257">
        <f t="shared" si="1"/>
        <v>795.40475233399104</v>
      </c>
      <c r="B84">
        <f t="shared" si="0"/>
        <v>3.4665512740394817E-2</v>
      </c>
      <c r="C84"/>
    </row>
    <row r="85" spans="1:3" ht="15.75" x14ac:dyDescent="0.25">
      <c r="A85" s="257">
        <f t="shared" si="1"/>
        <v>914.71546518408968</v>
      </c>
      <c r="B85">
        <f t="shared" si="0"/>
        <v>3.0148116482665074E-2</v>
      </c>
      <c r="C85"/>
    </row>
    <row r="86" spans="1:3" ht="15.75" x14ac:dyDescent="0.25">
      <c r="A86" s="257">
        <f t="shared" si="1"/>
        <v>1051.922784961703</v>
      </c>
      <c r="B86">
        <f>($B$10*$I$1/(A86-$B$14)-$B$13/A86^2)/100</f>
        <v>2.6218923506421792E-2</v>
      </c>
      <c r="C86"/>
    </row>
    <row r="87" spans="1:3" ht="15.75" x14ac:dyDescent="0.25">
      <c r="A87"/>
      <c r="B87"/>
      <c r="C87"/>
    </row>
    <row r="88" spans="1:3" ht="15.75" x14ac:dyDescent="0.25">
      <c r="A88"/>
      <c r="B88"/>
      <c r="C88"/>
    </row>
  </sheetData>
  <phoneticPr fontId="3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88"/>
  <sheetViews>
    <sheetView workbookViewId="0"/>
  </sheetViews>
  <sheetFormatPr defaultColWidth="8" defaultRowHeight="12.75" x14ac:dyDescent="0.2"/>
  <cols>
    <col min="1" max="1" width="8" style="2" customWidth="1"/>
    <col min="2" max="2" width="12.25" style="2" customWidth="1"/>
    <col min="3" max="3" width="10.75" style="2" customWidth="1"/>
    <col min="4" max="4" width="8" style="2" customWidth="1"/>
    <col min="5" max="5" width="13.625" style="2" customWidth="1"/>
    <col min="6" max="16384" width="8" style="2"/>
  </cols>
  <sheetData>
    <row r="1" spans="1:15" ht="18" x14ac:dyDescent="0.25">
      <c r="A1" s="143" t="str">
        <f>' T = Tb'!A1</f>
        <v>Benzene</v>
      </c>
      <c r="E1" s="2" t="s">
        <v>0</v>
      </c>
      <c r="F1" s="2">
        <v>1</v>
      </c>
      <c r="H1" s="3" t="s">
        <v>1</v>
      </c>
      <c r="I1" s="2">
        <f>' T = Tb'!O14</f>
        <v>345.70684718984404</v>
      </c>
      <c r="J1" s="2" t="s">
        <v>2</v>
      </c>
    </row>
    <row r="2" spans="1:15" ht="15.75" x14ac:dyDescent="0.3">
      <c r="A2" s="4" t="s">
        <v>15</v>
      </c>
      <c r="B2" s="5">
        <f>' T = Tb'!B2</f>
        <v>78.114000000000004</v>
      </c>
      <c r="C2" s="2" t="s">
        <v>3</v>
      </c>
      <c r="E2" s="4" t="s">
        <v>4</v>
      </c>
      <c r="F2" s="2">
        <f>' T = Tb'!F2</f>
        <v>-7.0143300000000002</v>
      </c>
      <c r="H2" s="3" t="s">
        <v>16</v>
      </c>
      <c r="I2" s="2">
        <f>1-I1/B3</f>
        <v>0.38503833928090925</v>
      </c>
      <c r="M2" s="4"/>
    </row>
    <row r="3" spans="1:15" ht="15.75" x14ac:dyDescent="0.3">
      <c r="A3" s="4" t="s">
        <v>17</v>
      </c>
      <c r="B3" s="5">
        <f>' T = Tb'!B3</f>
        <v>562.16</v>
      </c>
      <c r="C3" s="2" t="s">
        <v>2</v>
      </c>
      <c r="E3" s="4" t="s">
        <v>5</v>
      </c>
      <c r="F3" s="2">
        <f>' T = Tb'!F3</f>
        <v>1.5525599999999999</v>
      </c>
      <c r="H3" s="3" t="s">
        <v>6</v>
      </c>
      <c r="I3" s="144">
        <f>(B4*EXP((F2*I2+F3*I2^1.5+F4*I2^2.5+F5*I2^5)/(1-I2)))</f>
        <v>0.79873897287460038</v>
      </c>
      <c r="J3" s="2" t="s">
        <v>7</v>
      </c>
      <c r="M3" s="4"/>
    </row>
    <row r="4" spans="1:15" ht="15.75" x14ac:dyDescent="0.3">
      <c r="A4" s="4" t="s">
        <v>18</v>
      </c>
      <c r="B4" s="5">
        <f>' T = Tb'!B4</f>
        <v>48.98</v>
      </c>
      <c r="C4" s="2" t="s">
        <v>7</v>
      </c>
      <c r="E4" s="4" t="s">
        <v>8</v>
      </c>
      <c r="F4" s="2">
        <f>' T = Tb'!F4</f>
        <v>-1.8479000000000001</v>
      </c>
      <c r="H4" s="3" t="s">
        <v>6</v>
      </c>
      <c r="I4" s="2">
        <f>I3*100</f>
        <v>79.873897287460039</v>
      </c>
      <c r="J4" s="2" t="s">
        <v>9</v>
      </c>
      <c r="M4" s="4"/>
      <c r="N4" s="6"/>
    </row>
    <row r="5" spans="1:15" ht="15.75" x14ac:dyDescent="0.3">
      <c r="A5" s="4" t="s">
        <v>18</v>
      </c>
      <c r="B5" s="5">
        <f>' T = Tb'!B5</f>
        <v>4898</v>
      </c>
      <c r="C5" s="2" t="s">
        <v>9</v>
      </c>
      <c r="E5" s="4" t="s">
        <v>10</v>
      </c>
      <c r="F5" s="2">
        <f>' T = Tb'!F5</f>
        <v>-3.7130000000000001</v>
      </c>
      <c r="H5" s="4"/>
      <c r="M5" s="4"/>
      <c r="N5" s="6"/>
    </row>
    <row r="6" spans="1:15" ht="15.75" x14ac:dyDescent="0.3">
      <c r="A6" s="4" t="s">
        <v>19</v>
      </c>
      <c r="B6" s="5">
        <f>' T = Tb'!B6</f>
        <v>256</v>
      </c>
      <c r="C6" s="2" t="s">
        <v>20</v>
      </c>
      <c r="E6" s="4" t="s">
        <v>21</v>
      </c>
      <c r="F6" s="2">
        <f>' T = Tb'!F6</f>
        <v>250</v>
      </c>
      <c r="G6" s="7">
        <f>F6/B3</f>
        <v>0.44471324889711117</v>
      </c>
      <c r="H6" s="2" t="s">
        <v>22</v>
      </c>
      <c r="I6" s="2">
        <v>2.5712194055283128E-3</v>
      </c>
    </row>
    <row r="7" spans="1:15" ht="15.75" x14ac:dyDescent="0.3">
      <c r="A7" s="4" t="s">
        <v>19</v>
      </c>
      <c r="B7" s="5">
        <f>' T = Tb'!B7</f>
        <v>0.25600000000000001</v>
      </c>
      <c r="C7" s="8" t="s">
        <v>23</v>
      </c>
      <c r="E7" s="4" t="s">
        <v>24</v>
      </c>
      <c r="F7" s="2">
        <f>' T = Tb'!F7</f>
        <v>562.16</v>
      </c>
      <c r="G7" s="7">
        <f>F7/B3</f>
        <v>1</v>
      </c>
      <c r="H7" s="2" t="s">
        <v>25</v>
      </c>
      <c r="I7" s="2">
        <f>I6/I3</f>
        <v>3.21909847002293E-3</v>
      </c>
    </row>
    <row r="8" spans="1:15" ht="15.75" x14ac:dyDescent="0.3">
      <c r="A8" s="4" t="s">
        <v>26</v>
      </c>
      <c r="B8" s="5">
        <f>' T = Tb'!B8</f>
        <v>0.26800000000000002</v>
      </c>
      <c r="E8" s="4" t="s">
        <v>27</v>
      </c>
      <c r="F8" s="18">
        <f>' T = Tb'!F8</f>
        <v>353.24</v>
      </c>
      <c r="G8" s="7">
        <f>F8/B3</f>
        <v>0.6283620321616622</v>
      </c>
      <c r="H8" s="2" t="s">
        <v>28</v>
      </c>
    </row>
    <row r="9" spans="1:15" x14ac:dyDescent="0.2">
      <c r="A9" s="9" t="s">
        <v>29</v>
      </c>
      <c r="B9" s="5">
        <f>' T = Tb'!B9</f>
        <v>0.21</v>
      </c>
      <c r="E9" s="4"/>
      <c r="F9" s="2">
        <f>' T = Tb'!F9</f>
        <v>101.325</v>
      </c>
      <c r="K9" s="4"/>
    </row>
    <row r="10" spans="1:15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5" x14ac:dyDescent="0.2">
      <c r="A11" s="10" t="s">
        <v>13</v>
      </c>
      <c r="K11" s="11"/>
      <c r="M11" s="12"/>
    </row>
    <row r="12" spans="1:15" ht="18.75" x14ac:dyDescent="0.3">
      <c r="A12" s="13" t="s">
        <v>31</v>
      </c>
      <c r="B12" s="14">
        <f>27/64*(B10*B3)^2/B5</f>
        <v>1881.7339064250737</v>
      </c>
      <c r="C12" s="15"/>
      <c r="E12" s="16" t="s">
        <v>14</v>
      </c>
      <c r="H12" s="4" t="s">
        <v>32</v>
      </c>
      <c r="I12" s="191">
        <f>(2*B19)-B14-(B10*I1/I4)</f>
        <v>-36.10579848529148</v>
      </c>
      <c r="J12" s="17">
        <f>-(B18+B15+B16)</f>
        <v>-36.10579848529148</v>
      </c>
      <c r="K12" s="6"/>
      <c r="N12" s="4"/>
      <c r="O12" s="18"/>
    </row>
    <row r="13" spans="1:15" ht="18.75" x14ac:dyDescent="0.3">
      <c r="A13" s="13" t="s">
        <v>33</v>
      </c>
      <c r="B13" s="29">
        <v>2609.6297392169022</v>
      </c>
      <c r="C13" s="38">
        <f>' T = Tb'!P14</f>
        <v>2608.0937560381885</v>
      </c>
      <c r="E13" s="193">
        <f>ABS(B10*I1*LN((B16-B14)/(B15-B14))+B13*(1/(B16+B19)-1/(B15+B19))-I4*(B16-B15))</f>
        <v>3.3127653296105564E-6</v>
      </c>
      <c r="F13" s="21">
        <f>E13+E15+E16</f>
        <v>1.5941830760013431E-4</v>
      </c>
      <c r="H13" s="4" t="s">
        <v>34</v>
      </c>
      <c r="I13" s="191">
        <f>(B19^2)-(2*B19*B14)-(2*B10*I1*B19/I4)+(B13/I4)</f>
        <v>32.671871886068672</v>
      </c>
      <c r="J13" s="17">
        <f>B15*B16+B15*B18+B18*B16</f>
        <v>32.671871890516606</v>
      </c>
      <c r="K13" s="6"/>
      <c r="L13" s="17">
        <f>B13/B12</f>
        <v>1.3868218722670986</v>
      </c>
      <c r="N13" s="4"/>
      <c r="O13" s="18"/>
    </row>
    <row r="14" spans="1:15" ht="18.75" x14ac:dyDescent="0.5">
      <c r="A14" s="147" t="s">
        <v>35</v>
      </c>
      <c r="B14" s="262">
        <f>B10*B3/8/B5</f>
        <v>0.11928554873417722</v>
      </c>
      <c r="C14" s="263" t="s">
        <v>23</v>
      </c>
      <c r="H14" s="4" t="s">
        <v>36</v>
      </c>
      <c r="I14" s="191">
        <f>(-B14*(B19^2))-(B10*I1*(B19^2)/I4)-(B13*B14/I4)</f>
        <v>-3.8972821661024386</v>
      </c>
      <c r="J14" s="17">
        <f>-(B18*B15*B16)</f>
        <v>-3.8972821667309532</v>
      </c>
      <c r="K14" s="6"/>
      <c r="L14" s="17">
        <f>B15/B14</f>
        <v>1.1841070377222584</v>
      </c>
      <c r="N14" s="4"/>
      <c r="O14" s="18"/>
    </row>
    <row r="15" spans="1:15" ht="19.5" x14ac:dyDescent="0.5">
      <c r="A15" s="135" t="s">
        <v>37</v>
      </c>
      <c r="B15" s="264">
        <v>0.14124685775470069</v>
      </c>
      <c r="C15" s="263" t="s">
        <v>23</v>
      </c>
      <c r="D15" s="24" t="s">
        <v>38</v>
      </c>
      <c r="E15" s="25">
        <f>1000000*ABS(B15^3+I12*B15^2+I13*B15+I14)</f>
        <v>2.5801583092288638E-7</v>
      </c>
      <c r="K15" s="4"/>
      <c r="L15" s="23"/>
    </row>
    <row r="16" spans="1:15" ht="19.5" x14ac:dyDescent="0.5">
      <c r="A16" s="135" t="s">
        <v>39</v>
      </c>
      <c r="B16" s="265">
        <v>35.180248120405857</v>
      </c>
      <c r="C16" s="263" t="s">
        <v>23</v>
      </c>
      <c r="D16" s="24" t="s">
        <v>40</v>
      </c>
      <c r="E16" s="25">
        <f>1000*ABS(B16^3+I12*B16^2+I13*B16+I14)</f>
        <v>1.5584752643960087E-4</v>
      </c>
      <c r="L16" s="26"/>
    </row>
    <row r="17" spans="1:12" ht="19.5" x14ac:dyDescent="0.5">
      <c r="A17" s="139" t="s">
        <v>41</v>
      </c>
      <c r="B17" s="148">
        <f>B10*I1/I4</f>
        <v>35.986512936557304</v>
      </c>
      <c r="C17" s="263" t="s">
        <v>23</v>
      </c>
      <c r="D17" s="24" t="s">
        <v>42</v>
      </c>
      <c r="E17" s="29">
        <f>1000*ABS(B18^3+I12*B18^2+I13*B18+I14)</f>
        <v>2.860012227046127E-6</v>
      </c>
      <c r="H17" s="12"/>
      <c r="I17" s="4"/>
      <c r="J17" s="17"/>
      <c r="L17" s="25"/>
    </row>
    <row r="18" spans="1:12" ht="19.5" x14ac:dyDescent="0.5">
      <c r="A18" s="135" t="s">
        <v>43</v>
      </c>
      <c r="B18" s="138">
        <f>-I12-B15-B16</f>
        <v>0.78430350713092167</v>
      </c>
      <c r="C18" s="263" t="s">
        <v>23</v>
      </c>
      <c r="D18" s="4"/>
      <c r="E18" s="29"/>
      <c r="H18" s="12"/>
      <c r="I18" s="4"/>
      <c r="J18" s="17"/>
      <c r="L18" s="25"/>
    </row>
    <row r="19" spans="1:12" ht="15.75" x14ac:dyDescent="0.25">
      <c r="A19" s="149" t="s">
        <v>132</v>
      </c>
      <c r="B19" s="259">
        <v>0</v>
      </c>
      <c r="C19" s="258">
        <v>1.1499999999999999</v>
      </c>
      <c r="D19" s="29"/>
      <c r="E19" s="4"/>
      <c r="H19" s="12"/>
      <c r="I19" s="4"/>
      <c r="J19" s="17"/>
      <c r="L19" s="25"/>
    </row>
    <row r="20" spans="1:12" ht="15.75" x14ac:dyDescent="0.25">
      <c r="A20" s="256" t="s">
        <v>44</v>
      </c>
      <c r="B20" s="256" t="s">
        <v>45</v>
      </c>
      <c r="C20" s="256" t="s">
        <v>169</v>
      </c>
      <c r="D20" s="21"/>
      <c r="E20" s="4"/>
      <c r="I20" s="4"/>
      <c r="J20" s="17"/>
      <c r="K20" s="21"/>
    </row>
    <row r="21" spans="1:12" ht="15.75" x14ac:dyDescent="0.25">
      <c r="A21" s="257">
        <f>B14+0.00001</f>
        <v>0.11929554873417722</v>
      </c>
      <c r="B21">
        <f>($B$10*$I$1/(A21-$B$14)-$B$13/A21^2)/100</f>
        <v>2872549.3290378745</v>
      </c>
      <c r="C21"/>
      <c r="E21" s="4"/>
    </row>
    <row r="22" spans="1:12" ht="15.75" x14ac:dyDescent="0.25">
      <c r="A22" s="257">
        <f>A21*$C$19</f>
        <v>0.1371898810443038</v>
      </c>
      <c r="B22">
        <f t="shared" ref="B22:B85" si="0">($B$10*$I$1/(A22-$B$14)-$B$13/A22^2)/100</f>
        <v>218.86458272535063</v>
      </c>
      <c r="C22"/>
      <c r="E22" s="195"/>
    </row>
    <row r="23" spans="1:12" ht="15.75" x14ac:dyDescent="0.25">
      <c r="A23" s="257">
        <f t="shared" ref="A23:A86" si="1">A22*$C$19</f>
        <v>0.15776836320094936</v>
      </c>
      <c r="B23">
        <f t="shared" si="0"/>
        <v>-301.50265943760724</v>
      </c>
      <c r="C23"/>
    </row>
    <row r="24" spans="1:12" ht="15.75" x14ac:dyDescent="0.25">
      <c r="A24" s="257">
        <f t="shared" si="1"/>
        <v>0.18143361768109176</v>
      </c>
      <c r="B24">
        <f t="shared" si="0"/>
        <v>-330.25739251789821</v>
      </c>
      <c r="C24"/>
    </row>
    <row r="25" spans="1:12" ht="15.75" x14ac:dyDescent="0.25">
      <c r="A25" s="257">
        <f t="shared" si="1"/>
        <v>0.20864866033325549</v>
      </c>
      <c r="B25">
        <f t="shared" si="0"/>
        <v>-277.79064590872377</v>
      </c>
      <c r="C25"/>
      <c r="J25" s="17"/>
      <c r="K25" s="17"/>
    </row>
    <row r="26" spans="1:12" ht="15.75" x14ac:dyDescent="0.25">
      <c r="A26" s="257">
        <f t="shared" si="1"/>
        <v>0.23994595938324378</v>
      </c>
      <c r="B26">
        <f t="shared" si="0"/>
        <v>-215.04392848677765</v>
      </c>
      <c r="C26"/>
      <c r="J26" s="5"/>
      <c r="K26" s="17"/>
    </row>
    <row r="27" spans="1:12" ht="15.75" x14ac:dyDescent="0.25">
      <c r="A27" s="257">
        <f t="shared" si="1"/>
        <v>0.27593785329073034</v>
      </c>
      <c r="B27">
        <f t="shared" si="0"/>
        <v>-159.24524324770692</v>
      </c>
      <c r="C27"/>
      <c r="J27" s="5"/>
      <c r="K27" s="17"/>
    </row>
    <row r="28" spans="1:12" ht="15.75" x14ac:dyDescent="0.25">
      <c r="A28" s="257">
        <f t="shared" si="1"/>
        <v>0.31732853128433985</v>
      </c>
      <c r="B28">
        <f t="shared" si="0"/>
        <v>-114.01627779474967</v>
      </c>
      <c r="C28"/>
    </row>
    <row r="29" spans="1:12" ht="15.75" x14ac:dyDescent="0.25">
      <c r="A29" s="257">
        <f t="shared" si="1"/>
        <v>0.36492781097699079</v>
      </c>
      <c r="B29">
        <f t="shared" si="0"/>
        <v>-78.94388484067494</v>
      </c>
      <c r="C29"/>
      <c r="D29"/>
      <c r="E29"/>
      <c r="F29"/>
    </row>
    <row r="30" spans="1:12" ht="15.75" x14ac:dyDescent="0.25">
      <c r="A30" s="257">
        <f t="shared" si="1"/>
        <v>0.41966698262353935</v>
      </c>
      <c r="B30">
        <f t="shared" si="0"/>
        <v>-52.481971260763657</v>
      </c>
      <c r="C30"/>
      <c r="D30"/>
      <c r="E30"/>
      <c r="F30"/>
      <c r="J30" s="4"/>
      <c r="K30" s="18"/>
    </row>
    <row r="31" spans="1:12" ht="15.75" x14ac:dyDescent="0.25">
      <c r="A31" s="257">
        <f t="shared" si="1"/>
        <v>0.48261703001707024</v>
      </c>
      <c r="B31">
        <f t="shared" si="0"/>
        <v>-32.928267860866029</v>
      </c>
      <c r="C31"/>
      <c r="D31"/>
      <c r="E31"/>
      <c r="F31"/>
      <c r="J31" s="4"/>
      <c r="K31" s="18"/>
    </row>
    <row r="32" spans="1:12" ht="15.75" x14ac:dyDescent="0.25">
      <c r="A32" s="257">
        <f t="shared" si="1"/>
        <v>0.55500958451963078</v>
      </c>
      <c r="B32">
        <f t="shared" si="0"/>
        <v>-18.750464858077738</v>
      </c>
      <c r="C32"/>
      <c r="D32"/>
      <c r="E32"/>
      <c r="F32"/>
      <c r="J32" s="4"/>
      <c r="K32" s="37"/>
    </row>
    <row r="33" spans="1:11" ht="15.75" x14ac:dyDescent="0.25">
      <c r="A33" s="257">
        <f t="shared" si="1"/>
        <v>0.6382610221975753</v>
      </c>
      <c r="B33">
        <f t="shared" si="0"/>
        <v>-8.673588239673018</v>
      </c>
      <c r="C33"/>
      <c r="D33"/>
      <c r="E33"/>
      <c r="F33"/>
      <c r="J33" s="4"/>
      <c r="K33" s="18"/>
    </row>
    <row r="34" spans="1:11" ht="15.75" x14ac:dyDescent="0.25">
      <c r="A34" s="257">
        <f t="shared" si="1"/>
        <v>0.73400017552721153</v>
      </c>
      <c r="B34">
        <f t="shared" si="0"/>
        <v>-1.6784073803479986</v>
      </c>
      <c r="C34"/>
      <c r="D34"/>
      <c r="E34"/>
      <c r="F34"/>
    </row>
    <row r="35" spans="1:11" ht="15.75" x14ac:dyDescent="0.25">
      <c r="A35" s="257">
        <f t="shared" si="1"/>
        <v>0.8441002018562932</v>
      </c>
      <c r="B35">
        <f t="shared" si="0"/>
        <v>3.0306833601156766</v>
      </c>
      <c r="C35"/>
      <c r="D35"/>
      <c r="E35"/>
      <c r="F35"/>
    </row>
    <row r="36" spans="1:11" ht="15.75" x14ac:dyDescent="0.25">
      <c r="A36" s="257">
        <f t="shared" si="1"/>
        <v>0.97071523213473709</v>
      </c>
      <c r="B36">
        <f t="shared" si="0"/>
        <v>6.0648814085725959</v>
      </c>
      <c r="C36"/>
      <c r="D36"/>
      <c r="E36"/>
      <c r="F36"/>
    </row>
    <row r="37" spans="1:11" ht="15.75" x14ac:dyDescent="0.25">
      <c r="A37" s="257">
        <f t="shared" si="1"/>
        <v>1.1163225169549476</v>
      </c>
      <c r="B37">
        <f t="shared" si="0"/>
        <v>7.888150800627332</v>
      </c>
      <c r="C37"/>
      <c r="D37"/>
      <c r="E37"/>
      <c r="F37"/>
    </row>
    <row r="38" spans="1:11" ht="15.75" x14ac:dyDescent="0.25">
      <c r="A38" s="257">
        <f t="shared" si="1"/>
        <v>1.2837708944981896</v>
      </c>
      <c r="B38">
        <f t="shared" si="0"/>
        <v>8.8492387997211228</v>
      </c>
      <c r="C38"/>
      <c r="D38"/>
      <c r="E38"/>
      <c r="F38"/>
    </row>
    <row r="39" spans="1:11" ht="15.75" x14ac:dyDescent="0.25">
      <c r="A39" s="257">
        <f t="shared" si="1"/>
        <v>1.476336528672918</v>
      </c>
      <c r="B39">
        <f t="shared" si="0"/>
        <v>9.2079556404732745</v>
      </c>
      <c r="C39"/>
      <c r="D39"/>
      <c r="E39"/>
      <c r="F39"/>
    </row>
    <row r="40" spans="1:11" ht="15.75" x14ac:dyDescent="0.25">
      <c r="A40" s="257">
        <f t="shared" si="1"/>
        <v>1.6977870079738555</v>
      </c>
      <c r="B40">
        <f t="shared" si="0"/>
        <v>9.1561523584711715</v>
      </c>
      <c r="C40"/>
    </row>
    <row r="41" spans="1:11" ht="15.75" x14ac:dyDescent="0.25">
      <c r="A41" s="257">
        <f t="shared" si="1"/>
        <v>1.9524550591699337</v>
      </c>
      <c r="B41">
        <f t="shared" si="0"/>
        <v>8.8341708044997862</v>
      </c>
      <c r="C41"/>
    </row>
    <row r="42" spans="1:11" ht="15.75" x14ac:dyDescent="0.25">
      <c r="A42" s="257">
        <f t="shared" si="1"/>
        <v>2.2453233180454237</v>
      </c>
      <c r="B42">
        <f t="shared" si="0"/>
        <v>8.3435857680247416</v>
      </c>
      <c r="C42"/>
    </row>
    <row r="43" spans="1:11" ht="15.75" x14ac:dyDescent="0.25">
      <c r="A43" s="257">
        <f t="shared" si="1"/>
        <v>2.5821218157522372</v>
      </c>
      <c r="B43">
        <f t="shared" si="0"/>
        <v>7.7569861191368439</v>
      </c>
      <c r="C43"/>
    </row>
    <row r="44" spans="1:11" ht="15.75" x14ac:dyDescent="0.25">
      <c r="A44" s="257">
        <f t="shared" si="1"/>
        <v>2.9694400881150727</v>
      </c>
      <c r="B44">
        <f t="shared" si="0"/>
        <v>7.1254298847464019</v>
      </c>
      <c r="C44"/>
    </row>
    <row r="45" spans="1:11" ht="15.75" x14ac:dyDescent="0.25">
      <c r="A45" s="257">
        <f t="shared" si="1"/>
        <v>3.4148561013323331</v>
      </c>
      <c r="B45">
        <f t="shared" si="0"/>
        <v>6.4840927411911427</v>
      </c>
      <c r="C45"/>
    </row>
    <row r="46" spans="1:11" ht="15.75" x14ac:dyDescent="0.25">
      <c r="A46" s="257">
        <f t="shared" si="1"/>
        <v>3.9270845165321826</v>
      </c>
      <c r="B46">
        <f t="shared" si="0"/>
        <v>5.856525092540152</v>
      </c>
      <c r="C46"/>
    </row>
    <row r="47" spans="1:11" ht="15.75" x14ac:dyDescent="0.25">
      <c r="A47" s="257">
        <f t="shared" si="1"/>
        <v>4.5161471940120093</v>
      </c>
      <c r="B47">
        <f t="shared" si="0"/>
        <v>5.2578444228169818</v>
      </c>
      <c r="C47"/>
    </row>
    <row r="48" spans="1:11" ht="15.75" x14ac:dyDescent="0.25">
      <c r="A48" s="257">
        <f t="shared" si="1"/>
        <v>5.1935692731138099</v>
      </c>
      <c r="B48">
        <f t="shared" si="0"/>
        <v>4.6971172070532647</v>
      </c>
      <c r="C48"/>
    </row>
    <row r="49" spans="1:3" ht="15.75" x14ac:dyDescent="0.25">
      <c r="A49" s="257">
        <f t="shared" si="1"/>
        <v>5.9726046640808805</v>
      </c>
      <c r="B49">
        <f t="shared" si="0"/>
        <v>4.1791267360750179</v>
      </c>
      <c r="C49"/>
    </row>
    <row r="50" spans="1:3" ht="15.75" x14ac:dyDescent="0.25">
      <c r="A50" s="257">
        <f t="shared" si="1"/>
        <v>6.8684953636930119</v>
      </c>
      <c r="B50">
        <f t="shared" si="0"/>
        <v>3.7056775517951053</v>
      </c>
      <c r="C50"/>
    </row>
    <row r="51" spans="1:3" ht="15.75" x14ac:dyDescent="0.25">
      <c r="A51" s="257">
        <f t="shared" si="1"/>
        <v>7.8987696682469632</v>
      </c>
      <c r="B51">
        <f t="shared" si="0"/>
        <v>3.2765515827555136</v>
      </c>
      <c r="C51"/>
    </row>
    <row r="52" spans="1:3" ht="15.75" x14ac:dyDescent="0.25">
      <c r="A52" s="257">
        <f t="shared" si="1"/>
        <v>9.0835851184840077</v>
      </c>
      <c r="B52">
        <f t="shared" si="0"/>
        <v>2.8902035161007422</v>
      </c>
      <c r="C52"/>
    </row>
    <row r="53" spans="1:3" ht="15.75" x14ac:dyDescent="0.25">
      <c r="A53" s="257">
        <f t="shared" si="1"/>
        <v>10.446122886256608</v>
      </c>
      <c r="B53">
        <f t="shared" si="0"/>
        <v>2.5442617465919319</v>
      </c>
      <c r="C53"/>
    </row>
    <row r="54" spans="1:3" ht="15.75" x14ac:dyDescent="0.25">
      <c r="A54" s="257">
        <f t="shared" si="1"/>
        <v>12.013041319195098</v>
      </c>
      <c r="B54">
        <f t="shared" si="0"/>
        <v>2.2358850148463678</v>
      </c>
      <c r="C54"/>
    </row>
    <row r="55" spans="1:3" ht="15.75" x14ac:dyDescent="0.25">
      <c r="A55" s="257">
        <f t="shared" si="1"/>
        <v>13.814997517074362</v>
      </c>
      <c r="B55">
        <f t="shared" si="0"/>
        <v>1.9620124693493444</v>
      </c>
      <c r="C55"/>
    </row>
    <row r="56" spans="1:3" ht="15.75" x14ac:dyDescent="0.25">
      <c r="A56" s="257">
        <f t="shared" si="1"/>
        <v>15.887247144635515</v>
      </c>
      <c r="B56">
        <f t="shared" si="0"/>
        <v>1.7195354770503593</v>
      </c>
      <c r="C56"/>
    </row>
    <row r="57" spans="1:3" ht="15.75" x14ac:dyDescent="0.25">
      <c r="A57" s="257">
        <f t="shared" si="1"/>
        <v>18.270334216330841</v>
      </c>
      <c r="B57">
        <f t="shared" si="0"/>
        <v>1.5054123745826145</v>
      </c>
      <c r="C57"/>
    </row>
    <row r="58" spans="1:3" ht="15.75" x14ac:dyDescent="0.25">
      <c r="A58" s="257">
        <f t="shared" si="1"/>
        <v>21.010884348780465</v>
      </c>
      <c r="B58">
        <f t="shared" si="0"/>
        <v>1.3167419597740582</v>
      </c>
      <c r="C58"/>
    </row>
    <row r="59" spans="1:3" ht="15.75" x14ac:dyDescent="0.25">
      <c r="A59" s="257">
        <f t="shared" si="1"/>
        <v>24.162517001097534</v>
      </c>
      <c r="B59">
        <f t="shared" si="0"/>
        <v>1.1508074569147833</v>
      </c>
      <c r="C59"/>
    </row>
    <row r="60" spans="1:3" ht="15.75" x14ac:dyDescent="0.25">
      <c r="A60" s="257">
        <f t="shared" si="1"/>
        <v>27.786894551262161</v>
      </c>
      <c r="B60">
        <f t="shared" si="0"/>
        <v>1.0050996308730171</v>
      </c>
      <c r="C60"/>
    </row>
    <row r="61" spans="1:3" ht="15.75" x14ac:dyDescent="0.25">
      <c r="A61" s="257">
        <f t="shared" si="1"/>
        <v>31.954928733951483</v>
      </c>
      <c r="B61">
        <f t="shared" si="0"/>
        <v>0.87732543086639625</v>
      </c>
      <c r="C61"/>
    </row>
    <row r="62" spans="1:3" ht="15.75" x14ac:dyDescent="0.25">
      <c r="A62" s="257">
        <f t="shared" si="1"/>
        <v>36.748168044044206</v>
      </c>
      <c r="B62">
        <f t="shared" si="0"/>
        <v>0.76540682842890173</v>
      </c>
      <c r="C62"/>
    </row>
    <row r="63" spans="1:3" ht="15.75" x14ac:dyDescent="0.25">
      <c r="A63" s="257">
        <f t="shared" si="1"/>
        <v>42.260393250650836</v>
      </c>
      <c r="B63">
        <f t="shared" si="0"/>
        <v>0.66747323418858384</v>
      </c>
      <c r="C63"/>
    </row>
    <row r="64" spans="1:3" ht="15.75" x14ac:dyDescent="0.25">
      <c r="A64" s="257">
        <f t="shared" si="1"/>
        <v>48.59945223824846</v>
      </c>
      <c r="B64">
        <f t="shared" si="0"/>
        <v>0.58184992684732018</v>
      </c>
      <c r="C64"/>
    </row>
    <row r="65" spans="1:3" ht="15.75" x14ac:dyDescent="0.25">
      <c r="A65" s="257">
        <f t="shared" si="1"/>
        <v>55.889370073985724</v>
      </c>
      <c r="B65">
        <f t="shared" si="0"/>
        <v>0.50704422361434909</v>
      </c>
      <c r="C65"/>
    </row>
    <row r="66" spans="1:3" ht="15.75" x14ac:dyDescent="0.25">
      <c r="A66" s="257">
        <f t="shared" si="1"/>
        <v>64.272775585083579</v>
      </c>
      <c r="B66">
        <f t="shared" si="0"/>
        <v>0.44173060251828361</v>
      </c>
      <c r="C66"/>
    </row>
    <row r="67" spans="1:3" ht="15.75" x14ac:dyDescent="0.25">
      <c r="A67" s="257">
        <f t="shared" si="1"/>
        <v>73.913691922846112</v>
      </c>
      <c r="B67">
        <f t="shared" si="0"/>
        <v>0.38473560683757591</v>
      </c>
      <c r="C67"/>
    </row>
    <row r="68" spans="1:3" ht="15.75" x14ac:dyDescent="0.25">
      <c r="A68" s="257">
        <f t="shared" si="1"/>
        <v>85.000745711273026</v>
      </c>
      <c r="B68">
        <f t="shared" si="0"/>
        <v>0.33502308514759188</v>
      </c>
      <c r="C68"/>
    </row>
    <row r="69" spans="1:3" ht="15.75" x14ac:dyDescent="0.25">
      <c r="A69" s="257">
        <f t="shared" si="1"/>
        <v>97.750857567963976</v>
      </c>
      <c r="B69">
        <f t="shared" si="0"/>
        <v>0.29168012068240773</v>
      </c>
      <c r="C69"/>
    </row>
    <row r="70" spans="1:3" ht="15.75" x14ac:dyDescent="0.25">
      <c r="A70" s="257">
        <f t="shared" si="1"/>
        <v>112.41348620315857</v>
      </c>
      <c r="B70">
        <f t="shared" si="0"/>
        <v>0.2539038609356597</v>
      </c>
      <c r="C70"/>
    </row>
    <row r="71" spans="1:3" ht="15.75" x14ac:dyDescent="0.25">
      <c r="A71" s="257">
        <f t="shared" si="1"/>
        <v>129.27550913363234</v>
      </c>
      <c r="B71">
        <f t="shared" si="0"/>
        <v>0.2209893577405419</v>
      </c>
      <c r="C71"/>
    </row>
    <row r="72" spans="1:3" ht="15.75" x14ac:dyDescent="0.25">
      <c r="A72" s="257">
        <f t="shared" si="1"/>
        <v>148.66683550367719</v>
      </c>
      <c r="B72">
        <f t="shared" si="0"/>
        <v>0.19231845829619279</v>
      </c>
      <c r="C72"/>
    </row>
    <row r="73" spans="1:3" ht="15.75" x14ac:dyDescent="0.25">
      <c r="A73" s="257">
        <f t="shared" si="1"/>
        <v>170.96686082922875</v>
      </c>
      <c r="B73">
        <f t="shared" si="0"/>
        <v>0.16734974040130066</v>
      </c>
      <c r="C73"/>
    </row>
    <row r="74" spans="1:3" ht="15.75" x14ac:dyDescent="0.25">
      <c r="A74" s="257">
        <f t="shared" si="1"/>
        <v>196.61188995361306</v>
      </c>
      <c r="B74">
        <f t="shared" si="0"/>
        <v>0.14560945430331754</v>
      </c>
      <c r="C74"/>
    </row>
    <row r="75" spans="1:3" ht="15.75" x14ac:dyDescent="0.25">
      <c r="A75" s="257">
        <f t="shared" si="1"/>
        <v>226.10367344665499</v>
      </c>
      <c r="B75">
        <f t="shared" si="0"/>
        <v>0.12668341446315665</v>
      </c>
      <c r="C75"/>
    </row>
    <row r="76" spans="1:3" ht="15.75" x14ac:dyDescent="0.25">
      <c r="A76" s="257">
        <f t="shared" si="1"/>
        <v>260.01922446365325</v>
      </c>
      <c r="B76">
        <f t="shared" si="0"/>
        <v>0.11020977376262385</v>
      </c>
      <c r="C76"/>
    </row>
    <row r="77" spans="1:3" ht="15.75" x14ac:dyDescent="0.25">
      <c r="A77" s="257">
        <f t="shared" si="1"/>
        <v>299.02210813320119</v>
      </c>
      <c r="B77">
        <f t="shared" si="0"/>
        <v>9.587260773695272E-2</v>
      </c>
      <c r="C77"/>
    </row>
    <row r="78" spans="1:3" ht="15.75" x14ac:dyDescent="0.25">
      <c r="A78" s="257">
        <f t="shared" si="1"/>
        <v>343.87542435318136</v>
      </c>
      <c r="B78">
        <f t="shared" si="0"/>
        <v>8.3396235461746196E-2</v>
      </c>
      <c r="C78"/>
    </row>
    <row r="79" spans="1:3" ht="15.75" x14ac:dyDescent="0.25">
      <c r="A79" s="257">
        <f t="shared" si="1"/>
        <v>395.45673800615856</v>
      </c>
      <c r="B79">
        <f t="shared" si="0"/>
        <v>7.2540205427327295E-2</v>
      </c>
      <c r="C79"/>
    </row>
    <row r="80" spans="1:3" ht="15.75" x14ac:dyDescent="0.25">
      <c r="A80" s="257">
        <f t="shared" si="1"/>
        <v>454.77524870708231</v>
      </c>
      <c r="B80">
        <f t="shared" si="0"/>
        <v>6.309487813103265E-2</v>
      </c>
      <c r="C80"/>
    </row>
    <row r="81" spans="1:3" ht="15.75" x14ac:dyDescent="0.25">
      <c r="A81" s="257">
        <f t="shared" si="1"/>
        <v>522.99153601314458</v>
      </c>
      <c r="B81">
        <f t="shared" si="0"/>
        <v>5.4877541521934206E-2</v>
      </c>
      <c r="C81"/>
    </row>
    <row r="82" spans="1:3" ht="15.75" x14ac:dyDescent="0.25">
      <c r="A82" s="257">
        <f t="shared" si="1"/>
        <v>601.44026641511618</v>
      </c>
      <c r="B82">
        <f t="shared" si="0"/>
        <v>4.7729000358580513E-2</v>
      </c>
      <c r="C82"/>
    </row>
    <row r="83" spans="1:3" ht="15.75" x14ac:dyDescent="0.25">
      <c r="A83" s="257">
        <f t="shared" si="1"/>
        <v>691.65630637738354</v>
      </c>
      <c r="B83">
        <f t="shared" si="0"/>
        <v>4.1510585653424803E-2</v>
      </c>
      <c r="C83"/>
    </row>
    <row r="84" spans="1:3" ht="15.75" x14ac:dyDescent="0.25">
      <c r="A84" s="257">
        <f t="shared" si="1"/>
        <v>795.40475233399104</v>
      </c>
      <c r="B84">
        <f t="shared" si="0"/>
        <v>3.610153545119698E-2</v>
      </c>
      <c r="C84"/>
    </row>
    <row r="85" spans="1:3" ht="15.75" x14ac:dyDescent="0.25">
      <c r="A85" s="257">
        <f t="shared" si="1"/>
        <v>914.71546518408968</v>
      </c>
      <c r="B85">
        <f t="shared" si="0"/>
        <v>3.1396703074870858E-2</v>
      </c>
      <c r="C85"/>
    </row>
    <row r="86" spans="1:3" ht="15.75" x14ac:dyDescent="0.25">
      <c r="A86" s="257">
        <f t="shared" si="1"/>
        <v>1051.922784961703</v>
      </c>
      <c r="B86">
        <f>($B$10*$I$1/(A86-$B$14)-$B$13/A86^2)/100</f>
        <v>2.7304553580854932E-2</v>
      </c>
      <c r="C86"/>
    </row>
    <row r="87" spans="1:3" ht="15.75" x14ac:dyDescent="0.25">
      <c r="A87"/>
      <c r="B87"/>
      <c r="C87"/>
    </row>
    <row r="88" spans="1:3" ht="15.75" x14ac:dyDescent="0.25">
      <c r="A88"/>
      <c r="B88"/>
      <c r="C88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88"/>
  <sheetViews>
    <sheetView workbookViewId="0"/>
  </sheetViews>
  <sheetFormatPr defaultColWidth="8" defaultRowHeight="12.75" x14ac:dyDescent="0.2"/>
  <cols>
    <col min="1" max="16384" width="8" style="2"/>
  </cols>
  <sheetData>
    <row r="1" spans="1:14" ht="18" x14ac:dyDescent="0.25">
      <c r="A1" s="143" t="str">
        <f>' T = Tb'!A1</f>
        <v>Benzene</v>
      </c>
      <c r="E1" s="2" t="s">
        <v>0</v>
      </c>
      <c r="F1" s="2">
        <v>1</v>
      </c>
      <c r="H1" s="3" t="s">
        <v>1</v>
      </c>
      <c r="I1" s="2">
        <f>' T = Tb'!O15</f>
        <v>360.00122453195002</v>
      </c>
      <c r="J1" s="2" t="s">
        <v>2</v>
      </c>
    </row>
    <row r="2" spans="1:14" ht="15.75" x14ac:dyDescent="0.3">
      <c r="A2" s="4" t="s">
        <v>15</v>
      </c>
      <c r="B2" s="5">
        <f>' T = Tb'!B2</f>
        <v>78.114000000000004</v>
      </c>
      <c r="C2" s="2" t="s">
        <v>3</v>
      </c>
      <c r="E2" s="4" t="s">
        <v>4</v>
      </c>
      <c r="F2" s="2">
        <f>' T = Tb'!F2</f>
        <v>-7.0143300000000002</v>
      </c>
      <c r="H2" s="3" t="s">
        <v>16</v>
      </c>
      <c r="I2" s="2">
        <f>1-I1/B3</f>
        <v>0.35961074332583243</v>
      </c>
      <c r="M2" s="4"/>
    </row>
    <row r="3" spans="1:14" ht="15.75" x14ac:dyDescent="0.3">
      <c r="A3" s="4" t="s">
        <v>17</v>
      </c>
      <c r="B3" s="5">
        <f>' T = Tb'!B3</f>
        <v>562.16</v>
      </c>
      <c r="C3" s="2" t="s">
        <v>2</v>
      </c>
      <c r="E3" s="4" t="s">
        <v>5</v>
      </c>
      <c r="F3" s="2">
        <f>' T = Tb'!F3</f>
        <v>1.5525599999999999</v>
      </c>
      <c r="H3" s="3" t="s">
        <v>6</v>
      </c>
      <c r="I3" s="144">
        <f>(B4*EXP((F2*I2+F3*I2^1.5+F4*I2^2.5+F5*I2^5)/(1-I2)))</f>
        <v>1.2419565662834327</v>
      </c>
      <c r="J3" s="2" t="s">
        <v>7</v>
      </c>
      <c r="M3" s="4"/>
    </row>
    <row r="4" spans="1:14" ht="15.75" x14ac:dyDescent="0.3">
      <c r="A4" s="4" t="s">
        <v>18</v>
      </c>
      <c r="B4" s="5">
        <f>' T = Tb'!B4</f>
        <v>48.98</v>
      </c>
      <c r="C4" s="2" t="s">
        <v>7</v>
      </c>
      <c r="E4" s="4" t="s">
        <v>8</v>
      </c>
      <c r="F4" s="2">
        <f>' T = Tb'!F4</f>
        <v>-1.8479000000000001</v>
      </c>
      <c r="H4" s="3" t="s">
        <v>6</v>
      </c>
      <c r="I4" s="2">
        <f>I3*100</f>
        <v>124.19565662834327</v>
      </c>
      <c r="J4" s="2" t="s">
        <v>9</v>
      </c>
      <c r="M4" s="4"/>
      <c r="N4" s="6"/>
    </row>
    <row r="5" spans="1:14" ht="15.75" x14ac:dyDescent="0.3">
      <c r="A5" s="4" t="s">
        <v>18</v>
      </c>
      <c r="B5" s="5">
        <f>' T = Tb'!B5</f>
        <v>4898</v>
      </c>
      <c r="C5" s="2" t="s">
        <v>9</v>
      </c>
      <c r="E5" s="4" t="s">
        <v>10</v>
      </c>
      <c r="F5" s="2">
        <f>' T = Tb'!F5</f>
        <v>-3.7130000000000001</v>
      </c>
      <c r="H5" s="4"/>
      <c r="M5" s="4"/>
      <c r="N5" s="6"/>
    </row>
    <row r="6" spans="1:14" ht="15.75" x14ac:dyDescent="0.3">
      <c r="A6" s="4" t="s">
        <v>19</v>
      </c>
      <c r="B6" s="5">
        <f>' T = Tb'!B6</f>
        <v>256</v>
      </c>
      <c r="C6" s="2" t="s">
        <v>20</v>
      </c>
      <c r="E6" s="4" t="s">
        <v>21</v>
      </c>
      <c r="F6" s="2">
        <f>' T = Tb'!F6</f>
        <v>250</v>
      </c>
      <c r="G6" s="7">
        <f>F6/B3</f>
        <v>0.44471324889711117</v>
      </c>
      <c r="H6" s="2" t="s">
        <v>22</v>
      </c>
      <c r="I6" s="2">
        <v>2.5712194055283128E-3</v>
      </c>
    </row>
    <row r="7" spans="1:14" ht="15.75" x14ac:dyDescent="0.3">
      <c r="A7" s="4" t="s">
        <v>19</v>
      </c>
      <c r="B7" s="5">
        <f>' T = Tb'!B7</f>
        <v>0.25600000000000001</v>
      </c>
      <c r="C7" s="8" t="s">
        <v>23</v>
      </c>
      <c r="E7" s="4" t="s">
        <v>24</v>
      </c>
      <c r="F7" s="2">
        <f>' T = Tb'!F7</f>
        <v>562.16</v>
      </c>
      <c r="G7" s="7">
        <f>F7/B3</f>
        <v>1</v>
      </c>
      <c r="H7" s="2" t="s">
        <v>25</v>
      </c>
      <c r="I7" s="2">
        <f>I6/I3</f>
        <v>2.0702973641201581E-3</v>
      </c>
    </row>
    <row r="8" spans="1:14" ht="15.75" x14ac:dyDescent="0.3">
      <c r="A8" s="4" t="s">
        <v>26</v>
      </c>
      <c r="B8" s="5">
        <f>' T = Tb'!B8</f>
        <v>0.26800000000000002</v>
      </c>
      <c r="E8" s="4" t="s">
        <v>27</v>
      </c>
      <c r="F8" s="18">
        <f>' T = Tb'!F8</f>
        <v>353.24</v>
      </c>
      <c r="G8" s="7">
        <f>F8/B3</f>
        <v>0.6283620321616622</v>
      </c>
      <c r="H8" s="2" t="s">
        <v>28</v>
      </c>
    </row>
    <row r="9" spans="1:14" x14ac:dyDescent="0.2">
      <c r="A9" s="9" t="s">
        <v>29</v>
      </c>
      <c r="B9" s="5">
        <f>' T = Tb'!B9</f>
        <v>0.21</v>
      </c>
      <c r="E9" s="4"/>
      <c r="F9" s="2">
        <f>' T = Tb'!F9</f>
        <v>101.325</v>
      </c>
      <c r="K9" s="4"/>
    </row>
    <row r="10" spans="1:14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4" x14ac:dyDescent="0.2">
      <c r="A11" s="10" t="s">
        <v>13</v>
      </c>
      <c r="K11" s="11"/>
    </row>
    <row r="12" spans="1:14" ht="18.75" x14ac:dyDescent="0.3">
      <c r="A12" s="13" t="s">
        <v>31</v>
      </c>
      <c r="B12" s="14">
        <f>27/64*(B10*B3)^2/B5</f>
        <v>1881.7339064250737</v>
      </c>
      <c r="C12" s="15"/>
      <c r="E12" s="16" t="s">
        <v>14</v>
      </c>
      <c r="H12" s="4" t="s">
        <v>32</v>
      </c>
      <c r="I12" s="191">
        <f>(2*B19)-B14-(B10*I1/I4)</f>
        <v>-24.220239339255411</v>
      </c>
      <c r="J12" s="17">
        <f>-(B18+B15+B16)</f>
        <v>-24.220239339255414</v>
      </c>
      <c r="K12" s="6"/>
    </row>
    <row r="13" spans="1:14" ht="18.75" x14ac:dyDescent="0.3">
      <c r="A13" s="13" t="s">
        <v>33</v>
      </c>
      <c r="B13" s="29">
        <v>2551.3552008052825</v>
      </c>
      <c r="C13" s="153">
        <f>' T = Tb'!P15</f>
        <v>2552.4730376455509</v>
      </c>
      <c r="E13" s="193">
        <f>ABS(B10*I1*LN((B16-B14)/(B15-B14))+B13*(1/(B16+B19)-1/(B15+B19))-I4*(B16-B15))</f>
        <v>1.11103918243316E-6</v>
      </c>
      <c r="F13" s="21">
        <f>E13+E15+E16</f>
        <v>8.0965721604542296E-5</v>
      </c>
      <c r="H13" s="4" t="s">
        <v>34</v>
      </c>
      <c r="I13" s="191">
        <f>(B19^2)-(2*B19*B14)-(2*B10*I1*B19/I4)+(B13/I4)</f>
        <v>20.543030811779822</v>
      </c>
      <c r="J13" s="17">
        <f>B15*B16+B15*B18+B18*B16</f>
        <v>20.543030815219918</v>
      </c>
      <c r="K13" s="6"/>
      <c r="L13" s="26">
        <f>B13/B12</f>
        <v>1.3558533393557</v>
      </c>
    </row>
    <row r="14" spans="1:14" ht="18.75" x14ac:dyDescent="0.5">
      <c r="A14" s="147" t="s">
        <v>35</v>
      </c>
      <c r="B14" s="262">
        <f>B10*B3/8/B5</f>
        <v>0.11928554873417722</v>
      </c>
      <c r="C14" s="263" t="s">
        <v>23</v>
      </c>
      <c r="H14" s="4" t="s">
        <v>36</v>
      </c>
      <c r="I14" s="191">
        <f>(-B14*(B19^2))-(B10*I1*(B19^2)/I4)-(B13*B14/I4)</f>
        <v>-2.4504867030462658</v>
      </c>
      <c r="J14" s="17">
        <f>-(B18*B15*B16)</f>
        <v>-2.4504867035395459</v>
      </c>
      <c r="K14" s="6"/>
      <c r="L14" s="26">
        <f>B15/B14</f>
        <v>1.2019864955806849</v>
      </c>
      <c r="N14" s="4"/>
    </row>
    <row r="15" spans="1:14" ht="19.5" x14ac:dyDescent="0.5">
      <c r="A15" s="135" t="s">
        <v>37</v>
      </c>
      <c r="B15" s="264">
        <v>0.14337961869641269</v>
      </c>
      <c r="C15" s="263" t="s">
        <v>23</v>
      </c>
      <c r="D15" s="24" t="s">
        <v>38</v>
      </c>
      <c r="E15" s="25">
        <f>1000000*ABS(B15^3+I12*B15^2+I13*B15+I14)</f>
        <v>4.0412118096355698E-8</v>
      </c>
      <c r="K15" s="4"/>
      <c r="L15" s="26">
        <f>B16/B17</f>
        <v>0.96862352516174433</v>
      </c>
    </row>
    <row r="16" spans="1:14" ht="19.5" x14ac:dyDescent="0.5">
      <c r="A16" s="135" t="s">
        <v>39</v>
      </c>
      <c r="B16" s="265">
        <v>23.344750820334983</v>
      </c>
      <c r="C16" s="263" t="s">
        <v>23</v>
      </c>
      <c r="D16" s="24" t="s">
        <v>40</v>
      </c>
      <c r="E16" s="25">
        <f>1000*ABS(B16^3+I12*B16^2+I13*B16+I14)</f>
        <v>7.981427030401278E-5</v>
      </c>
      <c r="L16" s="26"/>
    </row>
    <row r="17" spans="1:12" ht="19.5" x14ac:dyDescent="0.5">
      <c r="A17" s="139" t="s">
        <v>41</v>
      </c>
      <c r="B17" s="148">
        <f>B10*I1/I4</f>
        <v>24.100953790521235</v>
      </c>
      <c r="C17" s="263" t="s">
        <v>23</v>
      </c>
      <c r="D17" s="24" t="s">
        <v>42</v>
      </c>
      <c r="E17" s="29">
        <f>1000*ABS(B18^3+I12*B18^2+I13*B18+I14)</f>
        <v>2.0252417520794097E-6</v>
      </c>
      <c r="H17" s="12"/>
      <c r="I17" s="4"/>
      <c r="J17" s="17"/>
      <c r="L17" s="25"/>
    </row>
    <row r="18" spans="1:12" ht="19.5" x14ac:dyDescent="0.5">
      <c r="A18" s="135" t="s">
        <v>43</v>
      </c>
      <c r="B18" s="138">
        <f>-I12-B15-B16</f>
        <v>0.73210890022401642</v>
      </c>
      <c r="C18" s="263" t="s">
        <v>23</v>
      </c>
      <c r="D18" s="4"/>
      <c r="E18" s="29"/>
      <c r="H18" s="12"/>
      <c r="I18" s="4"/>
      <c r="J18" s="17"/>
      <c r="L18" s="25"/>
    </row>
    <row r="19" spans="1:12" x14ac:dyDescent="0.2">
      <c r="A19" s="149" t="s">
        <v>132</v>
      </c>
      <c r="B19" s="259">
        <v>0</v>
      </c>
      <c r="C19" s="258">
        <v>1.1499999999999999</v>
      </c>
      <c r="D19" s="29"/>
      <c r="E19" s="4"/>
      <c r="G19" s="4"/>
      <c r="H19" s="12"/>
      <c r="I19" s="4"/>
      <c r="J19" s="17"/>
      <c r="L19" s="3"/>
    </row>
    <row r="20" spans="1:12" ht="15.75" x14ac:dyDescent="0.25">
      <c r="A20" s="256" t="s">
        <v>44</v>
      </c>
      <c r="B20" s="256" t="s">
        <v>45</v>
      </c>
      <c r="C20" s="256" t="s">
        <v>169</v>
      </c>
      <c r="D20" s="21"/>
      <c r="E20" s="4"/>
      <c r="I20" s="4"/>
      <c r="J20" s="17"/>
      <c r="K20" s="21"/>
    </row>
    <row r="21" spans="1:12" ht="15.75" x14ac:dyDescent="0.25">
      <c r="A21" s="257">
        <f>B14+0.00001</f>
        <v>0.11929554873417722</v>
      </c>
      <c r="B21">
        <f>($B$10*$I$1/(A21-$B$14)-$B$13/A21^2)/100</f>
        <v>2991441.0201728744</v>
      </c>
      <c r="C21"/>
      <c r="E21" s="4"/>
    </row>
    <row r="22" spans="1:12" ht="15.75" x14ac:dyDescent="0.25">
      <c r="A22" s="257">
        <f>A21*$C$19</f>
        <v>0.1371898810443038</v>
      </c>
      <c r="B22">
        <f t="shared" ref="B22:B85" si="0">($B$10*$I$1/(A22-$B$14)-$B$13/A22^2)/100</f>
        <v>316.20798467770595</v>
      </c>
      <c r="C22"/>
      <c r="E22" s="195"/>
    </row>
    <row r="23" spans="1:12" ht="15.75" x14ac:dyDescent="0.25">
      <c r="A23" s="257">
        <f t="shared" ref="A23:A86" si="1">A22*$C$19</f>
        <v>0.15776836320094936</v>
      </c>
      <c r="B23">
        <f t="shared" si="0"/>
        <v>-247.20652426501809</v>
      </c>
      <c r="C23"/>
    </row>
    <row r="24" spans="1:12" ht="15.75" x14ac:dyDescent="0.25">
      <c r="A24" s="257">
        <f t="shared" si="1"/>
        <v>0.18143361768109176</v>
      </c>
      <c r="B24">
        <f t="shared" si="0"/>
        <v>-293.43073402918395</v>
      </c>
      <c r="C24"/>
      <c r="J24" s="5"/>
    </row>
    <row r="25" spans="1:12" ht="15.75" x14ac:dyDescent="0.25">
      <c r="A25" s="257">
        <f t="shared" si="1"/>
        <v>0.20864866033325549</v>
      </c>
      <c r="B25">
        <f t="shared" si="0"/>
        <v>-251.10498954814554</v>
      </c>
      <c r="C25"/>
      <c r="J25" s="17"/>
      <c r="K25" s="17"/>
    </row>
    <row r="26" spans="1:12" ht="15.75" x14ac:dyDescent="0.25">
      <c r="A26" s="257">
        <f t="shared" si="1"/>
        <v>0.23994595938324378</v>
      </c>
      <c r="B26">
        <f t="shared" si="0"/>
        <v>-195.07224366515828</v>
      </c>
      <c r="C26"/>
      <c r="J26" s="5"/>
      <c r="K26" s="17"/>
    </row>
    <row r="27" spans="1:12" ht="15.75" x14ac:dyDescent="0.25">
      <c r="A27" s="257">
        <f t="shared" si="1"/>
        <v>0.27593785329073034</v>
      </c>
      <c r="B27">
        <f t="shared" si="0"/>
        <v>-144.00489716010452</v>
      </c>
      <c r="C27"/>
      <c r="J27" s="17"/>
      <c r="K27" s="17"/>
    </row>
    <row r="28" spans="1:12" ht="15.75" x14ac:dyDescent="0.25">
      <c r="A28" s="257">
        <f t="shared" si="1"/>
        <v>0.31732853128433985</v>
      </c>
      <c r="B28">
        <f t="shared" si="0"/>
        <v>-102.22792294518949</v>
      </c>
      <c r="C28"/>
    </row>
    <row r="29" spans="1:12" ht="15.75" x14ac:dyDescent="0.25">
      <c r="A29" s="257">
        <f t="shared" si="1"/>
        <v>0.36492781097699079</v>
      </c>
      <c r="B29">
        <f t="shared" si="0"/>
        <v>-69.729642660033562</v>
      </c>
      <c r="C29"/>
      <c r="D29"/>
      <c r="E29"/>
      <c r="F29"/>
    </row>
    <row r="30" spans="1:12" ht="15.75" x14ac:dyDescent="0.25">
      <c r="A30" s="257">
        <f t="shared" si="1"/>
        <v>0.41966698262353935</v>
      </c>
      <c r="B30">
        <f t="shared" si="0"/>
        <v>-45.216520246298003</v>
      </c>
      <c r="C30"/>
      <c r="D30"/>
      <c r="E30"/>
      <c r="F30"/>
      <c r="J30" s="4"/>
      <c r="K30" s="18"/>
    </row>
    <row r="31" spans="1:12" ht="15.75" x14ac:dyDescent="0.25">
      <c r="A31" s="257">
        <f t="shared" si="1"/>
        <v>0.48261703001707024</v>
      </c>
      <c r="B31">
        <f t="shared" si="0"/>
        <v>-27.155209015177661</v>
      </c>
      <c r="C31"/>
      <c r="D31"/>
      <c r="E31"/>
      <c r="F31"/>
      <c r="J31" s="4"/>
      <c r="K31" s="18"/>
    </row>
    <row r="32" spans="1:12" ht="15.75" x14ac:dyDescent="0.25">
      <c r="A32" s="257">
        <f t="shared" si="1"/>
        <v>0.55500958451963078</v>
      </c>
      <c r="B32">
        <f t="shared" si="0"/>
        <v>-14.130992351904425</v>
      </c>
      <c r="C32"/>
      <c r="D32"/>
      <c r="E32"/>
      <c r="F32"/>
      <c r="J32" s="4"/>
      <c r="K32" s="37"/>
    </row>
    <row r="33" spans="1:11" ht="15.75" x14ac:dyDescent="0.25">
      <c r="A33" s="257">
        <f t="shared" si="1"/>
        <v>0.6382610221975753</v>
      </c>
      <c r="B33">
        <f t="shared" si="0"/>
        <v>-4.9530036259951338</v>
      </c>
      <c r="C33"/>
      <c r="D33"/>
      <c r="E33"/>
      <c r="F33"/>
      <c r="J33" s="4"/>
      <c r="K33" s="18"/>
    </row>
    <row r="34" spans="1:11" ht="15.75" x14ac:dyDescent="0.25">
      <c r="A34" s="257">
        <f t="shared" si="1"/>
        <v>0.73400017552721153</v>
      </c>
      <c r="B34">
        <f t="shared" si="0"/>
        <v>1.3366715870948338</v>
      </c>
      <c r="C34"/>
      <c r="D34"/>
      <c r="E34"/>
      <c r="F34"/>
    </row>
    <row r="35" spans="1:11" ht="15.75" x14ac:dyDescent="0.25">
      <c r="A35" s="257">
        <f t="shared" si="1"/>
        <v>0.8441002018562932</v>
      </c>
      <c r="B35">
        <f t="shared" si="0"/>
        <v>5.4883055048208238</v>
      </c>
      <c r="C35"/>
      <c r="D35"/>
      <c r="E35"/>
      <c r="F35"/>
    </row>
    <row r="36" spans="1:11" ht="15.75" x14ac:dyDescent="0.25">
      <c r="A36" s="257">
        <f t="shared" si="1"/>
        <v>0.97071523213473709</v>
      </c>
      <c r="B36">
        <f t="shared" si="0"/>
        <v>8.0792141343206776</v>
      </c>
      <c r="C36"/>
      <c r="D36"/>
      <c r="E36"/>
      <c r="F36"/>
    </row>
    <row r="37" spans="1:11" ht="15.75" x14ac:dyDescent="0.25">
      <c r="A37" s="257">
        <f t="shared" si="1"/>
        <v>1.1163225169549476</v>
      </c>
      <c r="B37">
        <f t="shared" si="0"/>
        <v>9.5478171707786856</v>
      </c>
      <c r="C37"/>
      <c r="D37"/>
      <c r="E37"/>
      <c r="F37"/>
    </row>
    <row r="38" spans="1:11" ht="15.75" x14ac:dyDescent="0.25">
      <c r="A38" s="257">
        <f t="shared" si="1"/>
        <v>1.2837708944981896</v>
      </c>
      <c r="B38">
        <f t="shared" si="0"/>
        <v>10.223460838967462</v>
      </c>
      <c r="C38"/>
      <c r="D38"/>
      <c r="E38"/>
      <c r="F38"/>
    </row>
    <row r="39" spans="1:11" ht="15.75" x14ac:dyDescent="0.25">
      <c r="A39" s="257">
        <f t="shared" si="1"/>
        <v>1.476336528672918</v>
      </c>
      <c r="B39">
        <f t="shared" si="0"/>
        <v>10.351124440458275</v>
      </c>
      <c r="C39"/>
      <c r="D39"/>
      <c r="E39"/>
      <c r="F39"/>
    </row>
    <row r="40" spans="1:11" ht="15.75" x14ac:dyDescent="0.25">
      <c r="A40" s="257">
        <f t="shared" si="1"/>
        <v>1.6977870079738555</v>
      </c>
      <c r="B40">
        <f t="shared" si="0"/>
        <v>10.111254375794616</v>
      </c>
      <c r="C40"/>
    </row>
    <row r="41" spans="1:11" ht="15.75" x14ac:dyDescent="0.25">
      <c r="A41" s="257">
        <f t="shared" si="1"/>
        <v>1.9524550591699337</v>
      </c>
      <c r="B41">
        <f t="shared" si="0"/>
        <v>9.6353735787351251</v>
      </c>
      <c r="C41"/>
    </row>
    <row r="42" spans="1:11" ht="15.75" x14ac:dyDescent="0.25">
      <c r="A42" s="257">
        <f t="shared" si="1"/>
        <v>2.2453233180454237</v>
      </c>
      <c r="B42">
        <f t="shared" si="0"/>
        <v>9.018200591743021</v>
      </c>
      <c r="C42"/>
    </row>
    <row r="43" spans="1:11" ht="15.75" x14ac:dyDescent="0.25">
      <c r="A43" s="257">
        <f t="shared" si="1"/>
        <v>2.5821218157522372</v>
      </c>
      <c r="B43">
        <f t="shared" si="0"/>
        <v>8.3269656419792355</v>
      </c>
      <c r="C43"/>
    </row>
    <row r="44" spans="1:11" ht="15.75" x14ac:dyDescent="0.25">
      <c r="A44" s="257">
        <f t="shared" si="1"/>
        <v>2.9694400881150727</v>
      </c>
      <c r="B44">
        <f t="shared" si="0"/>
        <v>7.6085165056484634</v>
      </c>
      <c r="C44"/>
    </row>
    <row r="45" spans="1:11" ht="15.75" x14ac:dyDescent="0.25">
      <c r="A45" s="257">
        <f t="shared" si="1"/>
        <v>3.4148561013323331</v>
      </c>
      <c r="B45">
        <f t="shared" si="0"/>
        <v>6.8947034169861832</v>
      </c>
      <c r="C45"/>
    </row>
    <row r="46" spans="1:11" ht="15.75" x14ac:dyDescent="0.25">
      <c r="A46" s="257">
        <f t="shared" si="1"/>
        <v>3.9270845165321826</v>
      </c>
      <c r="B46">
        <f t="shared" si="0"/>
        <v>6.206436260865372</v>
      </c>
      <c r="C46"/>
    </row>
    <row r="47" spans="1:11" ht="15.75" x14ac:dyDescent="0.25">
      <c r="A47" s="257">
        <f t="shared" si="1"/>
        <v>4.5161471940120093</v>
      </c>
      <c r="B47">
        <f t="shared" si="0"/>
        <v>5.5567246824143073</v>
      </c>
      <c r="C47"/>
    </row>
    <row r="48" spans="1:11" ht="15.75" x14ac:dyDescent="0.25">
      <c r="A48" s="257">
        <f t="shared" si="1"/>
        <v>5.1935692731138099</v>
      </c>
      <c r="B48">
        <f t="shared" si="0"/>
        <v>4.9529435590553827</v>
      </c>
      <c r="C48"/>
    </row>
    <row r="49" spans="1:3" ht="15.75" x14ac:dyDescent="0.25">
      <c r="A49" s="257">
        <f t="shared" si="1"/>
        <v>5.9726046640808805</v>
      </c>
      <c r="B49">
        <f t="shared" si="0"/>
        <v>4.3985114061616777</v>
      </c>
      <c r="C49"/>
    </row>
    <row r="50" spans="1:3" ht="15.75" x14ac:dyDescent="0.25">
      <c r="A50" s="257">
        <f t="shared" si="1"/>
        <v>6.8684953636930119</v>
      </c>
      <c r="B50">
        <f t="shared" si="0"/>
        <v>3.8941258633306548</v>
      </c>
      <c r="C50"/>
    </row>
    <row r="51" spans="1:3" ht="15.75" x14ac:dyDescent="0.25">
      <c r="A51" s="257">
        <f t="shared" si="1"/>
        <v>7.8987696682469632</v>
      </c>
      <c r="B51">
        <f t="shared" si="0"/>
        <v>3.4386664456406142</v>
      </c>
      <c r="C51"/>
    </row>
    <row r="52" spans="1:3" ht="15.75" x14ac:dyDescent="0.25">
      <c r="A52" s="257">
        <f t="shared" si="1"/>
        <v>9.0835851184840077</v>
      </c>
      <c r="B52">
        <f t="shared" si="0"/>
        <v>3.0298484080627093</v>
      </c>
      <c r="C52"/>
    </row>
    <row r="53" spans="1:3" ht="15.75" x14ac:dyDescent="0.25">
      <c r="A53" s="257">
        <f t="shared" si="1"/>
        <v>10.446122886256608</v>
      </c>
      <c r="B53">
        <f t="shared" si="0"/>
        <v>2.6646912812042491</v>
      </c>
      <c r="C53"/>
    </row>
    <row r="54" spans="1:3" ht="15.75" x14ac:dyDescent="0.25">
      <c r="A54" s="257">
        <f t="shared" si="1"/>
        <v>12.013041319195098</v>
      </c>
      <c r="B54">
        <f t="shared" si="0"/>
        <v>2.3398500845457137</v>
      </c>
      <c r="C54"/>
    </row>
    <row r="55" spans="1:3" ht="15.75" x14ac:dyDescent="0.25">
      <c r="A55" s="257">
        <f t="shared" si="1"/>
        <v>13.814997517074362</v>
      </c>
      <c r="B55">
        <f t="shared" si="0"/>
        <v>2.0518453527522653</v>
      </c>
      <c r="C55"/>
    </row>
    <row r="56" spans="1:3" ht="15.75" x14ac:dyDescent="0.25">
      <c r="A56" s="257">
        <f t="shared" si="1"/>
        <v>15.887247144635515</v>
      </c>
      <c r="B56">
        <f t="shared" si="0"/>
        <v>1.7972190822261005</v>
      </c>
      <c r="C56"/>
    </row>
    <row r="57" spans="1:3" ht="15.75" x14ac:dyDescent="0.25">
      <c r="A57" s="257">
        <f t="shared" si="1"/>
        <v>18.270334216330841</v>
      </c>
      <c r="B57">
        <f t="shared" si="0"/>
        <v>1.572636859895955</v>
      </c>
      <c r="C57"/>
    </row>
    <row r="58" spans="1:3" ht="15.75" x14ac:dyDescent="0.25">
      <c r="A58" s="257">
        <f t="shared" si="1"/>
        <v>21.010884348780465</v>
      </c>
      <c r="B58">
        <f t="shared" si="0"/>
        <v>1.3749512613810251</v>
      </c>
      <c r="C58"/>
    </row>
    <row r="59" spans="1:3" ht="15.75" x14ac:dyDescent="0.25">
      <c r="A59" s="257">
        <f t="shared" si="1"/>
        <v>24.162517001097534</v>
      </c>
      <c r="B59">
        <f t="shared" si="0"/>
        <v>1.2012377043965148</v>
      </c>
      <c r="C59"/>
    </row>
    <row r="60" spans="1:3" ht="15.75" x14ac:dyDescent="0.25">
      <c r="A60" s="257">
        <f t="shared" si="1"/>
        <v>27.786894551262161</v>
      </c>
      <c r="B60">
        <f t="shared" si="0"/>
        <v>1.0488110102811385</v>
      </c>
      <c r="C60"/>
    </row>
    <row r="61" spans="1:3" ht="15.75" x14ac:dyDescent="0.25">
      <c r="A61" s="257">
        <f t="shared" si="1"/>
        <v>31.954928733951483</v>
      </c>
      <c r="B61">
        <f t="shared" si="0"/>
        <v>0.91522872780695308</v>
      </c>
      <c r="C61"/>
    </row>
    <row r="62" spans="1:3" ht="15.75" x14ac:dyDescent="0.25">
      <c r="A62" s="257">
        <f t="shared" si="1"/>
        <v>36.748168044044206</v>
      </c>
      <c r="B62">
        <f t="shared" si="0"/>
        <v>0.79828563019362531</v>
      </c>
      <c r="C62"/>
    </row>
    <row r="63" spans="1:3" ht="15.75" x14ac:dyDescent="0.25">
      <c r="A63" s="257">
        <f t="shared" si="1"/>
        <v>42.260393250650836</v>
      </c>
      <c r="B63">
        <f t="shared" si="0"/>
        <v>0.69600257228044737</v>
      </c>
      <c r="C63"/>
    </row>
    <row r="64" spans="1:3" ht="15.75" x14ac:dyDescent="0.25">
      <c r="A64" s="257">
        <f t="shared" si="1"/>
        <v>48.59945223824846</v>
      </c>
      <c r="B64">
        <f t="shared" si="0"/>
        <v>0.60661198658236715</v>
      </c>
      <c r="C64"/>
    </row>
    <row r="65" spans="1:3" ht="15.75" x14ac:dyDescent="0.25">
      <c r="A65" s="257">
        <f t="shared" si="1"/>
        <v>55.889370073985724</v>
      </c>
      <c r="B65">
        <f t="shared" si="0"/>
        <v>0.52854162595384824</v>
      </c>
      <c r="C65"/>
    </row>
    <row r="66" spans="1:3" ht="15.75" x14ac:dyDescent="0.25">
      <c r="A66" s="257">
        <f t="shared" si="1"/>
        <v>64.272775585083579</v>
      </c>
      <c r="B66">
        <f t="shared" si="0"/>
        <v>0.46039766737620341</v>
      </c>
      <c r="C66"/>
    </row>
    <row r="67" spans="1:3" ht="15.75" x14ac:dyDescent="0.25">
      <c r="A67" s="257">
        <f t="shared" si="1"/>
        <v>73.913691922846112</v>
      </c>
      <c r="B67">
        <f t="shared" si="0"/>
        <v>0.40094793107212628</v>
      </c>
      <c r="C67"/>
    </row>
    <row r="68" spans="1:3" ht="15.75" x14ac:dyDescent="0.25">
      <c r="A68" s="257">
        <f t="shared" si="1"/>
        <v>85.000745711273026</v>
      </c>
      <c r="B68">
        <f t="shared" si="0"/>
        <v>0.34910570787979417</v>
      </c>
      <c r="C68"/>
    </row>
    <row r="69" spans="1:3" ht="15.75" x14ac:dyDescent="0.25">
      <c r="A69" s="257">
        <f t="shared" si="1"/>
        <v>97.750857567963976</v>
      </c>
      <c r="B69">
        <f t="shared" si="0"/>
        <v>0.30391450010777848</v>
      </c>
      <c r="C69"/>
    </row>
    <row r="70" spans="1:3" ht="15.75" x14ac:dyDescent="0.25">
      <c r="A70" s="257">
        <f t="shared" si="1"/>
        <v>112.41348620315857</v>
      </c>
      <c r="B70">
        <f t="shared" si="0"/>
        <v>0.2645338478025136</v>
      </c>
      <c r="C70"/>
    </row>
    <row r="71" spans="1:3" ht="15.75" x14ac:dyDescent="0.25">
      <c r="A71" s="257">
        <f t="shared" si="1"/>
        <v>129.27550913363234</v>
      </c>
      <c r="B71">
        <f t="shared" si="0"/>
        <v>0.23022631914806704</v>
      </c>
      <c r="C71"/>
    </row>
    <row r="72" spans="1:3" ht="15.75" x14ac:dyDescent="0.25">
      <c r="A72" s="257">
        <f t="shared" si="1"/>
        <v>148.66683550367719</v>
      </c>
      <c r="B72">
        <f t="shared" si="0"/>
        <v>0.20034567985810237</v>
      </c>
      <c r="C72"/>
    </row>
    <row r="73" spans="1:3" ht="15.75" x14ac:dyDescent="0.25">
      <c r="A73" s="257">
        <f t="shared" si="1"/>
        <v>170.96686082922875</v>
      </c>
      <c r="B73">
        <f t="shared" si="0"/>
        <v>0.17432621391416386</v>
      </c>
      <c r="C73"/>
    </row>
    <row r="74" spans="1:3" ht="15.75" x14ac:dyDescent="0.25">
      <c r="A74" s="257">
        <f t="shared" si="1"/>
        <v>196.61188995361306</v>
      </c>
      <c r="B74">
        <f t="shared" si="0"/>
        <v>0.15167314090655276</v>
      </c>
      <c r="C74"/>
    </row>
    <row r="75" spans="1:3" ht="15.75" x14ac:dyDescent="0.25">
      <c r="A75" s="257">
        <f t="shared" si="1"/>
        <v>226.10367344665499</v>
      </c>
      <c r="B75">
        <f t="shared" si="0"/>
        <v>0.13195405913906505</v>
      </c>
      <c r="C75"/>
    </row>
    <row r="76" spans="1:3" ht="15.75" x14ac:dyDescent="0.25">
      <c r="A76" s="257">
        <f t="shared" si="1"/>
        <v>260.01922446365325</v>
      </c>
      <c r="B76">
        <f t="shared" si="0"/>
        <v>0.11479133531688407</v>
      </c>
      <c r="C76"/>
    </row>
    <row r="77" spans="1:3" ht="15.75" x14ac:dyDescent="0.25">
      <c r="A77" s="257">
        <f t="shared" si="1"/>
        <v>299.02210813320119</v>
      </c>
      <c r="B77">
        <f t="shared" si="0"/>
        <v>9.9855358662308033E-2</v>
      </c>
      <c r="C77"/>
    </row>
    <row r="78" spans="1:3" ht="15.75" x14ac:dyDescent="0.25">
      <c r="A78" s="257">
        <f t="shared" si="1"/>
        <v>343.87542435318136</v>
      </c>
      <c r="B78">
        <f t="shared" si="0"/>
        <v>8.6858577954926353E-2</v>
      </c>
      <c r="C78"/>
    </row>
    <row r="79" spans="1:3" ht="15.75" x14ac:dyDescent="0.25">
      <c r="A79" s="257">
        <f t="shared" si="1"/>
        <v>395.45673800615856</v>
      </c>
      <c r="B79">
        <f t="shared" si="0"/>
        <v>7.5550243010410856E-2</v>
      </c>
      <c r="C79"/>
    </row>
    <row r="80" spans="1:3" ht="15.75" x14ac:dyDescent="0.25">
      <c r="A80" s="257">
        <f t="shared" si="1"/>
        <v>454.77524870708231</v>
      </c>
      <c r="B80">
        <f t="shared" si="0"/>
        <v>6.5711776590297366E-2</v>
      </c>
      <c r="C80"/>
    </row>
    <row r="81" spans="1:3" ht="15.75" x14ac:dyDescent="0.25">
      <c r="A81" s="257">
        <f t="shared" si="1"/>
        <v>522.99153601314458</v>
      </c>
      <c r="B81">
        <f t="shared" si="0"/>
        <v>5.7152708032103074E-2</v>
      </c>
      <c r="C81"/>
    </row>
    <row r="82" spans="1:3" ht="15.75" x14ac:dyDescent="0.25">
      <c r="A82" s="257">
        <f t="shared" si="1"/>
        <v>601.44026641511618</v>
      </c>
      <c r="B82">
        <f t="shared" si="0"/>
        <v>4.9707105556476928E-2</v>
      </c>
      <c r="C82"/>
    </row>
    <row r="83" spans="1:3" ht="15.75" x14ac:dyDescent="0.25">
      <c r="A83" s="257">
        <f t="shared" si="1"/>
        <v>691.65630637738354</v>
      </c>
      <c r="B83">
        <f t="shared" si="0"/>
        <v>4.3230449939044957E-2</v>
      </c>
      <c r="C83"/>
    </row>
    <row r="84" spans="1:3" ht="15.75" x14ac:dyDescent="0.25">
      <c r="A84" s="257">
        <f t="shared" si="1"/>
        <v>795.40475233399104</v>
      </c>
      <c r="B84">
        <f t="shared" si="0"/>
        <v>3.759689782533894E-2</v>
      </c>
      <c r="C84"/>
    </row>
    <row r="85" spans="1:3" ht="15.75" x14ac:dyDescent="0.25">
      <c r="A85" s="257">
        <f t="shared" si="1"/>
        <v>914.71546518408968</v>
      </c>
      <c r="B85">
        <f t="shared" si="0"/>
        <v>3.2696888288035811E-2</v>
      </c>
      <c r="C85"/>
    </row>
    <row r="86" spans="1:3" ht="15.75" x14ac:dyDescent="0.25">
      <c r="A86" s="257">
        <f t="shared" si="1"/>
        <v>1051.922784961703</v>
      </c>
      <c r="B86">
        <f>($B$10*$I$1/(A86-$B$14)-$B$13/A86^2)/100</f>
        <v>2.8435051199974005E-2</v>
      </c>
      <c r="C86"/>
    </row>
    <row r="87" spans="1:3" ht="15.75" x14ac:dyDescent="0.25">
      <c r="A87"/>
      <c r="B87"/>
      <c r="C87"/>
    </row>
    <row r="88" spans="1:3" ht="15.75" x14ac:dyDescent="0.25">
      <c r="A88"/>
      <c r="B88"/>
      <c r="C88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88"/>
  <sheetViews>
    <sheetView topLeftCell="A20" workbookViewId="0"/>
  </sheetViews>
  <sheetFormatPr defaultColWidth="8" defaultRowHeight="12.75" x14ac:dyDescent="0.2"/>
  <cols>
    <col min="1" max="2" width="8" style="2" customWidth="1"/>
    <col min="3" max="3" width="9.5" style="2" customWidth="1"/>
    <col min="4" max="4" width="8" style="2" customWidth="1"/>
    <col min="5" max="5" width="11.75" style="2" customWidth="1"/>
    <col min="6" max="16384" width="8" style="2"/>
  </cols>
  <sheetData>
    <row r="1" spans="1:14" ht="18" x14ac:dyDescent="0.25">
      <c r="A1" s="143" t="str">
        <f>' T = Tb'!A1</f>
        <v>Benzene</v>
      </c>
      <c r="E1" s="2" t="s">
        <v>0</v>
      </c>
      <c r="F1" s="2">
        <v>1</v>
      </c>
      <c r="H1" s="3" t="s">
        <v>1</v>
      </c>
      <c r="I1" s="2">
        <f>' T = Tb'!O16</f>
        <v>374.88664953556292</v>
      </c>
      <c r="J1" s="2" t="s">
        <v>2</v>
      </c>
    </row>
    <row r="2" spans="1:14" ht="15.75" x14ac:dyDescent="0.3">
      <c r="A2" s="4" t="s">
        <v>15</v>
      </c>
      <c r="B2" s="5">
        <f>' T = Tb'!B2</f>
        <v>78.114000000000004</v>
      </c>
      <c r="C2" s="2" t="s">
        <v>3</v>
      </c>
      <c r="E2" s="4" t="s">
        <v>4</v>
      </c>
      <c r="F2" s="2">
        <f>' T = Tb'!F2</f>
        <v>-7.0143300000000002</v>
      </c>
      <c r="H2" s="3" t="s">
        <v>16</v>
      </c>
      <c r="I2" s="2">
        <f>1-I1/B3</f>
        <v>0.33313176046754844</v>
      </c>
      <c r="M2" s="4"/>
    </row>
    <row r="3" spans="1:14" ht="15.75" x14ac:dyDescent="0.3">
      <c r="A3" s="4" t="s">
        <v>17</v>
      </c>
      <c r="B3" s="5">
        <f>' T = Tb'!B3</f>
        <v>562.16</v>
      </c>
      <c r="C3" s="2" t="s">
        <v>2</v>
      </c>
      <c r="E3" s="4" t="s">
        <v>5</v>
      </c>
      <c r="F3" s="2">
        <f>' T = Tb'!F3</f>
        <v>1.5525599999999999</v>
      </c>
      <c r="H3" s="3" t="s">
        <v>6</v>
      </c>
      <c r="I3" s="144">
        <f>(B4*EXP((F2*I2+F3*I2^1.5+F4*I2^2.5+F5*I2^5)/(1-I2)))</f>
        <v>1.8865230429204805</v>
      </c>
      <c r="J3" s="2" t="s">
        <v>7</v>
      </c>
      <c r="M3" s="4"/>
    </row>
    <row r="4" spans="1:14" ht="15.75" x14ac:dyDescent="0.3">
      <c r="A4" s="4" t="s">
        <v>18</v>
      </c>
      <c r="B4" s="5">
        <f>' T = Tb'!B4</f>
        <v>48.98</v>
      </c>
      <c r="C4" s="2" t="s">
        <v>7</v>
      </c>
      <c r="E4" s="4" t="s">
        <v>8</v>
      </c>
      <c r="F4" s="2">
        <f>' T = Tb'!F4</f>
        <v>-1.8479000000000001</v>
      </c>
      <c r="H4" s="3" t="s">
        <v>6</v>
      </c>
      <c r="I4" s="2">
        <f>I3*100</f>
        <v>188.65230429204806</v>
      </c>
      <c r="J4" s="2" t="s">
        <v>9</v>
      </c>
      <c r="M4" s="4"/>
      <c r="N4" s="6"/>
    </row>
    <row r="5" spans="1:14" ht="15.75" x14ac:dyDescent="0.3">
      <c r="A5" s="4" t="s">
        <v>18</v>
      </c>
      <c r="B5" s="5">
        <f>' T = Tb'!B5</f>
        <v>4898</v>
      </c>
      <c r="C5" s="2" t="s">
        <v>9</v>
      </c>
      <c r="E5" s="4" t="s">
        <v>10</v>
      </c>
      <c r="F5" s="2">
        <f>' T = Tb'!F5</f>
        <v>-3.7130000000000001</v>
      </c>
      <c r="H5" s="4"/>
      <c r="M5" s="4"/>
      <c r="N5" s="6"/>
    </row>
    <row r="6" spans="1:14" ht="15.75" x14ac:dyDescent="0.3">
      <c r="A6" s="4" t="s">
        <v>19</v>
      </c>
      <c r="B6" s="5">
        <f>' T = Tb'!B6</f>
        <v>256</v>
      </c>
      <c r="C6" s="2" t="s">
        <v>20</v>
      </c>
      <c r="E6" s="4" t="s">
        <v>21</v>
      </c>
      <c r="F6" s="2">
        <f>' T = Tb'!F6</f>
        <v>250</v>
      </c>
      <c r="G6" s="7">
        <f>F6/B3</f>
        <v>0.44471324889711117</v>
      </c>
      <c r="H6" s="2" t="s">
        <v>22</v>
      </c>
      <c r="I6" s="2">
        <v>2.5712194055283128E-3</v>
      </c>
    </row>
    <row r="7" spans="1:14" ht="15.75" x14ac:dyDescent="0.3">
      <c r="A7" s="4" t="s">
        <v>19</v>
      </c>
      <c r="B7" s="5">
        <f>' T = Tb'!B7</f>
        <v>0.25600000000000001</v>
      </c>
      <c r="C7" s="8" t="s">
        <v>23</v>
      </c>
      <c r="E7" s="4" t="s">
        <v>24</v>
      </c>
      <c r="F7" s="2">
        <f>' T = Tb'!F7</f>
        <v>562.16</v>
      </c>
      <c r="G7" s="7">
        <f>F7/B3</f>
        <v>1</v>
      </c>
      <c r="H7" s="2" t="s">
        <v>25</v>
      </c>
      <c r="I7" s="2">
        <f>I6/I3</f>
        <v>1.3629408955153129E-3</v>
      </c>
    </row>
    <row r="8" spans="1:14" ht="15.75" x14ac:dyDescent="0.3">
      <c r="A8" s="4" t="s">
        <v>26</v>
      </c>
      <c r="B8" s="5">
        <f>' T = Tb'!B8</f>
        <v>0.26800000000000002</v>
      </c>
      <c r="E8" s="4" t="s">
        <v>27</v>
      </c>
      <c r="F8" s="18">
        <f>' T = Tb'!F8</f>
        <v>353.24</v>
      </c>
      <c r="G8" s="7">
        <f>F8/B3</f>
        <v>0.6283620321616622</v>
      </c>
      <c r="H8" s="2" t="s">
        <v>28</v>
      </c>
    </row>
    <row r="9" spans="1:14" x14ac:dyDescent="0.2">
      <c r="A9" s="9" t="s">
        <v>29</v>
      </c>
      <c r="B9" s="5">
        <f>' T = Tb'!B9</f>
        <v>0.21</v>
      </c>
      <c r="E9" s="4"/>
      <c r="F9" s="2">
        <f>' T = Tb'!F9</f>
        <v>101.325</v>
      </c>
      <c r="K9" s="4"/>
    </row>
    <row r="10" spans="1:14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4" x14ac:dyDescent="0.2">
      <c r="A11" s="10" t="s">
        <v>13</v>
      </c>
      <c r="K11" s="11"/>
    </row>
    <row r="12" spans="1:14" ht="18.75" x14ac:dyDescent="0.3">
      <c r="A12" s="13" t="s">
        <v>31</v>
      </c>
      <c r="B12" s="14">
        <f>27/64*(B10*B3)^2/B5</f>
        <v>1881.7339064250737</v>
      </c>
      <c r="C12" s="15"/>
      <c r="E12" s="16" t="s">
        <v>14</v>
      </c>
      <c r="H12" s="4" t="s">
        <v>32</v>
      </c>
      <c r="I12" s="191">
        <f>(2*B19)-B14-(B10*I1/I4)</f>
        <v>-16.641738365449221</v>
      </c>
      <c r="J12" s="17">
        <f>-(B18+B15+B16)</f>
        <v>-16.641738365449221</v>
      </c>
      <c r="K12" s="6"/>
    </row>
    <row r="13" spans="1:14" ht="18.75" x14ac:dyDescent="0.3">
      <c r="A13" s="13" t="s">
        <v>33</v>
      </c>
      <c r="B13" s="156">
        <v>2493.0078085745158</v>
      </c>
      <c r="C13" s="157">
        <f>' T = Tb'!P17</f>
        <v>2438.1463634313372</v>
      </c>
      <c r="E13" s="193">
        <f>ABS(B10*I1*LN((B16-B14)/(B15-B14))+B13*(1/(B16+B19)-1/(B15+B19))-I4*(B16-B15))</f>
        <v>2.403603502898477E-7</v>
      </c>
      <c r="F13" s="21">
        <f>E13+E15+E16</f>
        <v>1.7327341303996491E-6</v>
      </c>
      <c r="H13" s="4" t="s">
        <v>34</v>
      </c>
      <c r="I13" s="191">
        <f>(B19^2)-(2*B19*B14)-(2*B10*I1*B19/I4)+(B13/I4)</f>
        <v>13.214828294464672</v>
      </c>
      <c r="J13" s="17">
        <f>B15*B16+B15*B18+B18*B16</f>
        <v>13.214828294558036</v>
      </c>
      <c r="K13" s="6"/>
      <c r="L13" s="26">
        <f>B13/B12</f>
        <v>1.3248460901205437</v>
      </c>
    </row>
    <row r="14" spans="1:14" ht="18.75" x14ac:dyDescent="0.5">
      <c r="A14" s="147" t="s">
        <v>35</v>
      </c>
      <c r="B14" s="262">
        <f>B10*B3/8/B5</f>
        <v>0.11928554873417722</v>
      </c>
      <c r="C14" s="263" t="s">
        <v>23</v>
      </c>
      <c r="H14" s="4" t="s">
        <v>36</v>
      </c>
      <c r="I14" s="191">
        <f>(-B14*(B19^2))-(B10*I1*(B19^2)/I4)-(B13*B14/I4)</f>
        <v>-1.5763380445331499</v>
      </c>
      <c r="J14" s="17">
        <f>-(B18*B15*B16)</f>
        <v>-1.5763380445467947</v>
      </c>
      <c r="K14" s="6"/>
      <c r="L14" s="26">
        <f>B15/B14</f>
        <v>1.2225565412762338</v>
      </c>
      <c r="N14" s="4"/>
    </row>
    <row r="15" spans="1:14" ht="19.5" x14ac:dyDescent="0.5">
      <c r="A15" s="135" t="s">
        <v>37</v>
      </c>
      <c r="B15" s="264">
        <v>0.14583332788469333</v>
      </c>
      <c r="C15" s="263" t="s">
        <v>23</v>
      </c>
      <c r="D15" s="24" t="s">
        <v>38</v>
      </c>
      <c r="E15" s="25">
        <f>1000000*ABS(B15^3+I12*B15^2+I13*B15+I14)</f>
        <v>2.9531932455029164E-8</v>
      </c>
      <c r="K15" s="4"/>
      <c r="L15" s="26">
        <f>B16/B17</f>
        <v>0.95701969259063868</v>
      </c>
    </row>
    <row r="16" spans="1:14" ht="19.5" x14ac:dyDescent="0.5">
      <c r="A16" s="135" t="s">
        <v>39</v>
      </c>
      <c r="B16" s="265">
        <v>15.812312715495965</v>
      </c>
      <c r="C16" s="263" t="s">
        <v>23</v>
      </c>
      <c r="D16" s="24" t="s">
        <v>40</v>
      </c>
      <c r="E16" s="25">
        <f>1000*ABS(B16^3+I12*B16^2+I13*B16+I14)</f>
        <v>1.4628418476547722E-6</v>
      </c>
      <c r="L16" s="26"/>
    </row>
    <row r="17" spans="1:12" ht="19.5" x14ac:dyDescent="0.5">
      <c r="A17" s="139" t="s">
        <v>41</v>
      </c>
      <c r="B17" s="148">
        <f>B10*I1/I4</f>
        <v>16.522452816715045</v>
      </c>
      <c r="C17" s="263" t="s">
        <v>23</v>
      </c>
      <c r="D17" s="24" t="s">
        <v>42</v>
      </c>
      <c r="E17" s="29">
        <f>1000*ABS(B18^3+I12*B18^2+I13*B18+I14)</f>
        <v>5.0177195731748725E-8</v>
      </c>
      <c r="H17" s="12"/>
      <c r="I17" s="4"/>
      <c r="J17" s="17"/>
      <c r="L17" s="25"/>
    </row>
    <row r="18" spans="1:12" ht="19.5" x14ac:dyDescent="0.5">
      <c r="A18" s="135" t="s">
        <v>43</v>
      </c>
      <c r="B18" s="138">
        <f>-I12-B15-B16</f>
        <v>0.68359232206856113</v>
      </c>
      <c r="C18" s="263" t="s">
        <v>23</v>
      </c>
      <c r="D18" s="4"/>
      <c r="E18" s="29"/>
      <c r="H18" s="12"/>
      <c r="I18" s="4"/>
      <c r="J18" s="17"/>
      <c r="L18" s="25"/>
    </row>
    <row r="19" spans="1:12" x14ac:dyDescent="0.2">
      <c r="A19" s="149" t="s">
        <v>132</v>
      </c>
      <c r="B19" s="259">
        <v>0</v>
      </c>
      <c r="C19" s="258">
        <v>1.1200000000000001</v>
      </c>
      <c r="D19" s="29"/>
      <c r="E19" s="4"/>
      <c r="G19" s="4"/>
      <c r="H19" s="12"/>
      <c r="I19" s="4"/>
      <c r="J19" s="17"/>
      <c r="L19" s="3"/>
    </row>
    <row r="20" spans="1:12" ht="15.75" x14ac:dyDescent="0.25">
      <c r="A20" s="256" t="s">
        <v>44</v>
      </c>
      <c r="B20" s="256" t="s">
        <v>45</v>
      </c>
      <c r="C20" s="256" t="s">
        <v>169</v>
      </c>
      <c r="D20" s="21"/>
      <c r="E20" s="4"/>
      <c r="I20" s="4"/>
      <c r="J20" s="17"/>
      <c r="K20" s="21"/>
    </row>
    <row r="21" spans="1:12" ht="15.75" x14ac:dyDescent="0.25">
      <c r="A21" s="257">
        <f>B14+0.00001</f>
        <v>0.11929554873417722</v>
      </c>
      <c r="B21">
        <f>($B$10*$I$1/(A21-$B$14)-$B$13/A21^2)/100</f>
        <v>3115247.0341921593</v>
      </c>
      <c r="C21"/>
      <c r="E21" s="4"/>
    </row>
    <row r="22" spans="1:12" ht="15.75" x14ac:dyDescent="0.25">
      <c r="A22" s="257">
        <f>A21*$C$19</f>
        <v>0.1336110145822785</v>
      </c>
      <c r="B22">
        <f t="shared" ref="B22:B85" si="0">($B$10*$I$1/(A22-$B$14)-$B$13/A22^2)/100</f>
        <v>779.35050000461638</v>
      </c>
      <c r="C22"/>
      <c r="E22" s="195"/>
    </row>
    <row r="23" spans="1:12" ht="15.75" x14ac:dyDescent="0.25">
      <c r="A23" s="257">
        <f t="shared" ref="A23:A86" si="1">A22*$C$19</f>
        <v>0.14964433633215193</v>
      </c>
      <c r="B23">
        <f t="shared" si="0"/>
        <v>-86.556125226338779</v>
      </c>
      <c r="C23"/>
    </row>
    <row r="24" spans="1:12" ht="15.75" x14ac:dyDescent="0.25">
      <c r="A24" s="257">
        <f t="shared" si="1"/>
        <v>0.16760165669201019</v>
      </c>
      <c r="B24">
        <f t="shared" si="0"/>
        <v>-242.37104981408541</v>
      </c>
      <c r="C24"/>
      <c r="J24" s="5"/>
    </row>
    <row r="25" spans="1:12" ht="15.75" x14ac:dyDescent="0.25">
      <c r="A25" s="257">
        <f t="shared" si="1"/>
        <v>0.18771385549505143</v>
      </c>
      <c r="B25">
        <f t="shared" si="0"/>
        <v>-251.99431953400745</v>
      </c>
      <c r="C25"/>
      <c r="J25" s="17"/>
      <c r="K25" s="17"/>
    </row>
    <row r="26" spans="1:12" ht="15.75" x14ac:dyDescent="0.25">
      <c r="A26" s="257">
        <f t="shared" si="1"/>
        <v>0.21023951815445763</v>
      </c>
      <c r="B26">
        <f t="shared" si="0"/>
        <v>-221.31986907911224</v>
      </c>
      <c r="C26"/>
      <c r="J26" s="5"/>
      <c r="K26" s="17"/>
    </row>
    <row r="27" spans="1:12" ht="15.75" x14ac:dyDescent="0.25">
      <c r="A27" s="257">
        <f t="shared" si="1"/>
        <v>0.23546826033299256</v>
      </c>
      <c r="B27">
        <f t="shared" si="0"/>
        <v>-181.34951718308221</v>
      </c>
      <c r="C27"/>
      <c r="J27" s="17"/>
      <c r="K27" s="17"/>
    </row>
    <row r="28" spans="1:12" ht="15.75" x14ac:dyDescent="0.25">
      <c r="A28" s="257">
        <f t="shared" si="1"/>
        <v>0.26372445157295171</v>
      </c>
      <c r="B28">
        <f t="shared" si="0"/>
        <v>-142.64475754192964</v>
      </c>
      <c r="C28"/>
    </row>
    <row r="29" spans="1:12" ht="15.75" x14ac:dyDescent="0.25">
      <c r="A29" s="257">
        <f t="shared" si="1"/>
        <v>0.29537138576170596</v>
      </c>
      <c r="B29">
        <f t="shared" si="0"/>
        <v>-108.73449571298111</v>
      </c>
      <c r="C29"/>
      <c r="D29"/>
      <c r="E29"/>
      <c r="F29"/>
    </row>
    <row r="30" spans="1:12" ht="15.75" x14ac:dyDescent="0.25">
      <c r="A30" s="257">
        <f t="shared" si="1"/>
        <v>0.33081595205311071</v>
      </c>
      <c r="B30">
        <f t="shared" si="0"/>
        <v>-80.44379628740495</v>
      </c>
      <c r="C30"/>
      <c r="D30"/>
      <c r="E30"/>
      <c r="F30"/>
      <c r="J30" s="4"/>
      <c r="K30" s="18"/>
    </row>
    <row r="31" spans="1:12" ht="15.75" x14ac:dyDescent="0.25">
      <c r="A31" s="257">
        <f t="shared" si="1"/>
        <v>0.37051386629948402</v>
      </c>
      <c r="B31">
        <f t="shared" si="0"/>
        <v>-57.529163861940035</v>
      </c>
      <c r="C31"/>
      <c r="D31"/>
      <c r="E31"/>
      <c r="F31"/>
      <c r="J31" s="4"/>
      <c r="K31" s="18"/>
    </row>
    <row r="32" spans="1:12" ht="15.75" x14ac:dyDescent="0.25">
      <c r="A32" s="257">
        <f t="shared" si="1"/>
        <v>0.41497553025542216</v>
      </c>
      <c r="B32">
        <f t="shared" si="0"/>
        <v>-39.355608891146836</v>
      </c>
      <c r="C32"/>
      <c r="D32"/>
      <c r="E32"/>
      <c r="F32"/>
      <c r="J32" s="4"/>
      <c r="K32" s="37"/>
    </row>
    <row r="33" spans="1:11" ht="15.75" x14ac:dyDescent="0.25">
      <c r="A33" s="257">
        <f t="shared" si="1"/>
        <v>0.46477259388607289</v>
      </c>
      <c r="B33">
        <f t="shared" si="0"/>
        <v>-25.189356088528257</v>
      </c>
      <c r="C33"/>
      <c r="D33"/>
      <c r="E33"/>
      <c r="F33"/>
      <c r="J33" s="4"/>
      <c r="K33" s="18"/>
    </row>
    <row r="34" spans="1:11" ht="15.75" x14ac:dyDescent="0.25">
      <c r="A34" s="257">
        <f t="shared" si="1"/>
        <v>0.52054530515240172</v>
      </c>
      <c r="B34">
        <f t="shared" si="0"/>
        <v>-14.323646512367578</v>
      </c>
      <c r="C34"/>
      <c r="D34"/>
      <c r="E34"/>
      <c r="F34"/>
    </row>
    <row r="35" spans="1:11" ht="15.75" x14ac:dyDescent="0.25">
      <c r="A35" s="257">
        <f t="shared" si="1"/>
        <v>0.58301074177069001</v>
      </c>
      <c r="B35">
        <f t="shared" si="0"/>
        <v>-6.1284945521055487</v>
      </c>
      <c r="C35"/>
      <c r="D35"/>
      <c r="E35"/>
      <c r="F35"/>
    </row>
    <row r="36" spans="1:11" ht="15.75" x14ac:dyDescent="0.25">
      <c r="A36" s="257">
        <f t="shared" si="1"/>
        <v>0.6529720307831729</v>
      </c>
      <c r="B36">
        <f t="shared" si="0"/>
        <v>-6.5132366520647342E-2</v>
      </c>
      <c r="C36"/>
      <c r="D36"/>
      <c r="E36"/>
      <c r="F36"/>
    </row>
    <row r="37" spans="1:11" ht="15.75" x14ac:dyDescent="0.25">
      <c r="A37" s="257">
        <f t="shared" si="1"/>
        <v>0.73132867447715366</v>
      </c>
      <c r="B37">
        <f t="shared" si="0"/>
        <v>4.3156893297763599</v>
      </c>
      <c r="C37"/>
      <c r="D37"/>
      <c r="E37"/>
      <c r="F37"/>
    </row>
    <row r="38" spans="1:11" ht="15.75" x14ac:dyDescent="0.25">
      <c r="A38" s="257">
        <f t="shared" si="1"/>
        <v>0.81908811541441218</v>
      </c>
      <c r="B38">
        <f t="shared" si="0"/>
        <v>7.3822562743039679</v>
      </c>
      <c r="C38"/>
      <c r="D38"/>
      <c r="E38"/>
      <c r="F38"/>
    </row>
    <row r="39" spans="1:11" ht="15.75" x14ac:dyDescent="0.25">
      <c r="A39" s="257">
        <f t="shared" si="1"/>
        <v>0.91737868926414168</v>
      </c>
      <c r="B39">
        <f t="shared" si="0"/>
        <v>9.432760598729665</v>
      </c>
      <c r="C39"/>
      <c r="D39"/>
      <c r="E39"/>
      <c r="F39"/>
    </row>
    <row r="40" spans="1:11" ht="15.75" x14ac:dyDescent="0.25">
      <c r="A40" s="257">
        <f t="shared" si="1"/>
        <v>1.0274641319758389</v>
      </c>
      <c r="B40">
        <f t="shared" si="0"/>
        <v>10.706302589374786</v>
      </c>
      <c r="C40"/>
    </row>
    <row r="41" spans="1:11" ht="15.75" x14ac:dyDescent="0.25">
      <c r="A41" s="257">
        <f t="shared" si="1"/>
        <v>1.1507598278129396</v>
      </c>
      <c r="B41">
        <f t="shared" si="0"/>
        <v>11.393035545844354</v>
      </c>
      <c r="C41"/>
    </row>
    <row r="42" spans="1:11" ht="15.75" x14ac:dyDescent="0.25">
      <c r="A42" s="257">
        <f t="shared" si="1"/>
        <v>1.2888510071504924</v>
      </c>
      <c r="B42">
        <f t="shared" si="0"/>
        <v>11.643072987369383</v>
      </c>
      <c r="C42"/>
    </row>
    <row r="43" spans="1:11" ht="15.75" x14ac:dyDescent="0.25">
      <c r="A43" s="257">
        <f t="shared" si="1"/>
        <v>1.4435131280085516</v>
      </c>
      <c r="B43">
        <f t="shared" si="0"/>
        <v>11.574082408978391</v>
      </c>
      <c r="C43"/>
    </row>
    <row r="44" spans="1:11" ht="15.75" x14ac:dyDescent="0.25">
      <c r="A44" s="257">
        <f t="shared" si="1"/>
        <v>1.616734703369578</v>
      </c>
      <c r="B44">
        <f t="shared" si="0"/>
        <v>11.277635852404314</v>
      </c>
      <c r="C44"/>
    </row>
    <row r="45" spans="1:11" ht="15.75" x14ac:dyDescent="0.25">
      <c r="A45" s="257">
        <f t="shared" si="1"/>
        <v>1.8107428677739275</v>
      </c>
      <c r="B45">
        <f t="shared" si="0"/>
        <v>10.824450033913115</v>
      </c>
      <c r="C45"/>
    </row>
    <row r="46" spans="1:11" ht="15.75" x14ac:dyDescent="0.25">
      <c r="A46" s="257">
        <f t="shared" si="1"/>
        <v>2.0280320119067992</v>
      </c>
      <c r="B46">
        <f t="shared" si="0"/>
        <v>10.268667786873811</v>
      </c>
      <c r="C46"/>
    </row>
    <row r="47" spans="1:11" ht="15.75" x14ac:dyDescent="0.25">
      <c r="A47" s="257">
        <f t="shared" si="1"/>
        <v>2.2713958533356151</v>
      </c>
      <c r="B47">
        <f t="shared" si="0"/>
        <v>9.6513297640021332</v>
      </c>
      <c r="C47"/>
    </row>
    <row r="48" spans="1:11" ht="15.75" x14ac:dyDescent="0.25">
      <c r="A48" s="257">
        <f t="shared" si="1"/>
        <v>2.5439633557358894</v>
      </c>
      <c r="B48">
        <f t="shared" si="0"/>
        <v>9.0031724003371725</v>
      </c>
      <c r="C48"/>
    </row>
    <row r="49" spans="1:3" ht="15.75" x14ac:dyDescent="0.25">
      <c r="A49" s="257">
        <f t="shared" si="1"/>
        <v>2.8492389584241962</v>
      </c>
      <c r="B49">
        <f t="shared" si="0"/>
        <v>8.346871334291766</v>
      </c>
      <c r="C49"/>
    </row>
    <row r="50" spans="1:3" ht="15.75" x14ac:dyDescent="0.25">
      <c r="A50" s="257">
        <f t="shared" si="1"/>
        <v>3.1911476334350999</v>
      </c>
      <c r="B50">
        <f t="shared" si="0"/>
        <v>7.6988320977815325</v>
      </c>
      <c r="C50"/>
    </row>
    <row r="51" spans="1:3" ht="15.75" x14ac:dyDescent="0.25">
      <c r="A51" s="257">
        <f t="shared" si="1"/>
        <v>3.5740853494473122</v>
      </c>
      <c r="B51">
        <f t="shared" si="0"/>
        <v>7.0706135377630028</v>
      </c>
      <c r="C51"/>
    </row>
    <row r="52" spans="1:3" ht="15.75" x14ac:dyDescent="0.25">
      <c r="A52" s="257">
        <f t="shared" si="1"/>
        <v>4.0029755913809897</v>
      </c>
      <c r="B52">
        <f t="shared" si="0"/>
        <v>6.4700548290807349</v>
      </c>
      <c r="C52"/>
    </row>
    <row r="53" spans="1:3" ht="15.75" x14ac:dyDescent="0.25">
      <c r="A53" s="257">
        <f t="shared" si="1"/>
        <v>4.4833326623467089</v>
      </c>
      <c r="B53">
        <f t="shared" si="0"/>
        <v>5.9021642984661664</v>
      </c>
      <c r="C53"/>
    </row>
    <row r="54" spans="1:3" ht="15.75" x14ac:dyDescent="0.25">
      <c r="A54" s="257">
        <f t="shared" si="1"/>
        <v>5.0213325818283145</v>
      </c>
      <c r="B54">
        <f t="shared" si="0"/>
        <v>5.369817562192388</v>
      </c>
      <c r="C54"/>
    </row>
    <row r="55" spans="1:3" ht="15.75" x14ac:dyDescent="0.25">
      <c r="A55" s="257">
        <f t="shared" si="1"/>
        <v>5.6238924916477124</v>
      </c>
      <c r="B55">
        <f t="shared" si="0"/>
        <v>4.8743035229665415</v>
      </c>
      <c r="C55"/>
    </row>
    <row r="56" spans="1:3" ht="15.75" x14ac:dyDescent="0.25">
      <c r="A56" s="257">
        <f t="shared" si="1"/>
        <v>6.2987595906454388</v>
      </c>
      <c r="B56">
        <f t="shared" si="0"/>
        <v>4.4157493641047907</v>
      </c>
      <c r="C56"/>
    </row>
    <row r="57" spans="1:3" ht="15.75" x14ac:dyDescent="0.25">
      <c r="A57" s="257">
        <f t="shared" si="1"/>
        <v>7.0546107415228922</v>
      </c>
      <c r="B57">
        <f t="shared" si="0"/>
        <v>3.9934496010459979</v>
      </c>
      <c r="C57"/>
    </row>
    <row r="58" spans="1:3" ht="15.75" x14ac:dyDescent="0.25">
      <c r="A58" s="257">
        <f t="shared" si="1"/>
        <v>7.9011640305056403</v>
      </c>
      <c r="B58">
        <f t="shared" si="0"/>
        <v>3.6061192936011692</v>
      </c>
      <c r="C58"/>
    </row>
    <row r="59" spans="1:3" ht="15.75" x14ac:dyDescent="0.25">
      <c r="A59" s="257">
        <f t="shared" si="1"/>
        <v>8.849303714166318</v>
      </c>
      <c r="B59">
        <f t="shared" si="0"/>
        <v>3.2520874997623421</v>
      </c>
      <c r="C59"/>
    </row>
    <row r="60" spans="1:3" ht="15.75" x14ac:dyDescent="0.25">
      <c r="A60" s="257">
        <f t="shared" si="1"/>
        <v>9.9112201598662768</v>
      </c>
      <c r="B60">
        <f t="shared" si="0"/>
        <v>2.9294438003203327</v>
      </c>
      <c r="C60"/>
    </row>
    <row r="61" spans="1:3" ht="15.75" x14ac:dyDescent="0.25">
      <c r="A61" s="257">
        <f t="shared" si="1"/>
        <v>11.100566579050231</v>
      </c>
      <c r="B61">
        <f t="shared" si="0"/>
        <v>2.6361481039092767</v>
      </c>
      <c r="C61"/>
    </row>
    <row r="62" spans="1:3" ht="15.75" x14ac:dyDescent="0.25">
      <c r="A62" s="257">
        <f t="shared" si="1"/>
        <v>12.43263456853626</v>
      </c>
      <c r="B62">
        <f t="shared" si="0"/>
        <v>2.3701118375963377</v>
      </c>
      <c r="C62"/>
    </row>
    <row r="63" spans="1:3" ht="15.75" x14ac:dyDescent="0.25">
      <c r="A63" s="257">
        <f t="shared" si="1"/>
        <v>13.924550716760612</v>
      </c>
      <c r="B63">
        <f t="shared" si="0"/>
        <v>2.1292569417060792</v>
      </c>
      <c r="C63"/>
    </row>
    <row r="64" spans="1:3" ht="15.75" x14ac:dyDescent="0.25">
      <c r="A64" s="257">
        <f t="shared" si="1"/>
        <v>15.595496802771887</v>
      </c>
      <c r="B64">
        <f t="shared" si="0"/>
        <v>1.9115577392191125</v>
      </c>
      <c r="C64"/>
    </row>
    <row r="65" spans="1:3" ht="15.75" x14ac:dyDescent="0.25">
      <c r="A65" s="257">
        <f t="shared" si="1"/>
        <v>17.466956419104516</v>
      </c>
      <c r="B65">
        <f t="shared" si="0"/>
        <v>1.715069674305943</v>
      </c>
      <c r="C65"/>
    </row>
    <row r="66" spans="1:3" ht="15.75" x14ac:dyDescent="0.25">
      <c r="A66" s="257">
        <f t="shared" si="1"/>
        <v>19.56299118939706</v>
      </c>
      <c r="B66">
        <f t="shared" si="0"/>
        <v>1.5379480579709799</v>
      </c>
      <c r="C66"/>
    </row>
    <row r="67" spans="1:3" ht="15.75" x14ac:dyDescent="0.25">
      <c r="A67" s="257">
        <f t="shared" si="1"/>
        <v>21.910550132124708</v>
      </c>
      <c r="B67">
        <f t="shared" si="0"/>
        <v>1.3784592780685678</v>
      </c>
      <c r="C67"/>
    </row>
    <row r="68" spans="1:3" ht="15.75" x14ac:dyDescent="0.25">
      <c r="A68" s="257">
        <f t="shared" si="1"/>
        <v>24.539816147979675</v>
      </c>
      <c r="B68">
        <f t="shared" si="0"/>
        <v>1.2349863910722607</v>
      </c>
      <c r="C68"/>
    </row>
    <row r="69" spans="1:3" ht="15.75" x14ac:dyDescent="0.25">
      <c r="A69" s="257">
        <f t="shared" si="1"/>
        <v>27.484594085737239</v>
      </c>
      <c r="B69">
        <f t="shared" si="0"/>
        <v>1.1060305856652513</v>
      </c>
      <c r="C69"/>
    </row>
    <row r="70" spans="1:3" ht="15.75" x14ac:dyDescent="0.25">
      <c r="A70" s="257">
        <f t="shared" si="1"/>
        <v>30.782745376025712</v>
      </c>
      <c r="B70">
        <f t="shared" si="0"/>
        <v>0.99020967072801302</v>
      </c>
      <c r="C70"/>
    </row>
    <row r="71" spans="1:3" ht="15.75" x14ac:dyDescent="0.25">
      <c r="A71" s="257">
        <f t="shared" si="1"/>
        <v>34.476674821148798</v>
      </c>
      <c r="B71">
        <f t="shared" si="0"/>
        <v>0.88625447436137283</v>
      </c>
      <c r="C71"/>
    </row>
    <row r="72" spans="1:3" ht="15.75" x14ac:dyDescent="0.25">
      <c r="A72" s="257">
        <f t="shared" si="1"/>
        <v>38.61387579968666</v>
      </c>
      <c r="B72">
        <f t="shared" si="0"/>
        <v>0.7930038315555441</v>
      </c>
      <c r="C72"/>
    </row>
    <row r="73" spans="1:3" ht="15.75" x14ac:dyDescent="0.25">
      <c r="A73" s="257">
        <f t="shared" si="1"/>
        <v>43.247540895649067</v>
      </c>
      <c r="B73">
        <f t="shared" si="0"/>
        <v>0.70939867427782266</v>
      </c>
      <c r="C73"/>
    </row>
    <row r="74" spans="1:3" ht="15.75" x14ac:dyDescent="0.25">
      <c r="A74" s="257">
        <f t="shared" si="1"/>
        <v>48.437245803126956</v>
      </c>
      <c r="B74">
        <f t="shared" si="0"/>
        <v>0.6344756097375035</v>
      </c>
      <c r="C74"/>
    </row>
    <row r="75" spans="1:3" ht="15.75" x14ac:dyDescent="0.25">
      <c r="A75" s="257">
        <f t="shared" si="1"/>
        <v>54.249715299502199</v>
      </c>
      <c r="B75">
        <f t="shared" si="0"/>
        <v>0.56736027292171731</v>
      </c>
      <c r="C75"/>
    </row>
    <row r="76" spans="1:3" ht="15.75" x14ac:dyDescent="0.25">
      <c r="A76" s="257">
        <f t="shared" si="1"/>
        <v>60.75968113544247</v>
      </c>
      <c r="B76">
        <f t="shared" si="0"/>
        <v>0.50726066222361643</v>
      </c>
      <c r="C76"/>
    </row>
    <row r="77" spans="1:3" ht="15.75" x14ac:dyDescent="0.25">
      <c r="A77" s="257">
        <f t="shared" si="1"/>
        <v>68.050842871695579</v>
      </c>
      <c r="B77">
        <f t="shared" si="0"/>
        <v>0.45346060736391569</v>
      </c>
      <c r="C77"/>
    </row>
    <row r="78" spans="1:3" ht="15.75" x14ac:dyDescent="0.25">
      <c r="A78" s="257">
        <f t="shared" si="1"/>
        <v>76.216944016299053</v>
      </c>
      <c r="B78">
        <f t="shared" si="0"/>
        <v>0.40531347307015619</v>
      </c>
      <c r="C78"/>
    </row>
    <row r="79" spans="1:3" ht="15.75" x14ac:dyDescent="0.25">
      <c r="A79" s="257">
        <f t="shared" si="1"/>
        <v>85.362977298254947</v>
      </c>
      <c r="B79">
        <f t="shared" si="0"/>
        <v>0.36223616713442169</v>
      </c>
      <c r="C79"/>
    </row>
    <row r="80" spans="1:3" ht="15.75" x14ac:dyDescent="0.25">
      <c r="A80" s="257">
        <f t="shared" si="1"/>
        <v>95.606534574045554</v>
      </c>
      <c r="B80">
        <f t="shared" si="0"/>
        <v>0.32370349514913721</v>
      </c>
      <c r="C80"/>
    </row>
    <row r="81" spans="1:3" ht="15.75" x14ac:dyDescent="0.25">
      <c r="A81" s="257">
        <f t="shared" si="1"/>
        <v>107.07931872293103</v>
      </c>
      <c r="B81">
        <f t="shared" si="0"/>
        <v>0.28924288454605457</v>
      </c>
      <c r="C81"/>
    </row>
    <row r="82" spans="1:3" ht="15.75" x14ac:dyDescent="0.25">
      <c r="A82" s="257">
        <f t="shared" si="1"/>
        <v>119.92883696968278</v>
      </c>
      <c r="B82">
        <f t="shared" si="0"/>
        <v>0.25842948605340432</v>
      </c>
      <c r="C82"/>
    </row>
    <row r="83" spans="1:3" ht="15.75" x14ac:dyDescent="0.25">
      <c r="A83" s="257">
        <f t="shared" si="1"/>
        <v>134.32029740604472</v>
      </c>
      <c r="B83">
        <f t="shared" si="0"/>
        <v>0.23088165017152368</v>
      </c>
      <c r="C83"/>
    </row>
    <row r="84" spans="1:3" ht="15.75" x14ac:dyDescent="0.25">
      <c r="A84" s="257">
        <f t="shared" si="1"/>
        <v>150.4387330947701</v>
      </c>
      <c r="B84">
        <f t="shared" si="0"/>
        <v>0.20625676882795976</v>
      </c>
      <c r="C84"/>
    </row>
    <row r="85" spans="1:3" ht="15.75" x14ac:dyDescent="0.25">
      <c r="A85" s="257">
        <f t="shared" si="1"/>
        <v>168.49138106614254</v>
      </c>
      <c r="B85">
        <f t="shared" si="0"/>
        <v>0.18424746728649455</v>
      </c>
      <c r="C85"/>
    </row>
    <row r="86" spans="1:3" ht="15.75" x14ac:dyDescent="0.25">
      <c r="A86" s="257">
        <f t="shared" si="1"/>
        <v>188.71034679407967</v>
      </c>
      <c r="B86">
        <f>($B$10*$I$1/(A86-$B$14)-$B$13/A86^2)/100</f>
        <v>0.16457812808466568</v>
      </c>
      <c r="C86"/>
    </row>
    <row r="87" spans="1:3" ht="15.75" x14ac:dyDescent="0.25">
      <c r="A87"/>
      <c r="B87"/>
      <c r="C87"/>
    </row>
    <row r="88" spans="1:3" ht="15.75" x14ac:dyDescent="0.25">
      <c r="A88"/>
      <c r="B88"/>
      <c r="C88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88"/>
  <sheetViews>
    <sheetView workbookViewId="0"/>
  </sheetViews>
  <sheetFormatPr defaultColWidth="8" defaultRowHeight="12.75" x14ac:dyDescent="0.2"/>
  <cols>
    <col min="1" max="2" width="8" style="2"/>
    <col min="3" max="3" width="8.375" style="2" bestFit="1" customWidth="1"/>
    <col min="4" max="4" width="8" style="2"/>
    <col min="5" max="5" width="12.5" style="2" customWidth="1"/>
    <col min="6" max="16384" width="8" style="2"/>
  </cols>
  <sheetData>
    <row r="1" spans="1:14" ht="18" x14ac:dyDescent="0.25">
      <c r="A1" s="143" t="str">
        <f>' T = Tb'!A1</f>
        <v>Benzene</v>
      </c>
      <c r="E1" s="2" t="s">
        <v>0</v>
      </c>
      <c r="F1" s="2">
        <v>1</v>
      </c>
      <c r="H1" s="3" t="s">
        <v>1</v>
      </c>
      <c r="I1" s="2">
        <f>' T = Tb'!O17</f>
        <v>390.38756099432965</v>
      </c>
      <c r="J1" s="2" t="s">
        <v>2</v>
      </c>
    </row>
    <row r="2" spans="1:14" ht="15.75" x14ac:dyDescent="0.3">
      <c r="A2" s="4" t="s">
        <v>15</v>
      </c>
      <c r="B2" s="5">
        <f>' T = Tb'!B2</f>
        <v>78.114000000000004</v>
      </c>
      <c r="C2" s="2" t="s">
        <v>3</v>
      </c>
      <c r="E2" s="4" t="s">
        <v>4</v>
      </c>
      <c r="F2" s="2">
        <f>' T = Tb'!F2</f>
        <v>-7.0143300000000002</v>
      </c>
      <c r="H2" s="3" t="s">
        <v>16</v>
      </c>
      <c r="I2" s="2">
        <f>1-I1/B3</f>
        <v>0.30555791768477003</v>
      </c>
      <c r="M2" s="4"/>
    </row>
    <row r="3" spans="1:14" ht="15.75" x14ac:dyDescent="0.3">
      <c r="A3" s="4" t="s">
        <v>17</v>
      </c>
      <c r="B3" s="5">
        <f>' T = Tb'!B3</f>
        <v>562.16</v>
      </c>
      <c r="C3" s="2" t="s">
        <v>2</v>
      </c>
      <c r="E3" s="4" t="s">
        <v>5</v>
      </c>
      <c r="F3" s="2">
        <f>' T = Tb'!F3</f>
        <v>1.5525599999999999</v>
      </c>
      <c r="H3" s="3" t="s">
        <v>6</v>
      </c>
      <c r="I3" s="144">
        <f>(B4*EXP((F2*I2+F3*I2^1.5+F4*I2^2.5+F5*I2^5)/(1-I2)))</f>
        <v>2.804192214432971</v>
      </c>
      <c r="J3" s="2" t="s">
        <v>7</v>
      </c>
      <c r="M3" s="4"/>
    </row>
    <row r="4" spans="1:14" ht="15.75" x14ac:dyDescent="0.3">
      <c r="A4" s="4" t="s">
        <v>18</v>
      </c>
      <c r="B4" s="5">
        <f>' T = Tb'!B4</f>
        <v>48.98</v>
      </c>
      <c r="C4" s="2" t="s">
        <v>7</v>
      </c>
      <c r="E4" s="4" t="s">
        <v>8</v>
      </c>
      <c r="F4" s="2">
        <f>' T = Tb'!F4</f>
        <v>-1.8479000000000001</v>
      </c>
      <c r="H4" s="3" t="s">
        <v>6</v>
      </c>
      <c r="I4" s="2">
        <f>I3*100</f>
        <v>280.41922144329709</v>
      </c>
      <c r="J4" s="2" t="s">
        <v>9</v>
      </c>
      <c r="M4" s="4"/>
      <c r="N4" s="6"/>
    </row>
    <row r="5" spans="1:14" ht="15.75" x14ac:dyDescent="0.3">
      <c r="A5" s="4" t="s">
        <v>18</v>
      </c>
      <c r="B5" s="5">
        <f>' T = Tb'!B5</f>
        <v>4898</v>
      </c>
      <c r="C5" s="2" t="s">
        <v>9</v>
      </c>
      <c r="E5" s="4" t="s">
        <v>10</v>
      </c>
      <c r="F5" s="2">
        <f>' T = Tb'!F5</f>
        <v>-3.7130000000000001</v>
      </c>
      <c r="H5" s="4"/>
      <c r="M5" s="4"/>
      <c r="N5" s="6"/>
    </row>
    <row r="6" spans="1:14" ht="15.75" x14ac:dyDescent="0.3">
      <c r="A6" s="4" t="s">
        <v>19</v>
      </c>
      <c r="B6" s="5">
        <f>' T = Tb'!B6</f>
        <v>256</v>
      </c>
      <c r="C6" s="2" t="s">
        <v>20</v>
      </c>
      <c r="E6" s="4" t="s">
        <v>21</v>
      </c>
      <c r="F6" s="2">
        <f>' T = Tb'!F6</f>
        <v>250</v>
      </c>
      <c r="G6" s="7">
        <f>F6/B3</f>
        <v>0.44471324889711117</v>
      </c>
      <c r="H6" s="2" t="s">
        <v>22</v>
      </c>
      <c r="I6" s="2">
        <v>2.5712194055283128E-3</v>
      </c>
    </row>
    <row r="7" spans="1:14" ht="15.75" x14ac:dyDescent="0.3">
      <c r="A7" s="4" t="s">
        <v>19</v>
      </c>
      <c r="B7" s="5">
        <f>' T = Tb'!B7</f>
        <v>0.25600000000000001</v>
      </c>
      <c r="C7" s="8" t="s">
        <v>23</v>
      </c>
      <c r="E7" s="4" t="s">
        <v>24</v>
      </c>
      <c r="F7" s="2">
        <f>' T = Tb'!F7</f>
        <v>562.16</v>
      </c>
      <c r="G7" s="7">
        <f>F7/B3</f>
        <v>1</v>
      </c>
      <c r="H7" s="2" t="s">
        <v>25</v>
      </c>
      <c r="I7" s="2">
        <f>I6/I3</f>
        <v>9.1691981465979251E-4</v>
      </c>
    </row>
    <row r="8" spans="1:14" ht="15.75" x14ac:dyDescent="0.3">
      <c r="A8" s="4" t="s">
        <v>26</v>
      </c>
      <c r="B8" s="5">
        <f>' T = Tb'!B8</f>
        <v>0.26800000000000002</v>
      </c>
      <c r="E8" s="4" t="s">
        <v>27</v>
      </c>
      <c r="F8" s="18">
        <f>' T = Tb'!F8</f>
        <v>353.24</v>
      </c>
      <c r="G8" s="7">
        <f>F8/B3</f>
        <v>0.6283620321616622</v>
      </c>
      <c r="H8" s="2" t="s">
        <v>28</v>
      </c>
    </row>
    <row r="9" spans="1:14" x14ac:dyDescent="0.2">
      <c r="A9" s="9" t="s">
        <v>29</v>
      </c>
      <c r="B9" s="5">
        <f>' T = Tb'!B9</f>
        <v>0.21</v>
      </c>
      <c r="E9" s="4"/>
      <c r="F9" s="2">
        <f>' T = Tb'!F9</f>
        <v>101.325</v>
      </c>
      <c r="K9" s="4"/>
    </row>
    <row r="10" spans="1:14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4" x14ac:dyDescent="0.2">
      <c r="A11" s="10" t="s">
        <v>13</v>
      </c>
      <c r="K11" s="11"/>
    </row>
    <row r="12" spans="1:14" ht="18.75" x14ac:dyDescent="0.3">
      <c r="A12" s="13" t="s">
        <v>31</v>
      </c>
      <c r="B12" s="14">
        <f>27/64*(B10*B3)^2/B5</f>
        <v>1881.7339064250737</v>
      </c>
      <c r="C12" s="15"/>
      <c r="E12" s="16" t="s">
        <v>14</v>
      </c>
      <c r="H12" s="4" t="s">
        <v>32</v>
      </c>
      <c r="I12" s="191">
        <f>(2*B19)-B14-(B10*I1/I4)</f>
        <v>-11.694388221998343</v>
      </c>
      <c r="J12" s="17">
        <f>-(B18+B15+B16)</f>
        <v>-11.694388221998343</v>
      </c>
      <c r="K12" s="6"/>
    </row>
    <row r="13" spans="1:14" ht="18.75" x14ac:dyDescent="0.3">
      <c r="A13" s="13" t="s">
        <v>33</v>
      </c>
      <c r="B13" s="156">
        <v>2434.561619718203</v>
      </c>
      <c r="C13" s="157">
        <f>' T = Tb'!P16</f>
        <v>2495.8128886660506</v>
      </c>
      <c r="E13" s="193">
        <f>ABS(B10*I1*LN((B16-B14)/(B15-B14))+B13*(1/(B16+B19)-1/(B15+B19))-I4*(B16-B15))</f>
        <v>4.6594042248216283E-2</v>
      </c>
      <c r="F13" s="21">
        <f>E13+E15+E16</f>
        <v>4.6599305126349577E-2</v>
      </c>
      <c r="H13" s="4" t="s">
        <v>34</v>
      </c>
      <c r="I13" s="191">
        <f>(B19^2)-(2*B19*B14)-(2*B10*I1*B19/I4)+(B13/I4)</f>
        <v>8.681864271599121</v>
      </c>
      <c r="J13" s="17">
        <f>B15*B16+B15*B18+B18*B16</f>
        <v>8.6818642720427235</v>
      </c>
      <c r="K13" s="6"/>
      <c r="L13" s="26">
        <f>B13/B12</f>
        <v>1.293786337911822</v>
      </c>
    </row>
    <row r="14" spans="1:14" ht="18.75" x14ac:dyDescent="0.5">
      <c r="A14" s="147" t="s">
        <v>35</v>
      </c>
      <c r="B14" s="262">
        <f>B10*B3/8/B5</f>
        <v>0.11928554873417722</v>
      </c>
      <c r="C14" s="263" t="s">
        <v>23</v>
      </c>
      <c r="H14" s="4" t="s">
        <v>36</v>
      </c>
      <c r="I14" s="191">
        <f>(-B14*(B19^2))-(B10*I1*(B19^2)/I4)-(B13*B14/I4)</f>
        <v>-1.035620943673349</v>
      </c>
      <c r="J14" s="17">
        <f>-(B18*B15*B16)</f>
        <v>-1.0356209437397967</v>
      </c>
      <c r="K14" s="6"/>
      <c r="L14" s="26">
        <f>B15/B14</f>
        <v>1.2464651333849306</v>
      </c>
      <c r="N14" s="4"/>
    </row>
    <row r="15" spans="1:14" ht="19.5" x14ac:dyDescent="0.5">
      <c r="A15" s="135" t="s">
        <v>37</v>
      </c>
      <c r="B15" s="264">
        <v>0.14868527741384086</v>
      </c>
      <c r="C15" s="263" t="s">
        <v>23</v>
      </c>
      <c r="D15" s="24" t="s">
        <v>38</v>
      </c>
      <c r="E15" s="25">
        <f>1000000*ABS(B15^3+I12*B15^2+I13*B15+I14)</f>
        <v>4.9071857688431919E-7</v>
      </c>
      <c r="K15" s="4"/>
      <c r="L15" s="26">
        <f>B16/B17</f>
        <v>0.94229069015319866</v>
      </c>
    </row>
    <row r="16" spans="1:14" ht="19.5" x14ac:dyDescent="0.5">
      <c r="A16" s="135" t="s">
        <v>39</v>
      </c>
      <c r="B16" s="265">
        <v>10.907111486584226</v>
      </c>
      <c r="C16" s="263" t="s">
        <v>23</v>
      </c>
      <c r="D16" s="24" t="s">
        <v>40</v>
      </c>
      <c r="E16" s="25">
        <f>1000*ABS(B16^3+I12*B16^2+I13*B16+I14)</f>
        <v>4.7721595564098607E-6</v>
      </c>
      <c r="L16" s="26"/>
    </row>
    <row r="17" spans="1:12" ht="19.5" x14ac:dyDescent="0.5">
      <c r="A17" s="139" t="s">
        <v>41</v>
      </c>
      <c r="B17" s="148">
        <f>B10*I1/I4</f>
        <v>11.575102673264166</v>
      </c>
      <c r="C17" s="263" t="s">
        <v>23</v>
      </c>
      <c r="D17" s="24" t="s">
        <v>42</v>
      </c>
      <c r="E17" s="29">
        <f>1000*ABS(B18^3+I12*B18^2+I13*B18+I14)</f>
        <v>2.1683277395823097E-7</v>
      </c>
      <c r="H17" s="12"/>
      <c r="I17" s="4"/>
      <c r="J17" s="17"/>
      <c r="L17" s="25"/>
    </row>
    <row r="18" spans="1:12" ht="19.5" x14ac:dyDescent="0.5">
      <c r="A18" s="135" t="s">
        <v>43</v>
      </c>
      <c r="B18" s="138">
        <f>-I12-B15-B16</f>
        <v>0.63859145800027584</v>
      </c>
      <c r="C18" s="263" t="s">
        <v>23</v>
      </c>
      <c r="D18" s="4"/>
      <c r="E18" s="29"/>
      <c r="H18" s="12"/>
      <c r="I18" s="4"/>
      <c r="J18" s="17"/>
      <c r="L18" s="25"/>
    </row>
    <row r="19" spans="1:12" x14ac:dyDescent="0.2">
      <c r="A19" s="149" t="s">
        <v>132</v>
      </c>
      <c r="B19" s="259">
        <v>0</v>
      </c>
      <c r="C19" s="258">
        <v>1.1499999999999999</v>
      </c>
      <c r="D19" s="29"/>
      <c r="E19" s="4"/>
      <c r="G19" s="4"/>
      <c r="H19" s="12"/>
      <c r="I19" s="4"/>
      <c r="J19" s="17"/>
      <c r="L19" s="3"/>
    </row>
    <row r="20" spans="1:12" ht="15.75" x14ac:dyDescent="0.25">
      <c r="A20" s="256" t="s">
        <v>44</v>
      </c>
      <c r="B20" s="256" t="s">
        <v>45</v>
      </c>
      <c r="C20" s="256" t="s">
        <v>169</v>
      </c>
      <c r="D20" s="21"/>
      <c r="E20" s="4"/>
      <c r="I20" s="4"/>
      <c r="J20" s="17"/>
      <c r="K20" s="21"/>
    </row>
    <row r="21" spans="1:12" ht="15.75" x14ac:dyDescent="0.25">
      <c r="A21" s="257">
        <f>B14+0.00001</f>
        <v>0.11929554873417722</v>
      </c>
      <c r="B21">
        <f>($B$10*$I$1/(A21-$B$14)-$B$13/A21^2)/100</f>
        <v>3244170.5859191287</v>
      </c>
      <c r="C21"/>
      <c r="E21" s="4"/>
    </row>
    <row r="22" spans="1:12" ht="15.75" x14ac:dyDescent="0.25">
      <c r="A22" s="257">
        <f>A21*$C$19</f>
        <v>0.1371898810443038</v>
      </c>
      <c r="B22">
        <f t="shared" ref="B22:B85" si="0">($B$10*$I$1/(A22-$B$14)-$B$13/A22^2)/100</f>
        <v>519.37240529847031</v>
      </c>
      <c r="C22"/>
      <c r="E22" s="195"/>
    </row>
    <row r="23" spans="1:12" ht="15.75" x14ac:dyDescent="0.25">
      <c r="A23" s="257">
        <f t="shared" ref="A23:A86" si="1">A22*$C$19</f>
        <v>0.15776836320094936</v>
      </c>
      <c r="B23">
        <f t="shared" si="0"/>
        <v>-134.63220876420644</v>
      </c>
      <c r="C23"/>
    </row>
    <row r="24" spans="1:12" ht="15.75" x14ac:dyDescent="0.25">
      <c r="A24" s="257">
        <f t="shared" si="1"/>
        <v>0.18143361768109176</v>
      </c>
      <c r="B24">
        <f t="shared" si="0"/>
        <v>-217.29823700819878</v>
      </c>
      <c r="C24"/>
      <c r="J24" s="5"/>
    </row>
    <row r="25" spans="1:12" ht="15.75" x14ac:dyDescent="0.25">
      <c r="A25" s="257">
        <f t="shared" si="1"/>
        <v>0.20864866033325549</v>
      </c>
      <c r="B25">
        <f t="shared" si="0"/>
        <v>-196.0050096908387</v>
      </c>
      <c r="C25"/>
      <c r="J25" s="17"/>
      <c r="K25" s="17"/>
    </row>
    <row r="26" spans="1:12" ht="15.75" x14ac:dyDescent="0.25">
      <c r="A26" s="257">
        <f t="shared" si="1"/>
        <v>0.23994595938324378</v>
      </c>
      <c r="B26">
        <f t="shared" si="0"/>
        <v>-153.84772227046327</v>
      </c>
      <c r="C26"/>
      <c r="J26" s="5"/>
      <c r="K26" s="17"/>
    </row>
    <row r="27" spans="1:12" ht="15.75" x14ac:dyDescent="0.25">
      <c r="A27" s="257">
        <f t="shared" si="1"/>
        <v>0.27593785329073034</v>
      </c>
      <c r="B27">
        <f t="shared" si="0"/>
        <v>-112.53800503317332</v>
      </c>
      <c r="C27"/>
      <c r="J27" s="17"/>
      <c r="K27" s="17"/>
    </row>
    <row r="28" spans="1:12" ht="15.75" x14ac:dyDescent="0.25">
      <c r="A28" s="257">
        <f t="shared" si="1"/>
        <v>0.31732853128433985</v>
      </c>
      <c r="B28">
        <f t="shared" si="0"/>
        <v>-77.872246910745091</v>
      </c>
      <c r="C28"/>
    </row>
    <row r="29" spans="1:12" ht="15.75" x14ac:dyDescent="0.25">
      <c r="A29" s="257">
        <f t="shared" si="1"/>
        <v>0.36492781097699079</v>
      </c>
      <c r="B29">
        <f t="shared" si="0"/>
        <v>-50.674352041831533</v>
      </c>
      <c r="C29"/>
      <c r="D29"/>
      <c r="E29"/>
      <c r="F29"/>
    </row>
    <row r="30" spans="1:12" ht="15.75" x14ac:dyDescent="0.25">
      <c r="A30" s="257">
        <f t="shared" si="1"/>
        <v>0.41966698262353935</v>
      </c>
      <c r="B30">
        <f t="shared" si="0"/>
        <v>-30.174167666542672</v>
      </c>
      <c r="C30"/>
      <c r="D30"/>
      <c r="E30"/>
      <c r="F30"/>
      <c r="J30" s="4"/>
      <c r="K30" s="18"/>
    </row>
    <row r="31" spans="1:12" ht="15.75" x14ac:dyDescent="0.25">
      <c r="A31" s="257">
        <f t="shared" si="1"/>
        <v>0.48261703001707024</v>
      </c>
      <c r="B31">
        <f t="shared" si="0"/>
        <v>-15.187233721940647</v>
      </c>
      <c r="C31"/>
      <c r="D31"/>
      <c r="E31"/>
      <c r="F31"/>
      <c r="J31" s="4"/>
      <c r="K31" s="18"/>
    </row>
    <row r="32" spans="1:12" ht="15.75" x14ac:dyDescent="0.25">
      <c r="A32" s="257">
        <f t="shared" si="1"/>
        <v>0.55500958451963078</v>
      </c>
      <c r="B32">
        <f t="shared" si="0"/>
        <v>-4.5410942649577279</v>
      </c>
      <c r="C32"/>
      <c r="D32"/>
      <c r="E32"/>
      <c r="F32"/>
      <c r="J32" s="4"/>
      <c r="K32" s="37"/>
    </row>
    <row r="33" spans="1:11" ht="15.75" x14ac:dyDescent="0.25">
      <c r="A33" s="257">
        <f t="shared" si="1"/>
        <v>0.6382610221975753</v>
      </c>
      <c r="B33">
        <f t="shared" si="0"/>
        <v>2.7821582288027367</v>
      </c>
      <c r="C33"/>
      <c r="D33"/>
      <c r="E33"/>
      <c r="F33"/>
      <c r="J33" s="4"/>
      <c r="K33" s="18"/>
    </row>
    <row r="34" spans="1:11" ht="15.75" x14ac:dyDescent="0.25">
      <c r="A34" s="257">
        <f t="shared" si="1"/>
        <v>0.73400017552721153</v>
      </c>
      <c r="B34">
        <f t="shared" si="0"/>
        <v>7.6145052324548486</v>
      </c>
      <c r="C34"/>
      <c r="D34"/>
      <c r="E34"/>
      <c r="F34"/>
    </row>
    <row r="35" spans="1:11" ht="15.75" x14ac:dyDescent="0.25">
      <c r="A35" s="257">
        <f t="shared" si="1"/>
        <v>0.8441002018562932</v>
      </c>
      <c r="B35">
        <f t="shared" si="0"/>
        <v>10.613186009708002</v>
      </c>
      <c r="C35"/>
      <c r="D35"/>
      <c r="E35"/>
      <c r="F35"/>
    </row>
    <row r="36" spans="1:11" ht="15.75" x14ac:dyDescent="0.25">
      <c r="A36" s="257">
        <f t="shared" si="1"/>
        <v>0.97071523213473709</v>
      </c>
      <c r="B36">
        <f t="shared" si="0"/>
        <v>12.286014555266725</v>
      </c>
      <c r="C36"/>
      <c r="D36"/>
      <c r="E36"/>
      <c r="F36"/>
    </row>
    <row r="37" spans="1:11" ht="15.75" x14ac:dyDescent="0.25">
      <c r="A37" s="257">
        <f t="shared" si="1"/>
        <v>1.1163225169549476</v>
      </c>
      <c r="B37">
        <f t="shared" si="0"/>
        <v>13.019016235386568</v>
      </c>
      <c r="C37"/>
      <c r="D37"/>
      <c r="E37"/>
      <c r="F37"/>
    </row>
    <row r="38" spans="1:11" ht="15.75" x14ac:dyDescent="0.25">
      <c r="A38" s="257">
        <f t="shared" si="1"/>
        <v>1.2837708944981896</v>
      </c>
      <c r="B38">
        <f t="shared" si="0"/>
        <v>13.101737144272342</v>
      </c>
      <c r="C38"/>
      <c r="D38"/>
      <c r="E38"/>
      <c r="F38"/>
    </row>
    <row r="39" spans="1:11" ht="15.75" x14ac:dyDescent="0.25">
      <c r="A39" s="257">
        <f t="shared" si="1"/>
        <v>1.476336528672918</v>
      </c>
      <c r="B39">
        <f t="shared" si="0"/>
        <v>12.748719804265249</v>
      </c>
      <c r="C39"/>
      <c r="D39"/>
      <c r="E39"/>
      <c r="F39"/>
    </row>
    <row r="40" spans="1:11" ht="15.75" x14ac:dyDescent="0.25">
      <c r="A40" s="257">
        <f t="shared" si="1"/>
        <v>1.6977870079738555</v>
      </c>
      <c r="B40">
        <f t="shared" si="0"/>
        <v>12.116991466705521</v>
      </c>
      <c r="C40"/>
    </row>
    <row r="41" spans="1:11" ht="15.75" x14ac:dyDescent="0.25">
      <c r="A41" s="257">
        <f t="shared" si="1"/>
        <v>1.9524550591699337</v>
      </c>
      <c r="B41">
        <f t="shared" si="0"/>
        <v>11.319951505857484</v>
      </c>
      <c r="C41"/>
    </row>
    <row r="42" spans="1:11" ht="15.75" x14ac:dyDescent="0.25">
      <c r="A42" s="257">
        <f t="shared" si="1"/>
        <v>2.2453233180454237</v>
      </c>
      <c r="B42">
        <f t="shared" si="0"/>
        <v>10.438215065372214</v>
      </c>
      <c r="C42"/>
    </row>
    <row r="43" spans="1:11" ht="15.75" x14ac:dyDescent="0.25">
      <c r="A43" s="257">
        <f t="shared" si="1"/>
        <v>2.5821218157522372</v>
      </c>
      <c r="B43">
        <f t="shared" si="0"/>
        <v>9.5279775829292923</v>
      </c>
      <c r="C43"/>
    </row>
    <row r="44" spans="1:11" ht="15.75" x14ac:dyDescent="0.25">
      <c r="A44" s="257">
        <f t="shared" si="1"/>
        <v>2.9694400881150727</v>
      </c>
      <c r="B44">
        <f t="shared" si="0"/>
        <v>8.6274063421536091</v>
      </c>
      <c r="C44"/>
    </row>
    <row r="45" spans="1:11" ht="15.75" x14ac:dyDescent="0.25">
      <c r="A45" s="257">
        <f t="shared" si="1"/>
        <v>3.4148561013323331</v>
      </c>
      <c r="B45">
        <f t="shared" si="0"/>
        <v>7.7614862593894873</v>
      </c>
      <c r="C45"/>
    </row>
    <row r="46" spans="1:11" ht="15.75" x14ac:dyDescent="0.25">
      <c r="A46" s="257">
        <f t="shared" si="1"/>
        <v>3.9270845165321826</v>
      </c>
      <c r="B46">
        <f t="shared" si="0"/>
        <v>6.9456681924741908</v>
      </c>
      <c r="C46"/>
    </row>
    <row r="47" spans="1:11" ht="15.75" x14ac:dyDescent="0.25">
      <c r="A47" s="257">
        <f t="shared" si="1"/>
        <v>4.5161471940120093</v>
      </c>
      <c r="B47">
        <f t="shared" si="0"/>
        <v>6.188597536464564</v>
      </c>
      <c r="C47"/>
    </row>
    <row r="48" spans="1:11" ht="15.75" x14ac:dyDescent="0.25">
      <c r="A48" s="257">
        <f t="shared" si="1"/>
        <v>5.1935692731138099</v>
      </c>
      <c r="B48">
        <f t="shared" si="0"/>
        <v>5.4941413367400944</v>
      </c>
      <c r="C48"/>
    </row>
    <row r="49" spans="1:3" ht="15.75" x14ac:dyDescent="0.25">
      <c r="A49" s="257">
        <f t="shared" si="1"/>
        <v>5.9726046640808805</v>
      </c>
      <c r="B49">
        <f t="shared" si="0"/>
        <v>4.8628835391972665</v>
      </c>
      <c r="C49"/>
    </row>
    <row r="50" spans="1:3" ht="15.75" x14ac:dyDescent="0.25">
      <c r="A50" s="257">
        <f t="shared" si="1"/>
        <v>6.8684953636930119</v>
      </c>
      <c r="B50">
        <f t="shared" si="0"/>
        <v>4.2932191461390126</v>
      </c>
      <c r="C50"/>
    </row>
    <row r="51" spans="1:3" ht="15.75" x14ac:dyDescent="0.25">
      <c r="A51" s="257">
        <f t="shared" si="1"/>
        <v>7.8987696682469632</v>
      </c>
      <c r="B51">
        <f t="shared" si="0"/>
        <v>3.7821474465547902</v>
      </c>
      <c r="C51"/>
    </row>
    <row r="52" spans="1:3" ht="15.75" x14ac:dyDescent="0.25">
      <c r="A52" s="257">
        <f t="shared" si="1"/>
        <v>9.0835851184840077</v>
      </c>
      <c r="B52">
        <f t="shared" si="0"/>
        <v>3.3258406406638317</v>
      </c>
      <c r="C52"/>
    </row>
    <row r="53" spans="1:3" ht="15.75" x14ac:dyDescent="0.25">
      <c r="A53" s="257">
        <f t="shared" si="1"/>
        <v>10.446122886256608</v>
      </c>
      <c r="B53">
        <f t="shared" si="0"/>
        <v>2.9200457376650091</v>
      </c>
      <c r="C53"/>
    </row>
    <row r="54" spans="1:3" ht="15.75" x14ac:dyDescent="0.25">
      <c r="A54" s="257">
        <f t="shared" si="1"/>
        <v>12.013041319195098</v>
      </c>
      <c r="B54">
        <f t="shared" si="0"/>
        <v>2.560363434070954</v>
      </c>
      <c r="C54"/>
    </row>
    <row r="55" spans="1:3" ht="15.75" x14ac:dyDescent="0.25">
      <c r="A55" s="257">
        <f t="shared" si="1"/>
        <v>13.814997517074362</v>
      </c>
      <c r="B55">
        <f t="shared" si="0"/>
        <v>2.2424368438677593</v>
      </c>
      <c r="C55"/>
    </row>
    <row r="56" spans="1:3" ht="15.75" x14ac:dyDescent="0.25">
      <c r="A56" s="257">
        <f t="shared" si="1"/>
        <v>15.887247144635515</v>
      </c>
      <c r="B56">
        <f t="shared" si="0"/>
        <v>1.9620747010810953</v>
      </c>
      <c r="C56"/>
    </row>
    <row r="57" spans="1:3" ht="15.75" x14ac:dyDescent="0.25">
      <c r="A57" s="257">
        <f t="shared" si="1"/>
        <v>18.270334216330841</v>
      </c>
      <c r="B57">
        <f t="shared" si="0"/>
        <v>1.7153273967007234</v>
      </c>
      <c r="C57"/>
    </row>
    <row r="58" spans="1:3" ht="15.75" x14ac:dyDescent="0.25">
      <c r="A58" s="257">
        <f t="shared" si="1"/>
        <v>21.010884348780465</v>
      </c>
      <c r="B58">
        <f t="shared" si="0"/>
        <v>1.4985294806564593</v>
      </c>
      <c r="C58"/>
    </row>
    <row r="59" spans="1:3" ht="15.75" x14ac:dyDescent="0.25">
      <c r="A59" s="257">
        <f t="shared" si="1"/>
        <v>24.162517001097534</v>
      </c>
      <c r="B59">
        <f t="shared" si="0"/>
        <v>1.3083186946786471</v>
      </c>
      <c r="C59"/>
    </row>
    <row r="60" spans="1:3" ht="15.75" x14ac:dyDescent="0.25">
      <c r="A60" s="257">
        <f t="shared" si="1"/>
        <v>27.786894551262161</v>
      </c>
      <c r="B60">
        <f t="shared" si="0"/>
        <v>1.1416389246930316</v>
      </c>
      <c r="C60"/>
    </row>
    <row r="61" spans="1:3" ht="15.75" x14ac:dyDescent="0.25">
      <c r="A61" s="257">
        <f t="shared" si="1"/>
        <v>31.954928733951483</v>
      </c>
      <c r="B61">
        <f t="shared" si="0"/>
        <v>0.99573245771135932</v>
      </c>
      <c r="C61"/>
    </row>
    <row r="62" spans="1:3" ht="15.75" x14ac:dyDescent="0.25">
      <c r="A62" s="257">
        <f t="shared" si="1"/>
        <v>36.748168044044206</v>
      </c>
      <c r="B62">
        <f t="shared" si="0"/>
        <v>0.86812543404238529</v>
      </c>
      <c r="C62"/>
    </row>
    <row r="63" spans="1:3" ht="15.75" x14ac:dyDescent="0.25">
      <c r="A63" s="257">
        <f t="shared" si="1"/>
        <v>42.260393250650836</v>
      </c>
      <c r="B63">
        <f t="shared" si="0"/>
        <v>0.75660927598763028</v>
      </c>
      <c r="C63"/>
    </row>
    <row r="64" spans="1:3" ht="15.75" x14ac:dyDescent="0.25">
      <c r="A64" s="257">
        <f t="shared" si="1"/>
        <v>48.59945223824846</v>
      </c>
      <c r="B64">
        <f t="shared" si="0"/>
        <v>0.65922005385040439</v>
      </c>
      <c r="C64"/>
    </row>
    <row r="65" spans="1:3" ht="15.75" x14ac:dyDescent="0.25">
      <c r="A65" s="257">
        <f t="shared" si="1"/>
        <v>55.889370073985724</v>
      </c>
      <c r="B65">
        <f t="shared" si="0"/>
        <v>0.57421714687177539</v>
      </c>
      <c r="C65"/>
    </row>
    <row r="66" spans="1:3" ht="15.75" x14ac:dyDescent="0.25">
      <c r="A66" s="257">
        <f t="shared" si="1"/>
        <v>64.272775585083579</v>
      </c>
      <c r="B66">
        <f t="shared" si="0"/>
        <v>0.50006211595185723</v>
      </c>
      <c r="C66"/>
    </row>
    <row r="67" spans="1:3" ht="15.75" x14ac:dyDescent="0.25">
      <c r="A67" s="257">
        <f t="shared" si="1"/>
        <v>73.913691922846112</v>
      </c>
      <c r="B67">
        <f t="shared" si="0"/>
        <v>0.43539838543034615</v>
      </c>
      <c r="C67"/>
    </row>
    <row r="68" spans="1:3" ht="15.75" x14ac:dyDescent="0.25">
      <c r="A68" s="257">
        <f t="shared" si="1"/>
        <v>85.000745711273026</v>
      </c>
      <c r="B68">
        <f t="shared" si="0"/>
        <v>0.3790321016680569</v>
      </c>
      <c r="C68"/>
    </row>
    <row r="69" spans="1:3" ht="15.75" x14ac:dyDescent="0.25">
      <c r="A69" s="257">
        <f t="shared" si="1"/>
        <v>97.750857567963976</v>
      </c>
      <c r="B69">
        <f t="shared" si="0"/>
        <v>0.32991437329062928</v>
      </c>
      <c r="C69"/>
    </row>
    <row r="70" spans="1:3" ht="15.75" x14ac:dyDescent="0.25">
      <c r="A70" s="257">
        <f t="shared" si="1"/>
        <v>112.41348620315857</v>
      </c>
      <c r="B70">
        <f t="shared" si="0"/>
        <v>0.28712498417143673</v>
      </c>
      <c r="C70"/>
    </row>
    <row r="71" spans="1:3" ht="15.75" x14ac:dyDescent="0.25">
      <c r="A71" s="257">
        <f t="shared" si="1"/>
        <v>129.27550913363234</v>
      </c>
      <c r="B71">
        <f t="shared" si="0"/>
        <v>0.24985759240685151</v>
      </c>
      <c r="C71"/>
    </row>
    <row r="72" spans="1:3" ht="15.75" x14ac:dyDescent="0.25">
      <c r="A72" s="257">
        <f t="shared" si="1"/>
        <v>148.66683550367719</v>
      </c>
      <c r="B72">
        <f t="shared" si="0"/>
        <v>0.21740637687173414</v>
      </c>
      <c r="C72"/>
    </row>
    <row r="73" spans="1:3" ht="15.75" x14ac:dyDescent="0.25">
      <c r="A73" s="257">
        <f t="shared" si="1"/>
        <v>170.96686082922875</v>
      </c>
      <c r="B73">
        <f t="shared" si="0"/>
        <v>0.18915406014607961</v>
      </c>
      <c r="C73"/>
    </row>
    <row r="74" spans="1:3" ht="15.75" x14ac:dyDescent="0.25">
      <c r="A74" s="257">
        <f t="shared" si="1"/>
        <v>196.61188995361306</v>
      </c>
      <c r="B74">
        <f t="shared" si="0"/>
        <v>0.16456121727279677</v>
      </c>
      <c r="C74"/>
    </row>
    <row r="75" spans="1:3" ht="15.75" x14ac:dyDescent="0.25">
      <c r="A75" s="257">
        <f t="shared" si="1"/>
        <v>226.10367344665499</v>
      </c>
      <c r="B75">
        <f t="shared" si="0"/>
        <v>0.14315676995544119</v>
      </c>
      <c r="C75"/>
    </row>
    <row r="76" spans="1:3" ht="15.75" x14ac:dyDescent="0.25">
      <c r="A76" s="257">
        <f t="shared" si="1"/>
        <v>260.01922446365325</v>
      </c>
      <c r="B76">
        <f t="shared" si="0"/>
        <v>0.12452956250710995</v>
      </c>
      <c r="C76"/>
    </row>
    <row r="77" spans="1:3" ht="15.75" x14ac:dyDescent="0.25">
      <c r="A77" s="257">
        <f t="shared" si="1"/>
        <v>299.02210813320119</v>
      </c>
      <c r="B77">
        <f t="shared" si="0"/>
        <v>0.10832091698269401</v>
      </c>
      <c r="C77"/>
    </row>
    <row r="78" spans="1:3" ht="15.75" x14ac:dyDescent="0.25">
      <c r="A78" s="257">
        <f t="shared" si="1"/>
        <v>343.87542435318136</v>
      </c>
      <c r="B78">
        <f t="shared" si="0"/>
        <v>9.4218068920357501E-2</v>
      </c>
      <c r="C78"/>
    </row>
    <row r="79" spans="1:3" ht="15.75" x14ac:dyDescent="0.25">
      <c r="A79" s="257">
        <f t="shared" si="1"/>
        <v>395.45673800615856</v>
      </c>
      <c r="B79">
        <f t="shared" si="0"/>
        <v>8.1948390875589944E-2</v>
      </c>
      <c r="C79"/>
    </row>
    <row r="80" spans="1:3" ht="15.75" x14ac:dyDescent="0.25">
      <c r="A80" s="257">
        <f t="shared" si="1"/>
        <v>454.77524870708231</v>
      </c>
      <c r="B80">
        <f t="shared" si="0"/>
        <v>7.1274317666565806E-2</v>
      </c>
      <c r="C80"/>
    </row>
    <row r="81" spans="1:3" ht="15.75" x14ac:dyDescent="0.25">
      <c r="A81" s="257">
        <f t="shared" si="1"/>
        <v>522.99153601314458</v>
      </c>
      <c r="B81">
        <f t="shared" si="0"/>
        <v>6.1988894414546483E-2</v>
      </c>
      <c r="C81"/>
    </row>
    <row r="82" spans="1:3" ht="15.75" x14ac:dyDescent="0.25">
      <c r="A82" s="257">
        <f t="shared" si="1"/>
        <v>601.44026641511618</v>
      </c>
      <c r="B82">
        <f t="shared" si="0"/>
        <v>5.3911875683205476E-2</v>
      </c>
      <c r="C82"/>
    </row>
    <row r="83" spans="1:3" ht="15.75" x14ac:dyDescent="0.25">
      <c r="A83" s="257">
        <f t="shared" si="1"/>
        <v>691.65630637738354</v>
      </c>
      <c r="B83">
        <f t="shared" si="0"/>
        <v>4.6886311047874531E-2</v>
      </c>
      <c r="C83"/>
    </row>
    <row r="84" spans="1:3" ht="15.75" x14ac:dyDescent="0.25">
      <c r="A84" s="257">
        <f t="shared" si="1"/>
        <v>795.40475233399104</v>
      </c>
      <c r="B84">
        <f t="shared" si="0"/>
        <v>4.0775559102637284E-2</v>
      </c>
      <c r="C84"/>
    </row>
    <row r="85" spans="1:3" ht="15.75" x14ac:dyDescent="0.25">
      <c r="A85" s="257">
        <f t="shared" si="1"/>
        <v>914.71546518408968</v>
      </c>
      <c r="B85">
        <f t="shared" si="0"/>
        <v>3.5460678147654745E-2</v>
      </c>
      <c r="C85"/>
    </row>
    <row r="86" spans="1:3" ht="15.75" x14ac:dyDescent="0.25">
      <c r="A86" s="257">
        <f t="shared" si="1"/>
        <v>1051.922784961703</v>
      </c>
      <c r="B86">
        <f>($B$10*$I$1/(A86-$B$14)-$B$13/A86^2)/100</f>
        <v>3.0838147544435323E-2</v>
      </c>
      <c r="C86"/>
    </row>
    <row r="87" spans="1:3" ht="15.75" x14ac:dyDescent="0.25">
      <c r="A87"/>
      <c r="B87"/>
      <c r="C87"/>
    </row>
    <row r="88" spans="1:3" ht="15.75" x14ac:dyDescent="0.25">
      <c r="A88"/>
      <c r="B88"/>
      <c r="C88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88"/>
  <sheetViews>
    <sheetView workbookViewId="0"/>
  </sheetViews>
  <sheetFormatPr defaultColWidth="8" defaultRowHeight="12.75" x14ac:dyDescent="0.2"/>
  <cols>
    <col min="1" max="2" width="8" style="2" customWidth="1"/>
    <col min="3" max="3" width="9" style="2" customWidth="1"/>
    <col min="4" max="4" width="8" style="2" customWidth="1"/>
    <col min="5" max="5" width="11.375" style="2" customWidth="1"/>
    <col min="6" max="16384" width="8" style="2"/>
  </cols>
  <sheetData>
    <row r="1" spans="1:14" ht="18" x14ac:dyDescent="0.25">
      <c r="A1" s="143" t="str">
        <f>' T = Tb'!A1</f>
        <v>Benzene</v>
      </c>
      <c r="E1" s="2" t="s">
        <v>0</v>
      </c>
      <c r="F1" s="2">
        <v>1</v>
      </c>
      <c r="H1" s="3" t="s">
        <v>1</v>
      </c>
      <c r="I1" s="2">
        <f>' T = Tb'!O18</f>
        <v>406.52940820354308</v>
      </c>
      <c r="J1" s="2" t="s">
        <v>2</v>
      </c>
    </row>
    <row r="2" spans="1:14" ht="15.75" x14ac:dyDescent="0.3">
      <c r="A2" s="4" t="s">
        <v>15</v>
      </c>
      <c r="B2" s="5">
        <f>' T = Tb'!B2</f>
        <v>78.114000000000004</v>
      </c>
      <c r="C2" s="2" t="s">
        <v>3</v>
      </c>
      <c r="E2" s="4" t="s">
        <v>4</v>
      </c>
      <c r="F2" s="2">
        <f>' T = Tb'!F2</f>
        <v>-7.0143300000000002</v>
      </c>
      <c r="H2" s="3" t="s">
        <v>16</v>
      </c>
      <c r="I2" s="2">
        <f>1-I1/B3</f>
        <v>0.27684394442232974</v>
      </c>
      <c r="M2" s="4"/>
    </row>
    <row r="3" spans="1:14" ht="15.75" x14ac:dyDescent="0.3">
      <c r="A3" s="4" t="s">
        <v>17</v>
      </c>
      <c r="B3" s="5">
        <f>' T = Tb'!B3</f>
        <v>562.16</v>
      </c>
      <c r="C3" s="2" t="s">
        <v>2</v>
      </c>
      <c r="E3" s="4" t="s">
        <v>5</v>
      </c>
      <c r="F3" s="2">
        <f>' T = Tb'!F3</f>
        <v>1.5525599999999999</v>
      </c>
      <c r="H3" s="3" t="s">
        <v>6</v>
      </c>
      <c r="I3" s="144">
        <f>(B4*EXP((F2*I2+F3*I2^1.5+F4*I2^2.5+F5*I2^5)/(1-I2)))</f>
        <v>4.0855960438249053</v>
      </c>
      <c r="J3" s="2" t="s">
        <v>7</v>
      </c>
      <c r="M3" s="4"/>
    </row>
    <row r="4" spans="1:14" ht="15.75" x14ac:dyDescent="0.3">
      <c r="A4" s="4" t="s">
        <v>18</v>
      </c>
      <c r="B4" s="5">
        <f>' T = Tb'!B4</f>
        <v>48.98</v>
      </c>
      <c r="C4" s="2" t="s">
        <v>7</v>
      </c>
      <c r="E4" s="4" t="s">
        <v>8</v>
      </c>
      <c r="F4" s="2">
        <f>' T = Tb'!F4</f>
        <v>-1.8479000000000001</v>
      </c>
      <c r="H4" s="3" t="s">
        <v>6</v>
      </c>
      <c r="I4" s="2">
        <f>I3*100</f>
        <v>408.55960438249053</v>
      </c>
      <c r="J4" s="2" t="s">
        <v>9</v>
      </c>
      <c r="M4" s="4"/>
      <c r="N4" s="6"/>
    </row>
    <row r="5" spans="1:14" ht="15.75" x14ac:dyDescent="0.3">
      <c r="A5" s="4" t="s">
        <v>18</v>
      </c>
      <c r="B5" s="5">
        <f>' T = Tb'!B5</f>
        <v>4898</v>
      </c>
      <c r="C5" s="2" t="s">
        <v>9</v>
      </c>
      <c r="E5" s="4" t="s">
        <v>10</v>
      </c>
      <c r="F5" s="2">
        <f>' T = Tb'!F5</f>
        <v>-3.7130000000000001</v>
      </c>
      <c r="H5" s="4"/>
      <c r="M5" s="4"/>
      <c r="N5" s="6"/>
    </row>
    <row r="6" spans="1:14" ht="15.75" x14ac:dyDescent="0.3">
      <c r="A6" s="4" t="s">
        <v>19</v>
      </c>
      <c r="B6" s="5">
        <f>' T = Tb'!B6</f>
        <v>256</v>
      </c>
      <c r="C6" s="2" t="s">
        <v>20</v>
      </c>
      <c r="E6" s="4" t="s">
        <v>21</v>
      </c>
      <c r="F6" s="2">
        <f>' T = Tb'!F6</f>
        <v>250</v>
      </c>
      <c r="G6" s="7">
        <f>F6/B3</f>
        <v>0.44471324889711117</v>
      </c>
      <c r="H6" s="2" t="s">
        <v>22</v>
      </c>
      <c r="I6" s="2">
        <v>2.5712194055283128E-3</v>
      </c>
    </row>
    <row r="7" spans="1:14" ht="15.75" x14ac:dyDescent="0.3">
      <c r="A7" s="4" t="s">
        <v>19</v>
      </c>
      <c r="B7" s="5">
        <f>' T = Tb'!B7</f>
        <v>0.25600000000000001</v>
      </c>
      <c r="C7" s="8" t="s">
        <v>23</v>
      </c>
      <c r="E7" s="4" t="s">
        <v>24</v>
      </c>
      <c r="F7" s="2">
        <f>' T = Tb'!F7</f>
        <v>562.16</v>
      </c>
      <c r="G7" s="7">
        <f>F7/B3</f>
        <v>1</v>
      </c>
      <c r="H7" s="2" t="s">
        <v>25</v>
      </c>
      <c r="I7" s="2">
        <f>I6/I3</f>
        <v>6.2933764815406373E-4</v>
      </c>
    </row>
    <row r="8" spans="1:14" ht="15.75" x14ac:dyDescent="0.3">
      <c r="A8" s="4" t="s">
        <v>26</v>
      </c>
      <c r="B8" s="5">
        <f>' T = Tb'!B8</f>
        <v>0.26800000000000002</v>
      </c>
      <c r="E8" s="4" t="s">
        <v>27</v>
      </c>
      <c r="F8" s="18">
        <f>' T = Tb'!F8</f>
        <v>353.24</v>
      </c>
      <c r="G8" s="7">
        <f>F8/B3</f>
        <v>0.6283620321616622</v>
      </c>
      <c r="H8" s="2" t="s">
        <v>28</v>
      </c>
    </row>
    <row r="9" spans="1:14" x14ac:dyDescent="0.2">
      <c r="A9" s="9" t="s">
        <v>29</v>
      </c>
      <c r="B9" s="5">
        <f>' T = Tb'!B9</f>
        <v>0.21</v>
      </c>
      <c r="E9" s="4"/>
      <c r="F9" s="2">
        <f>' T = Tb'!F9</f>
        <v>101.325</v>
      </c>
      <c r="K9" s="4"/>
    </row>
    <row r="10" spans="1:14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4" x14ac:dyDescent="0.2">
      <c r="A11" s="10" t="s">
        <v>13</v>
      </c>
      <c r="K11" s="11"/>
    </row>
    <row r="12" spans="1:14" ht="18.75" x14ac:dyDescent="0.3">
      <c r="A12" s="13" t="s">
        <v>31</v>
      </c>
      <c r="B12" s="14">
        <f>27/64*(B10*B3)^2/B5</f>
        <v>1881.7339064250737</v>
      </c>
      <c r="C12" s="15"/>
      <c r="E12" s="16" t="s">
        <v>14</v>
      </c>
      <c r="H12" s="4" t="s">
        <v>32</v>
      </c>
      <c r="I12" s="191">
        <f>(2*B19)-B14-(B10*I1/I4)</f>
        <v>-8.3924794561720333</v>
      </c>
      <c r="J12" s="17">
        <f>-(B18+B15+B16)</f>
        <v>-8.3924794561720333</v>
      </c>
      <c r="K12" s="6"/>
    </row>
    <row r="13" spans="1:14" ht="18.75" x14ac:dyDescent="0.3">
      <c r="A13" s="13" t="s">
        <v>33</v>
      </c>
      <c r="B13" s="156">
        <v>2375.9557481879115</v>
      </c>
      <c r="C13" s="38">
        <f>' T = Tb'!P18</f>
        <v>2379.5111547073852</v>
      </c>
      <c r="E13" s="193">
        <f>ABS(B10*I1*LN((B16-B14)/(B15-B14))+B13*(1/(B16+B19)-1/(B15+B19))-I4*(B16-B15))</f>
        <v>3.3274919915129431E-3</v>
      </c>
      <c r="F13" s="21">
        <f>E13+E15+E16</f>
        <v>4.7324719017041161E-3</v>
      </c>
      <c r="H13" s="4" t="s">
        <v>34</v>
      </c>
      <c r="I13" s="191">
        <f>(B19^2)-(2*B19*B14)-(2*B10*I1*B19/I4)+(B13/I4)</f>
        <v>5.8154446075964943</v>
      </c>
      <c r="J13" s="17">
        <f>B15*B16+B15*B18+B18*B16</f>
        <v>5.8154446077840376</v>
      </c>
      <c r="K13" s="6"/>
      <c r="L13" s="26">
        <f>B13/B12</f>
        <v>1.2626417263755227</v>
      </c>
    </row>
    <row r="14" spans="1:14" ht="18.75" x14ac:dyDescent="0.5">
      <c r="A14" s="147" t="s">
        <v>35</v>
      </c>
      <c r="B14" s="262">
        <f>B10*B3/8/B5</f>
        <v>0.11928554873417722</v>
      </c>
      <c r="C14" s="263" t="s">
        <v>23</v>
      </c>
      <c r="H14" s="4" t="s">
        <v>36</v>
      </c>
      <c r="I14" s="191">
        <f>(-B14*(B19^2))-(B10*I1*(B19^2)/I4)-(B13*B14/I4)</f>
        <v>-0.6936985011503598</v>
      </c>
      <c r="J14" s="17">
        <f>-(B18*B15*B16)</f>
        <v>-0.69369850117934362</v>
      </c>
      <c r="K14" s="6"/>
      <c r="L14" s="26">
        <f>B15/B14</f>
        <v>1.2746027647720588</v>
      </c>
      <c r="N14" s="4"/>
    </row>
    <row r="15" spans="1:14" ht="19.5" x14ac:dyDescent="0.5">
      <c r="A15" s="135" t="s">
        <v>37</v>
      </c>
      <c r="B15" s="264">
        <v>0.15204169021393446</v>
      </c>
      <c r="C15" s="263" t="s">
        <v>23</v>
      </c>
      <c r="D15" s="24" t="s">
        <v>38</v>
      </c>
      <c r="E15" s="25">
        <f>1000000*ABS(B15^3+I12*B15^2+I13*B15+I14)</f>
        <v>4.6962433941644122E-7</v>
      </c>
      <c r="K15" s="4"/>
      <c r="L15" s="26">
        <f>B16/B17</f>
        <v>0.92388983660746238</v>
      </c>
    </row>
    <row r="16" spans="1:14" ht="19.5" x14ac:dyDescent="0.5">
      <c r="A16" s="135" t="s">
        <v>39</v>
      </c>
      <c r="B16" s="265">
        <v>7.6435197673646131</v>
      </c>
      <c r="C16" s="263" t="s">
        <v>23</v>
      </c>
      <c r="D16" s="24" t="s">
        <v>40</v>
      </c>
      <c r="E16" s="25">
        <f>1000000*ABS(B16^3+I12*B16^2+I13*B16+I14)</f>
        <v>1.4045102858517566E-3</v>
      </c>
      <c r="L16" s="26"/>
    </row>
    <row r="17" spans="1:12" ht="19.5" x14ac:dyDescent="0.5">
      <c r="A17" s="139" t="s">
        <v>41</v>
      </c>
      <c r="B17" s="148">
        <f>B10*I1/I4</f>
        <v>8.2731939074378555</v>
      </c>
      <c r="C17" s="263" t="s">
        <v>23</v>
      </c>
      <c r="D17" s="24" t="s">
        <v>42</v>
      </c>
      <c r="E17" s="29">
        <f>1000*ABS(B18^3+I12*B18^2+I13*B18+I14)</f>
        <v>8.2963413916559148E-8</v>
      </c>
      <c r="H17" s="12"/>
      <c r="I17" s="4"/>
      <c r="J17" s="17"/>
      <c r="L17" s="25"/>
    </row>
    <row r="18" spans="1:12" ht="19.5" x14ac:dyDescent="0.5">
      <c r="A18" s="135" t="s">
        <v>43</v>
      </c>
      <c r="B18" s="138">
        <f>-I12-B15-B16</f>
        <v>0.5969179985934856</v>
      </c>
      <c r="C18" s="263" t="s">
        <v>23</v>
      </c>
      <c r="D18" s="4"/>
      <c r="E18" s="29"/>
      <c r="H18" s="12"/>
      <c r="I18" s="4"/>
      <c r="J18" s="17"/>
      <c r="L18" s="25"/>
    </row>
    <row r="19" spans="1:12" x14ac:dyDescent="0.2">
      <c r="A19" s="149" t="s">
        <v>132</v>
      </c>
      <c r="B19" s="259">
        <v>0</v>
      </c>
      <c r="C19" s="258">
        <v>1.1499999999999999</v>
      </c>
      <c r="D19" s="29"/>
      <c r="E19" s="4"/>
      <c r="G19" s="4"/>
      <c r="H19" s="12"/>
      <c r="I19" s="4"/>
      <c r="J19" s="17"/>
      <c r="L19" s="3"/>
    </row>
    <row r="20" spans="1:12" ht="15.75" x14ac:dyDescent="0.25">
      <c r="A20" s="256" t="s">
        <v>44</v>
      </c>
      <c r="B20" s="256" t="s">
        <v>45</v>
      </c>
      <c r="C20" s="256" t="s">
        <v>169</v>
      </c>
      <c r="D20" s="21"/>
      <c r="E20" s="4"/>
      <c r="I20" s="4"/>
      <c r="J20" s="17"/>
      <c r="K20" s="21"/>
    </row>
    <row r="21" spans="1:12" ht="15.75" x14ac:dyDescent="0.25">
      <c r="A21" s="257">
        <f>B14+0.00001</f>
        <v>0.11929554873417722</v>
      </c>
      <c r="B21">
        <f>($B$10*$I$1/(A21-$B$14)-$B$13/A21^2)/100</f>
        <v>3378423.3165567988</v>
      </c>
      <c r="C21"/>
      <c r="E21" s="4"/>
    </row>
    <row r="22" spans="1:12" ht="15.75" x14ac:dyDescent="0.25">
      <c r="A22" s="257">
        <f>A21*$C$19</f>
        <v>0.1371898810443038</v>
      </c>
      <c r="B22">
        <f t="shared" ref="B22:B85" si="0">($B$10*$I$1/(A22-$B$14)-$B$13/A22^2)/100</f>
        <v>625.47123082655582</v>
      </c>
      <c r="C22"/>
      <c r="E22" s="195"/>
    </row>
    <row r="23" spans="1:12" ht="15.75" x14ac:dyDescent="0.25">
      <c r="A23" s="257">
        <f t="shared" ref="A23:A86" si="1">A22*$C$19</f>
        <v>0.15776836320094936</v>
      </c>
      <c r="B23">
        <f t="shared" si="0"/>
        <v>-76.211357521695604</v>
      </c>
      <c r="C23"/>
    </row>
    <row r="24" spans="1:12" ht="15.75" x14ac:dyDescent="0.25">
      <c r="A24" s="257">
        <f t="shared" si="1"/>
        <v>0.18143361768109176</v>
      </c>
      <c r="B24">
        <f t="shared" si="0"/>
        <v>-177.8992782590125</v>
      </c>
      <c r="C24"/>
    </row>
    <row r="25" spans="1:12" ht="15.75" x14ac:dyDescent="0.25">
      <c r="A25" s="257">
        <f t="shared" si="1"/>
        <v>0.20864866033325549</v>
      </c>
      <c r="B25">
        <f t="shared" si="0"/>
        <v>-167.52432444257144</v>
      </c>
      <c r="C25"/>
    </row>
    <row r="26" spans="1:12" ht="15.75" x14ac:dyDescent="0.25">
      <c r="A26" s="257">
        <f t="shared" si="1"/>
        <v>0.23994595938324378</v>
      </c>
      <c r="B26">
        <f t="shared" si="0"/>
        <v>-132.54542739279557</v>
      </c>
      <c r="C26"/>
      <c r="K26" s="17"/>
    </row>
    <row r="27" spans="1:12" ht="15.75" x14ac:dyDescent="0.25">
      <c r="A27" s="257">
        <f t="shared" si="1"/>
        <v>0.27593785329073034</v>
      </c>
      <c r="B27">
        <f t="shared" si="0"/>
        <v>-96.273576701149281</v>
      </c>
      <c r="C27"/>
      <c r="K27" s="17"/>
    </row>
    <row r="28" spans="1:12" ht="15.75" x14ac:dyDescent="0.25">
      <c r="A28" s="257">
        <f t="shared" si="1"/>
        <v>0.31732853128433985</v>
      </c>
      <c r="B28">
        <f t="shared" si="0"/>
        <v>-65.27535827876207</v>
      </c>
      <c r="C28"/>
    </row>
    <row r="29" spans="1:12" ht="15.75" x14ac:dyDescent="0.25">
      <c r="A29" s="257">
        <f t="shared" si="1"/>
        <v>0.36492781097699079</v>
      </c>
      <c r="B29">
        <f t="shared" si="0"/>
        <v>-40.809897423844816</v>
      </c>
      <c r="C29"/>
      <c r="D29"/>
      <c r="E29"/>
      <c r="F29"/>
    </row>
    <row r="30" spans="1:12" ht="15.75" x14ac:dyDescent="0.25">
      <c r="A30" s="257">
        <f t="shared" si="1"/>
        <v>0.41966698262353935</v>
      </c>
      <c r="B30">
        <f t="shared" si="0"/>
        <v>-22.378527072405795</v>
      </c>
      <c r="C30"/>
      <c r="D30"/>
      <c r="E30"/>
      <c r="F30"/>
      <c r="J30" s="4"/>
      <c r="K30" s="18"/>
    </row>
    <row r="31" spans="1:12" ht="15.75" x14ac:dyDescent="0.25">
      <c r="A31" s="257">
        <f t="shared" si="1"/>
        <v>0.48261703001707024</v>
      </c>
      <c r="B31">
        <f t="shared" si="0"/>
        <v>-8.9771729865760967</v>
      </c>
      <c r="C31"/>
      <c r="D31"/>
      <c r="E31"/>
      <c r="F31"/>
      <c r="J31" s="4"/>
      <c r="K31" s="18"/>
    </row>
    <row r="32" spans="1:12" ht="15.75" x14ac:dyDescent="0.25">
      <c r="A32" s="257">
        <f t="shared" si="1"/>
        <v>0.55500958451963078</v>
      </c>
      <c r="B32">
        <f t="shared" si="0"/>
        <v>0.44166978086641395</v>
      </c>
      <c r="C32"/>
      <c r="D32"/>
      <c r="E32"/>
      <c r="F32"/>
      <c r="J32" s="4"/>
      <c r="K32" s="37"/>
    </row>
    <row r="33" spans="1:11" ht="15.75" x14ac:dyDescent="0.25">
      <c r="A33" s="257">
        <f t="shared" si="1"/>
        <v>0.6382610221975753</v>
      </c>
      <c r="B33">
        <f t="shared" si="0"/>
        <v>6.806859456536249</v>
      </c>
      <c r="C33"/>
      <c r="D33"/>
      <c r="E33"/>
      <c r="F33"/>
      <c r="J33" s="4"/>
      <c r="K33" s="18"/>
    </row>
    <row r="34" spans="1:11" ht="15.75" x14ac:dyDescent="0.25">
      <c r="A34" s="257">
        <f t="shared" si="1"/>
        <v>0.73400017552721153</v>
      </c>
      <c r="B34">
        <f t="shared" si="0"/>
        <v>10.885619329619985</v>
      </c>
      <c r="C34"/>
      <c r="D34"/>
      <c r="E34"/>
      <c r="F34"/>
    </row>
    <row r="35" spans="1:11" ht="15.75" x14ac:dyDescent="0.25">
      <c r="A35" s="257">
        <f t="shared" si="1"/>
        <v>0.8441002018562932</v>
      </c>
      <c r="B35">
        <f t="shared" si="0"/>
        <v>13.287385785249477</v>
      </c>
      <c r="C35"/>
      <c r="D35"/>
      <c r="E35"/>
      <c r="F35"/>
    </row>
    <row r="36" spans="1:11" ht="15.75" x14ac:dyDescent="0.25">
      <c r="A36" s="257">
        <f t="shared" si="1"/>
        <v>0.97071523213473709</v>
      </c>
      <c r="B36">
        <f t="shared" si="0"/>
        <v>14.484275465894603</v>
      </c>
      <c r="C36"/>
      <c r="D36"/>
      <c r="E36"/>
      <c r="F36"/>
    </row>
    <row r="37" spans="1:11" ht="15.75" x14ac:dyDescent="0.25">
      <c r="A37" s="257">
        <f t="shared" si="1"/>
        <v>1.1163225169549476</v>
      </c>
      <c r="B37">
        <f t="shared" si="0"/>
        <v>14.835405969415719</v>
      </c>
      <c r="C37"/>
      <c r="D37"/>
      <c r="E37"/>
      <c r="F37"/>
    </row>
    <row r="38" spans="1:11" ht="15.75" x14ac:dyDescent="0.25">
      <c r="A38" s="257">
        <f t="shared" si="1"/>
        <v>1.2837708944981896</v>
      </c>
      <c r="B38">
        <f t="shared" si="0"/>
        <v>14.609880308611244</v>
      </c>
      <c r="C38"/>
      <c r="D38"/>
      <c r="E38"/>
      <c r="F38"/>
    </row>
    <row r="39" spans="1:11" ht="15.75" x14ac:dyDescent="0.25">
      <c r="A39" s="257">
        <f t="shared" si="1"/>
        <v>1.476336528672918</v>
      </c>
      <c r="B39">
        <f t="shared" si="0"/>
        <v>14.006601335492773</v>
      </c>
      <c r="C39"/>
      <c r="D39"/>
      <c r="E39"/>
      <c r="F39"/>
    </row>
    <row r="40" spans="1:11" ht="15.75" x14ac:dyDescent="0.25">
      <c r="A40" s="257">
        <f t="shared" si="1"/>
        <v>1.6977870079738555</v>
      </c>
      <c r="B40">
        <f t="shared" si="0"/>
        <v>13.170555547103657</v>
      </c>
      <c r="C40"/>
    </row>
    <row r="41" spans="1:11" ht="15.75" x14ac:dyDescent="0.25">
      <c r="A41" s="257">
        <f t="shared" si="1"/>
        <v>1.9524550591699337</v>
      </c>
      <c r="B41">
        <f t="shared" si="0"/>
        <v>12.205817152059776</v>
      </c>
      <c r="C41"/>
    </row>
    <row r="42" spans="1:11" ht="15.75" x14ac:dyDescent="0.25">
      <c r="A42" s="257">
        <f t="shared" si="1"/>
        <v>2.2453233180454237</v>
      </c>
      <c r="B42">
        <f t="shared" si="0"/>
        <v>11.185737968023385</v>
      </c>
      <c r="C42"/>
    </row>
    <row r="43" spans="1:11" ht="15.75" x14ac:dyDescent="0.25">
      <c r="A43" s="257">
        <f t="shared" si="1"/>
        <v>2.5821218157522372</v>
      </c>
      <c r="B43">
        <f t="shared" si="0"/>
        <v>10.16082444768106</v>
      </c>
      <c r="C43"/>
    </row>
    <row r="44" spans="1:11" ht="15.75" x14ac:dyDescent="0.25">
      <c r="A44" s="257">
        <f t="shared" si="1"/>
        <v>2.9694400881150727</v>
      </c>
      <c r="B44">
        <f t="shared" si="0"/>
        <v>9.1647633724390509</v>
      </c>
      <c r="C44"/>
    </row>
    <row r="45" spans="1:11" ht="15.75" x14ac:dyDescent="0.25">
      <c r="A45" s="257">
        <f t="shared" si="1"/>
        <v>3.4148561013323331</v>
      </c>
      <c r="B45">
        <f t="shared" si="0"/>
        <v>8.2189915293631728</v>
      </c>
      <c r="C45"/>
    </row>
    <row r="46" spans="1:11" ht="15.75" x14ac:dyDescent="0.25">
      <c r="A46" s="257">
        <f t="shared" si="1"/>
        <v>3.9270845165321826</v>
      </c>
      <c r="B46">
        <f t="shared" si="0"/>
        <v>7.3361345878557609</v>
      </c>
      <c r="C46"/>
    </row>
    <row r="47" spans="1:11" ht="15.75" x14ac:dyDescent="0.25">
      <c r="A47" s="257">
        <f t="shared" si="1"/>
        <v>4.5161471940120093</v>
      </c>
      <c r="B47">
        <f t="shared" si="0"/>
        <v>6.5225760921197748</v>
      </c>
      <c r="C47"/>
    </row>
    <row r="48" spans="1:11" ht="15.75" x14ac:dyDescent="0.25">
      <c r="A48" s="257">
        <f t="shared" si="1"/>
        <v>5.1935692731138099</v>
      </c>
      <c r="B48">
        <f t="shared" si="0"/>
        <v>5.7803623987059813</v>
      </c>
      <c r="C48"/>
    </row>
    <row r="49" spans="1:3" ht="15.75" x14ac:dyDescent="0.25">
      <c r="A49" s="257">
        <f t="shared" si="1"/>
        <v>5.9726046640808805</v>
      </c>
      <c r="B49">
        <f t="shared" si="0"/>
        <v>5.1086039922809485</v>
      </c>
      <c r="C49"/>
    </row>
    <row r="50" spans="1:3" ht="15.75" x14ac:dyDescent="0.25">
      <c r="A50" s="257">
        <f t="shared" si="1"/>
        <v>6.8684953636930119</v>
      </c>
      <c r="B50">
        <f t="shared" si="0"/>
        <v>4.5044971057033294</v>
      </c>
      <c r="C50"/>
    </row>
    <row r="51" spans="1:3" ht="15.75" x14ac:dyDescent="0.25">
      <c r="A51" s="257">
        <f t="shared" si="1"/>
        <v>7.8987696682469632</v>
      </c>
      <c r="B51">
        <f t="shared" si="0"/>
        <v>3.9640606924699089</v>
      </c>
      <c r="C51"/>
    </row>
    <row r="52" spans="1:3" ht="15.75" x14ac:dyDescent="0.25">
      <c r="A52" s="257">
        <f t="shared" si="1"/>
        <v>9.0835851184840077</v>
      </c>
      <c r="B52">
        <f t="shared" si="0"/>
        <v>3.4826612233661649</v>
      </c>
      <c r="C52"/>
    </row>
    <row r="53" spans="1:3" ht="15.75" x14ac:dyDescent="0.25">
      <c r="A53" s="257">
        <f t="shared" si="1"/>
        <v>10.446122886256608</v>
      </c>
      <c r="B53">
        <f t="shared" si="0"/>
        <v>3.0553802836309729</v>
      </c>
      <c r="C53"/>
    </row>
    <row r="54" spans="1:3" ht="15.75" x14ac:dyDescent="0.25">
      <c r="A54" s="257">
        <f t="shared" si="1"/>
        <v>12.013041319195098</v>
      </c>
      <c r="B54">
        <f t="shared" si="0"/>
        <v>2.6772664808307103</v>
      </c>
      <c r="C54"/>
    </row>
    <row r="55" spans="1:3" ht="15.75" x14ac:dyDescent="0.25">
      <c r="A55" s="257">
        <f t="shared" si="1"/>
        <v>13.814997517074362</v>
      </c>
      <c r="B55">
        <f t="shared" si="0"/>
        <v>2.3435028659462458</v>
      </c>
      <c r="C55"/>
    </row>
    <row r="56" spans="1:3" ht="15.75" x14ac:dyDescent="0.25">
      <c r="A56" s="257">
        <f t="shared" si="1"/>
        <v>15.887247144635515</v>
      </c>
      <c r="B56">
        <f t="shared" si="0"/>
        <v>2.0495132167394492</v>
      </c>
      <c r="C56"/>
    </row>
    <row r="57" spans="1:3" ht="15.75" x14ac:dyDescent="0.25">
      <c r="A57" s="257">
        <f t="shared" si="1"/>
        <v>18.270334216330841</v>
      </c>
      <c r="B57">
        <f t="shared" si="0"/>
        <v>1.7910245733706234</v>
      </c>
      <c r="C57"/>
    </row>
    <row r="58" spans="1:3" ht="15.75" x14ac:dyDescent="0.25">
      <c r="A58" s="257">
        <f t="shared" si="1"/>
        <v>21.010884348780465</v>
      </c>
      <c r="B58">
        <f t="shared" si="0"/>
        <v>1.5640989115177804</v>
      </c>
      <c r="C58"/>
    </row>
    <row r="59" spans="1:3" ht="15.75" x14ac:dyDescent="0.25">
      <c r="A59" s="257">
        <f t="shared" si="1"/>
        <v>24.162517001097534</v>
      </c>
      <c r="B59">
        <f t="shared" si="0"/>
        <v>1.3651434452075046</v>
      </c>
      <c r="C59"/>
    </row>
    <row r="60" spans="1:3" ht="15.75" x14ac:dyDescent="0.25">
      <c r="A60" s="257">
        <f t="shared" si="1"/>
        <v>27.786894551262161</v>
      </c>
      <c r="B60">
        <f t="shared" si="0"/>
        <v>1.1909065050629248</v>
      </c>
      <c r="C60"/>
    </row>
    <row r="61" spans="1:3" ht="15.75" x14ac:dyDescent="0.25">
      <c r="A61" s="257">
        <f t="shared" si="1"/>
        <v>31.954928733951483</v>
      </c>
      <c r="B61">
        <f t="shared" si="0"/>
        <v>1.0384640336515201</v>
      </c>
      <c r="C61"/>
    </row>
    <row r="62" spans="1:3" ht="15.75" x14ac:dyDescent="0.25">
      <c r="A62" s="257">
        <f t="shared" si="1"/>
        <v>36.748168044044206</v>
      </c>
      <c r="B62">
        <f t="shared" si="0"/>
        <v>0.90520032170630427</v>
      </c>
      <c r="C62"/>
    </row>
    <row r="63" spans="1:3" ht="15.75" x14ac:dyDescent="0.25">
      <c r="A63" s="257">
        <f t="shared" si="1"/>
        <v>42.260393250650836</v>
      </c>
      <c r="B63">
        <f t="shared" si="0"/>
        <v>0.78878555780451132</v>
      </c>
      <c r="C63"/>
    </row>
    <row r="64" spans="1:3" ht="15.75" x14ac:dyDescent="0.25">
      <c r="A64" s="257">
        <f t="shared" si="1"/>
        <v>48.59945223824846</v>
      </c>
      <c r="B64">
        <f t="shared" si="0"/>
        <v>0.68715198873878658</v>
      </c>
      <c r="C64"/>
    </row>
    <row r="65" spans="1:3" ht="15.75" x14ac:dyDescent="0.25">
      <c r="A65" s="257">
        <f t="shared" si="1"/>
        <v>55.889370073985724</v>
      </c>
      <c r="B65">
        <f t="shared" si="0"/>
        <v>0.59846991932360161</v>
      </c>
      <c r="C65"/>
    </row>
    <row r="66" spans="1:3" ht="15.75" x14ac:dyDescent="0.25">
      <c r="A66" s="257">
        <f t="shared" si="1"/>
        <v>64.272775585083579</v>
      </c>
      <c r="B66">
        <f t="shared" si="0"/>
        <v>0.52112436651469374</v>
      </c>
      <c r="C66"/>
    </row>
    <row r="67" spans="1:3" ht="15.75" x14ac:dyDescent="0.25">
      <c r="A67" s="257">
        <f t="shared" si="1"/>
        <v>73.913691922846112</v>
      </c>
      <c r="B67">
        <f t="shared" si="0"/>
        <v>0.45369288403395752</v>
      </c>
      <c r="C67"/>
    </row>
    <row r="68" spans="1:3" ht="15.75" x14ac:dyDescent="0.25">
      <c r="A68" s="257">
        <f t="shared" si="1"/>
        <v>85.000745711273026</v>
      </c>
      <c r="B68">
        <f t="shared" si="0"/>
        <v>0.3949248604638454</v>
      </c>
      <c r="C68"/>
    </row>
    <row r="69" spans="1:3" ht="15.75" x14ac:dyDescent="0.25">
      <c r="A69" s="257">
        <f t="shared" si="1"/>
        <v>97.750857567963976</v>
      </c>
      <c r="B69">
        <f t="shared" si="0"/>
        <v>0.34372244366433669</v>
      </c>
      <c r="C69"/>
    </row>
    <row r="70" spans="1:3" ht="15.75" x14ac:dyDescent="0.25">
      <c r="A70" s="257">
        <f t="shared" si="1"/>
        <v>112.41348620315857</v>
      </c>
      <c r="B70">
        <f t="shared" si="0"/>
        <v>0.29912314062474249</v>
      </c>
      <c r="C70"/>
    </row>
    <row r="71" spans="1:3" ht="15.75" x14ac:dyDescent="0.25">
      <c r="A71" s="257">
        <f t="shared" si="1"/>
        <v>129.27550913363234</v>
      </c>
      <c r="B71">
        <f t="shared" si="0"/>
        <v>0.2602840719725657</v>
      </c>
      <c r="C71"/>
    </row>
    <row r="72" spans="1:3" ht="15.75" x14ac:dyDescent="0.25">
      <c r="A72" s="257">
        <f t="shared" si="1"/>
        <v>148.66683550367719</v>
      </c>
      <c r="B72">
        <f t="shared" si="0"/>
        <v>0.22646781499236621</v>
      </c>
      <c r="C72"/>
    </row>
    <row r="73" spans="1:3" ht="15.75" x14ac:dyDescent="0.25">
      <c r="A73" s="257">
        <f t="shared" si="1"/>
        <v>170.96686082922875</v>
      </c>
      <c r="B73">
        <f t="shared" si="0"/>
        <v>0.19702974123057693</v>
      </c>
      <c r="C73"/>
    </row>
    <row r="74" spans="1:3" ht="15.75" x14ac:dyDescent="0.25">
      <c r="A74" s="257">
        <f t="shared" si="1"/>
        <v>196.61188995361306</v>
      </c>
      <c r="B74">
        <f t="shared" si="0"/>
        <v>0.17140673945314744</v>
      </c>
      <c r="C74"/>
    </row>
    <row r="75" spans="1:3" ht="15.75" x14ac:dyDescent="0.25">
      <c r="A75" s="257">
        <f t="shared" si="1"/>
        <v>226.10367344665499</v>
      </c>
      <c r="B75">
        <f t="shared" si="0"/>
        <v>0.14910720810992031</v>
      </c>
      <c r="C75"/>
    </row>
    <row r="76" spans="1:3" ht="15.75" x14ac:dyDescent="0.25">
      <c r="A76" s="257">
        <f t="shared" si="1"/>
        <v>260.01922446365325</v>
      </c>
      <c r="B76">
        <f t="shared" si="0"/>
        <v>0.12970220078221328</v>
      </c>
      <c r="C76"/>
    </row>
    <row r="77" spans="1:3" ht="15.75" x14ac:dyDescent="0.25">
      <c r="A77" s="257">
        <f t="shared" si="1"/>
        <v>299.02210813320119</v>
      </c>
      <c r="B77">
        <f t="shared" si="0"/>
        <v>0.11281761134175478</v>
      </c>
      <c r="C77"/>
    </row>
    <row r="78" spans="1:3" ht="15.75" x14ac:dyDescent="0.25">
      <c r="A78" s="257">
        <f t="shared" si="1"/>
        <v>343.87542435318136</v>
      </c>
      <c r="B78">
        <f t="shared" si="0"/>
        <v>9.8127291283975959E-2</v>
      </c>
      <c r="C78"/>
    </row>
    <row r="79" spans="1:3" ht="15.75" x14ac:dyDescent="0.25">
      <c r="A79" s="257">
        <f t="shared" si="1"/>
        <v>395.45673800615856</v>
      </c>
      <c r="B79">
        <f t="shared" si="0"/>
        <v>8.5346998885931627E-2</v>
      </c>
      <c r="C79"/>
    </row>
    <row r="80" spans="1:3" ht="15.75" x14ac:dyDescent="0.25">
      <c r="A80" s="257">
        <f t="shared" si="1"/>
        <v>454.77524870708231</v>
      </c>
      <c r="B80">
        <f t="shared" si="0"/>
        <v>7.4229087754115991E-2</v>
      </c>
      <c r="C80"/>
    </row>
    <row r="81" spans="1:3" ht="15.75" x14ac:dyDescent="0.25">
      <c r="A81" s="257">
        <f t="shared" si="1"/>
        <v>522.99153601314458</v>
      </c>
      <c r="B81">
        <f t="shared" si="0"/>
        <v>6.455785047007756E-2</v>
      </c>
      <c r="C81"/>
    </row>
    <row r="82" spans="1:3" ht="15.75" x14ac:dyDescent="0.25">
      <c r="A82" s="257">
        <f t="shared" si="1"/>
        <v>601.44026641511618</v>
      </c>
      <c r="B82">
        <f t="shared" si="0"/>
        <v>5.6145441075636106E-2</v>
      </c>
      <c r="C82"/>
    </row>
    <row r="83" spans="1:3" ht="15.75" x14ac:dyDescent="0.25">
      <c r="A83" s="257">
        <f t="shared" si="1"/>
        <v>691.65630637738354</v>
      </c>
      <c r="B83">
        <f t="shared" si="0"/>
        <v>4.882830784675838E-2</v>
      </c>
      <c r="C83"/>
    </row>
    <row r="84" spans="1:3" ht="15.75" x14ac:dyDescent="0.25">
      <c r="A84" s="257">
        <f t="shared" si="1"/>
        <v>795.40475233399104</v>
      </c>
      <c r="B84">
        <f t="shared" si="0"/>
        <v>4.2464075052733884E-2</v>
      </c>
      <c r="C84"/>
    </row>
    <row r="85" spans="1:3" ht="15.75" x14ac:dyDescent="0.25">
      <c r="A85" s="257">
        <f t="shared" si="1"/>
        <v>914.71546518408968</v>
      </c>
      <c r="B85">
        <f t="shared" si="0"/>
        <v>3.6928819112274837E-2</v>
      </c>
      <c r="C85"/>
    </row>
    <row r="86" spans="1:3" ht="15.75" x14ac:dyDescent="0.25">
      <c r="A86" s="257">
        <f t="shared" si="1"/>
        <v>1051.922784961703</v>
      </c>
      <c r="B86">
        <f>($B$10*$I$1/(A86-$B$14)-$B$13/A86^2)/100</f>
        <v>3.2114690709477887E-2</v>
      </c>
      <c r="C86"/>
    </row>
    <row r="87" spans="1:3" ht="15.75" x14ac:dyDescent="0.25">
      <c r="A87"/>
      <c r="B87"/>
      <c r="C87"/>
    </row>
    <row r="88" spans="1:3" ht="15.75" x14ac:dyDescent="0.25">
      <c r="A88"/>
      <c r="B88"/>
      <c r="C88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N88"/>
  <sheetViews>
    <sheetView topLeftCell="A9" workbookViewId="0"/>
  </sheetViews>
  <sheetFormatPr defaultColWidth="8" defaultRowHeight="12.75" x14ac:dyDescent="0.2"/>
  <cols>
    <col min="1" max="2" width="8" style="2"/>
    <col min="3" max="3" width="8.375" style="2" bestFit="1" customWidth="1"/>
    <col min="4" max="4" width="8" style="2"/>
    <col min="5" max="5" width="10.375" style="2" customWidth="1"/>
    <col min="6" max="16384" width="8" style="2"/>
  </cols>
  <sheetData>
    <row r="1" spans="1:14" ht="18" x14ac:dyDescent="0.25">
      <c r="A1" s="143" t="str">
        <f>' T = Tb'!A1</f>
        <v>Benzene</v>
      </c>
      <c r="E1" s="2" t="s">
        <v>0</v>
      </c>
      <c r="F1" s="2">
        <v>1</v>
      </c>
      <c r="H1" s="3" t="s">
        <v>1</v>
      </c>
      <c r="I1" s="2">
        <f>' T = Tb'!O19</f>
        <v>423.33869274262923</v>
      </c>
      <c r="J1" s="2" t="s">
        <v>2</v>
      </c>
    </row>
    <row r="2" spans="1:14" ht="15.75" x14ac:dyDescent="0.3">
      <c r="A2" s="4" t="s">
        <v>15</v>
      </c>
      <c r="B2" s="5">
        <f>' T = Tb'!B2</f>
        <v>78.114000000000004</v>
      </c>
      <c r="C2" s="2" t="s">
        <v>3</v>
      </c>
      <c r="E2" s="4" t="s">
        <v>4</v>
      </c>
      <c r="F2" s="2">
        <f>' T = Tb'!F2</f>
        <v>-7.0143300000000002</v>
      </c>
      <c r="H2" s="3" t="s">
        <v>16</v>
      </c>
      <c r="I2" s="2">
        <f>1-I1/B3</f>
        <v>0.24694269826627779</v>
      </c>
      <c r="M2" s="4"/>
    </row>
    <row r="3" spans="1:14" ht="15.75" x14ac:dyDescent="0.3">
      <c r="A3" s="4" t="s">
        <v>17</v>
      </c>
      <c r="B3" s="5">
        <f>' T = Tb'!B3</f>
        <v>562.16</v>
      </c>
      <c r="C3" s="2" t="s">
        <v>2</v>
      </c>
      <c r="E3" s="4" t="s">
        <v>5</v>
      </c>
      <c r="F3" s="2">
        <f>' T = Tb'!F3</f>
        <v>1.5525599999999999</v>
      </c>
      <c r="H3" s="3" t="s">
        <v>6</v>
      </c>
      <c r="I3" s="144">
        <f>(B4*EXP((F2*I2+F3*I2^1.5+F4*I2^2.5+F5*I2^5)/(1-I2)))</f>
        <v>5.8437937282110406</v>
      </c>
      <c r="J3" s="2" t="s">
        <v>7</v>
      </c>
      <c r="M3" s="4"/>
    </row>
    <row r="4" spans="1:14" ht="15.75" x14ac:dyDescent="0.3">
      <c r="A4" s="4" t="s">
        <v>18</v>
      </c>
      <c r="B4" s="5">
        <f>' T = Tb'!B4</f>
        <v>48.98</v>
      </c>
      <c r="C4" s="2" t="s">
        <v>7</v>
      </c>
      <c r="E4" s="4" t="s">
        <v>8</v>
      </c>
      <c r="F4" s="2">
        <f>' T = Tb'!F4</f>
        <v>-1.8479000000000001</v>
      </c>
      <c r="H4" s="3" t="s">
        <v>6</v>
      </c>
      <c r="I4" s="2">
        <f>I3*100</f>
        <v>584.37937282110408</v>
      </c>
      <c r="J4" s="2" t="s">
        <v>9</v>
      </c>
      <c r="M4" s="4"/>
      <c r="N4" s="6"/>
    </row>
    <row r="5" spans="1:14" ht="15.75" x14ac:dyDescent="0.3">
      <c r="A5" s="4" t="s">
        <v>18</v>
      </c>
      <c r="B5" s="5">
        <f>' T = Tb'!B5</f>
        <v>4898</v>
      </c>
      <c r="C5" s="2" t="s">
        <v>9</v>
      </c>
      <c r="E5" s="4" t="s">
        <v>10</v>
      </c>
      <c r="F5" s="2">
        <f>' T = Tb'!F5</f>
        <v>-3.7130000000000001</v>
      </c>
      <c r="H5" s="4"/>
      <c r="M5" s="4"/>
      <c r="N5" s="6"/>
    </row>
    <row r="6" spans="1:14" ht="15.75" x14ac:dyDescent="0.3">
      <c r="A6" s="4" t="s">
        <v>19</v>
      </c>
      <c r="B6" s="5">
        <f>' T = Tb'!B6</f>
        <v>256</v>
      </c>
      <c r="C6" s="2" t="s">
        <v>20</v>
      </c>
      <c r="E6" s="4" t="s">
        <v>21</v>
      </c>
      <c r="F6" s="2">
        <f>' T = Tb'!F6</f>
        <v>250</v>
      </c>
      <c r="G6" s="7">
        <f>F6/B3</f>
        <v>0.44471324889711117</v>
      </c>
      <c r="H6" s="2" t="s">
        <v>22</v>
      </c>
      <c r="I6" s="2">
        <v>2.5712194055283128E-3</v>
      </c>
    </row>
    <row r="7" spans="1:14" ht="15.75" x14ac:dyDescent="0.3">
      <c r="A7" s="4" t="s">
        <v>19</v>
      </c>
      <c r="B7" s="5">
        <f>' T = Tb'!B7</f>
        <v>0.25600000000000001</v>
      </c>
      <c r="C7" s="8" t="s">
        <v>23</v>
      </c>
      <c r="E7" s="4" t="s">
        <v>24</v>
      </c>
      <c r="F7" s="2">
        <f>' T = Tb'!F7</f>
        <v>562.16</v>
      </c>
      <c r="G7" s="7">
        <f>F7/B3</f>
        <v>1</v>
      </c>
      <c r="H7" s="2" t="s">
        <v>25</v>
      </c>
      <c r="I7" s="2">
        <f>I6/I3</f>
        <v>4.3999147216913141E-4</v>
      </c>
    </row>
    <row r="8" spans="1:14" ht="15.75" x14ac:dyDescent="0.3">
      <c r="A8" s="4" t="s">
        <v>26</v>
      </c>
      <c r="B8" s="5">
        <f>' T = Tb'!B8</f>
        <v>0.26800000000000002</v>
      </c>
      <c r="E8" s="4" t="s">
        <v>27</v>
      </c>
      <c r="F8" s="18">
        <f>' T = Tb'!F8</f>
        <v>353.24</v>
      </c>
      <c r="G8" s="7">
        <f>F8/B3</f>
        <v>0.6283620321616622</v>
      </c>
      <c r="H8" s="2" t="s">
        <v>28</v>
      </c>
    </row>
    <row r="9" spans="1:14" x14ac:dyDescent="0.2">
      <c r="A9" s="9" t="s">
        <v>29</v>
      </c>
      <c r="B9" s="5">
        <f>' T = Tb'!B9</f>
        <v>0.21</v>
      </c>
      <c r="E9" s="4"/>
      <c r="F9" s="2">
        <f>' T = Tb'!F9</f>
        <v>101.325</v>
      </c>
      <c r="K9" s="4"/>
    </row>
    <row r="10" spans="1:14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4" x14ac:dyDescent="0.2">
      <c r="A11" s="10" t="s">
        <v>13</v>
      </c>
      <c r="K11" s="11"/>
    </row>
    <row r="12" spans="1:14" ht="18.75" x14ac:dyDescent="0.3">
      <c r="A12" s="13" t="s">
        <v>31</v>
      </c>
      <c r="B12" s="14">
        <f>27/64*(B10*B3)^2/B5</f>
        <v>1881.7339064250737</v>
      </c>
      <c r="C12" s="15"/>
      <c r="E12" s="16" t="s">
        <v>14</v>
      </c>
      <c r="H12" s="4" t="s">
        <v>32</v>
      </c>
      <c r="I12" s="191">
        <f>(2*B19)-B14-(B10*I1/I4)</f>
        <v>-6.1425196974744853</v>
      </c>
      <c r="J12" s="17">
        <f>-(B18+B15+B16)</f>
        <v>-6.1425196974744853</v>
      </c>
      <c r="K12" s="6"/>
    </row>
    <row r="13" spans="1:14" ht="18.75" x14ac:dyDescent="0.3">
      <c r="A13" s="13" t="s">
        <v>33</v>
      </c>
      <c r="B13" s="156">
        <v>2317.1559918588723</v>
      </c>
      <c r="C13" s="157">
        <f>' T = Tb'!P19</f>
        <v>2319.9497705778249</v>
      </c>
      <c r="E13" s="193">
        <f>ABS(B10*I1*LN((B16-B14)/(B15-B14))+B13*(1/(B16+B19)-1/(B15+B19))-I4*(B16-B15))</f>
        <v>2.1219998907326953E-3</v>
      </c>
      <c r="F13" s="21">
        <f>E13+E15+E16</f>
        <v>3.0233857455783664E-3</v>
      </c>
      <c r="H13" s="4" t="s">
        <v>34</v>
      </c>
      <c r="I13" s="191">
        <f>(B19^2)-(2*B19*B14)-(2*B10*I1*B19/I4)+(B13/I4)</f>
        <v>3.9651570531532481</v>
      </c>
      <c r="J13" s="17">
        <f>B15*B16+B15*B18+B18*B16</f>
        <v>3.9651570533242229</v>
      </c>
      <c r="K13" s="6"/>
      <c r="L13" s="26">
        <f>B13/B12</f>
        <v>1.2313940796555105</v>
      </c>
    </row>
    <row r="14" spans="1:14" ht="18.75" x14ac:dyDescent="0.5">
      <c r="A14" s="147" t="s">
        <v>35</v>
      </c>
      <c r="B14" s="262">
        <f>B10*B3/8/B5</f>
        <v>0.11928554873417722</v>
      </c>
      <c r="C14" s="263" t="s">
        <v>23</v>
      </c>
      <c r="H14" s="4" t="s">
        <v>36</v>
      </c>
      <c r="I14" s="191">
        <f>(-B14*(B19^2))-(B10*I1*(B19^2)/I4)-(B13*B14/I4)</f>
        <v>-0.47298593490257834</v>
      </c>
      <c r="J14" s="17">
        <f>-(B18*B15*B16)</f>
        <v>-0.47298593492943503</v>
      </c>
      <c r="K14" s="6"/>
      <c r="L14" s="26">
        <f>B15/B14</f>
        <v>1.3082184793946807</v>
      </c>
      <c r="N14" s="4"/>
    </row>
    <row r="15" spans="1:14" ht="19.5" x14ac:dyDescent="0.5">
      <c r="A15" s="135" t="s">
        <v>37</v>
      </c>
      <c r="B15" s="264">
        <v>0.15605155917878541</v>
      </c>
      <c r="C15" s="263" t="s">
        <v>23</v>
      </c>
      <c r="D15" s="24" t="s">
        <v>38</v>
      </c>
      <c r="E15" s="25">
        <f>1000000*ABS(B15^3+I12*B15^2+I13*B15+I14)</f>
        <v>1.7574830479816228E-7</v>
      </c>
      <c r="K15" s="4"/>
      <c r="L15" s="26">
        <f>B16/B17</f>
        <v>0.90119081810405188</v>
      </c>
    </row>
    <row r="16" spans="1:14" ht="19.5" x14ac:dyDescent="0.5">
      <c r="A16" s="135" t="s">
        <v>39</v>
      </c>
      <c r="B16" s="265">
        <v>5.4280833101355412</v>
      </c>
      <c r="C16" s="263" t="s">
        <v>23</v>
      </c>
      <c r="D16" s="24" t="s">
        <v>40</v>
      </c>
      <c r="E16" s="25">
        <f>1000000*ABS(B16^3+I12*B16^2+I13*B16+I14)</f>
        <v>9.0121010654087286E-4</v>
      </c>
      <c r="L16" s="26"/>
    </row>
    <row r="17" spans="1:12" ht="19.5" x14ac:dyDescent="0.5">
      <c r="A17" s="139" t="s">
        <v>41</v>
      </c>
      <c r="B17" s="148">
        <f>B10*I1/I4</f>
        <v>6.0232341487403085</v>
      </c>
      <c r="C17" s="263" t="s">
        <v>23</v>
      </c>
      <c r="D17" s="24" t="s">
        <v>42</v>
      </c>
      <c r="E17" s="29">
        <f>1000*ABS(B18^3+I12*B18^2+I13*B18+I14)</f>
        <v>6.8613448256371612E-8</v>
      </c>
      <c r="H17" s="12"/>
      <c r="I17" s="4"/>
      <c r="J17" s="17"/>
      <c r="L17" s="25"/>
    </row>
    <row r="18" spans="1:12" ht="19.5" x14ac:dyDescent="0.5">
      <c r="A18" s="135" t="s">
        <v>43</v>
      </c>
      <c r="B18" s="138">
        <f>-I12-B15-B16</f>
        <v>0.55838482816015844</v>
      </c>
      <c r="C18" s="263" t="s">
        <v>23</v>
      </c>
      <c r="D18" s="4"/>
      <c r="E18" s="29"/>
      <c r="H18" s="12"/>
      <c r="I18" s="4"/>
      <c r="J18" s="17"/>
      <c r="L18" s="25"/>
    </row>
    <row r="19" spans="1:12" x14ac:dyDescent="0.2">
      <c r="A19" s="149" t="s">
        <v>132</v>
      </c>
      <c r="B19" s="259">
        <v>0</v>
      </c>
      <c r="C19" s="258">
        <v>1.1499999999999999</v>
      </c>
      <c r="D19" s="29"/>
      <c r="E19" s="4"/>
      <c r="G19" s="4"/>
      <c r="H19" s="12"/>
      <c r="I19" s="4"/>
      <c r="J19" s="17"/>
      <c r="L19" s="3"/>
    </row>
    <row r="20" spans="1:12" ht="15.75" x14ac:dyDescent="0.25">
      <c r="A20" s="256" t="s">
        <v>44</v>
      </c>
      <c r="B20" s="256" t="s">
        <v>45</v>
      </c>
      <c r="C20" s="256" t="s">
        <v>169</v>
      </c>
      <c r="D20" s="21"/>
      <c r="E20" s="4"/>
      <c r="I20" s="4"/>
      <c r="J20" s="17"/>
      <c r="K20" s="21"/>
    </row>
    <row r="21" spans="1:12" ht="15.75" x14ac:dyDescent="0.25">
      <c r="A21" s="257">
        <f>B14+0.00001</f>
        <v>0.11929554873417722</v>
      </c>
      <c r="B21">
        <f>($B$10*$I$1/(A21-$B$14)-$B$13/A21^2)/100</f>
        <v>3518225.5977851385</v>
      </c>
      <c r="C21"/>
      <c r="E21" s="4"/>
    </row>
    <row r="22" spans="1:12" ht="15.75" x14ac:dyDescent="0.25">
      <c r="A22" s="257">
        <f>A21*$C$19</f>
        <v>0.1371898810443038</v>
      </c>
      <c r="B22">
        <f t="shared" ref="B22:B85" si="0">($B$10*$I$1/(A22-$B$14)-$B$13/A22^2)/100</f>
        <v>734.77255246893674</v>
      </c>
      <c r="C22"/>
      <c r="E22" s="195"/>
    </row>
    <row r="23" spans="1:12" ht="15.75" x14ac:dyDescent="0.25">
      <c r="A23" s="257">
        <f t="shared" ref="A23:A86" si="1">A22*$C$19</f>
        <v>0.15776836320094936</v>
      </c>
      <c r="B23">
        <f t="shared" si="0"/>
        <v>-16.270562270298541</v>
      </c>
      <c r="C23"/>
    </row>
    <row r="24" spans="1:12" ht="15.75" x14ac:dyDescent="0.25">
      <c r="A24" s="257">
        <f t="shared" si="1"/>
        <v>0.18143361768109176</v>
      </c>
      <c r="B24">
        <f t="shared" si="0"/>
        <v>-137.54848614903074</v>
      </c>
      <c r="C24"/>
    </row>
    <row r="25" spans="1:12" ht="15.75" x14ac:dyDescent="0.25">
      <c r="A25" s="257">
        <f t="shared" si="1"/>
        <v>0.20864866033325549</v>
      </c>
      <c r="B25">
        <f t="shared" si="0"/>
        <v>-138.37810695859852</v>
      </c>
      <c r="C25"/>
    </row>
    <row r="26" spans="1:12" ht="15.75" x14ac:dyDescent="0.25">
      <c r="A26" s="257">
        <f t="shared" si="1"/>
        <v>0.23994595938324378</v>
      </c>
      <c r="B26">
        <f t="shared" si="0"/>
        <v>-110.7495367341136</v>
      </c>
      <c r="C26"/>
      <c r="K26" s="17"/>
    </row>
    <row r="27" spans="1:12" ht="15.75" x14ac:dyDescent="0.25">
      <c r="A27" s="257">
        <f t="shared" si="1"/>
        <v>0.27593785329073034</v>
      </c>
      <c r="B27">
        <f t="shared" si="0"/>
        <v>-79.629434274706867</v>
      </c>
      <c r="C27"/>
      <c r="K27" s="17"/>
    </row>
    <row r="28" spans="1:12" ht="15.75" x14ac:dyDescent="0.25">
      <c r="A28" s="257">
        <f t="shared" si="1"/>
        <v>0.31732853128433985</v>
      </c>
      <c r="B28">
        <f t="shared" si="0"/>
        <v>-52.379002822443546</v>
      </c>
      <c r="C28"/>
    </row>
    <row r="29" spans="1:12" ht="15.75" x14ac:dyDescent="0.25">
      <c r="A29" s="257">
        <f t="shared" si="1"/>
        <v>0.36492781097699079</v>
      </c>
      <c r="B29">
        <f t="shared" si="0"/>
        <v>-30.704969384824999</v>
      </c>
      <c r="C29"/>
      <c r="D29"/>
      <c r="E29"/>
      <c r="F29"/>
    </row>
    <row r="30" spans="1:12" ht="15.75" x14ac:dyDescent="0.25">
      <c r="A30" s="257">
        <f t="shared" si="1"/>
        <v>0.41966698262353935</v>
      </c>
      <c r="B30">
        <f t="shared" si="0"/>
        <v>-14.387132241594664</v>
      </c>
      <c r="C30"/>
      <c r="D30"/>
      <c r="E30"/>
      <c r="F30"/>
      <c r="J30" s="4"/>
      <c r="K30" s="18"/>
    </row>
    <row r="31" spans="1:12" ht="15.75" x14ac:dyDescent="0.25">
      <c r="A31" s="257">
        <f t="shared" si="1"/>
        <v>0.48261703001707024</v>
      </c>
      <c r="B31">
        <f t="shared" si="0"/>
        <v>-2.6060511750526896</v>
      </c>
      <c r="C31"/>
      <c r="D31"/>
      <c r="E31"/>
      <c r="F31"/>
      <c r="J31" s="4"/>
      <c r="K31" s="18"/>
    </row>
    <row r="32" spans="1:12" ht="15.75" x14ac:dyDescent="0.25">
      <c r="A32" s="257">
        <f t="shared" si="1"/>
        <v>0.55500958451963078</v>
      </c>
      <c r="B32">
        <f t="shared" si="0"/>
        <v>5.5580888175151903</v>
      </c>
      <c r="C32"/>
      <c r="D32"/>
      <c r="E32"/>
      <c r="F32"/>
      <c r="J32" s="4"/>
      <c r="K32" s="37"/>
    </row>
    <row r="33" spans="1:11" ht="15.75" x14ac:dyDescent="0.25">
      <c r="A33" s="257">
        <f t="shared" si="1"/>
        <v>0.6382610221975753</v>
      </c>
      <c r="B33">
        <f t="shared" si="0"/>
        <v>10.943250213742632</v>
      </c>
      <c r="C33"/>
      <c r="D33"/>
      <c r="E33"/>
      <c r="F33"/>
      <c r="J33" s="4"/>
      <c r="K33" s="18"/>
    </row>
    <row r="34" spans="1:11" ht="15.75" x14ac:dyDescent="0.25">
      <c r="A34" s="257">
        <f t="shared" si="1"/>
        <v>0.73400017552721153</v>
      </c>
      <c r="B34">
        <f t="shared" si="0"/>
        <v>14.250608444614191</v>
      </c>
      <c r="C34"/>
      <c r="D34"/>
      <c r="E34"/>
      <c r="F34"/>
    </row>
    <row r="35" spans="1:11" ht="15.75" x14ac:dyDescent="0.25">
      <c r="A35" s="257">
        <f t="shared" si="1"/>
        <v>0.8441002018562932</v>
      </c>
      <c r="B35">
        <f t="shared" si="0"/>
        <v>16.040869950987027</v>
      </c>
      <c r="C35"/>
      <c r="D35"/>
      <c r="E35"/>
      <c r="F35"/>
    </row>
    <row r="36" spans="1:11" ht="15.75" x14ac:dyDescent="0.25">
      <c r="A36" s="257">
        <f t="shared" si="1"/>
        <v>0.97071523213473709</v>
      </c>
      <c r="B36">
        <f t="shared" si="0"/>
        <v>16.749771572591822</v>
      </c>
      <c r="C36"/>
      <c r="D36"/>
      <c r="E36"/>
      <c r="F36"/>
    </row>
    <row r="37" spans="1:11" ht="15.75" x14ac:dyDescent="0.25">
      <c r="A37" s="257">
        <f t="shared" si="1"/>
        <v>1.1163225169549476</v>
      </c>
      <c r="B37">
        <f t="shared" si="0"/>
        <v>16.70901060461091</v>
      </c>
      <c r="C37"/>
      <c r="D37"/>
      <c r="E37"/>
      <c r="F37"/>
    </row>
    <row r="38" spans="1:11" ht="15.75" x14ac:dyDescent="0.25">
      <c r="A38" s="257">
        <f t="shared" si="1"/>
        <v>1.2837708944981896</v>
      </c>
      <c r="B38">
        <f t="shared" si="0"/>
        <v>16.166855420470483</v>
      </c>
      <c r="C38"/>
      <c r="D38"/>
      <c r="E38"/>
      <c r="F38"/>
    </row>
    <row r="39" spans="1:11" ht="15.75" x14ac:dyDescent="0.25">
      <c r="A39" s="257">
        <f t="shared" si="1"/>
        <v>1.476336528672918</v>
      </c>
      <c r="B39">
        <f t="shared" si="0"/>
        <v>15.306265612159745</v>
      </c>
      <c r="C39"/>
      <c r="D39"/>
      <c r="E39"/>
      <c r="F39"/>
    </row>
    <row r="40" spans="1:11" ht="15.75" x14ac:dyDescent="0.25">
      <c r="A40" s="257">
        <f t="shared" si="1"/>
        <v>1.6977870079738555</v>
      </c>
      <c r="B40">
        <f t="shared" si="0"/>
        <v>14.259948478572801</v>
      </c>
      <c r="C40"/>
    </row>
    <row r="41" spans="1:11" ht="15.75" x14ac:dyDescent="0.25">
      <c r="A41" s="257">
        <f t="shared" si="1"/>
        <v>1.9524550591699337</v>
      </c>
      <c r="B41">
        <f t="shared" si="0"/>
        <v>13.122463642385558</v>
      </c>
      <c r="C41"/>
    </row>
    <row r="42" spans="1:11" ht="15.75" x14ac:dyDescent="0.25">
      <c r="A42" s="257">
        <f t="shared" si="1"/>
        <v>2.2453233180454237</v>
      </c>
      <c r="B42">
        <f t="shared" si="0"/>
        <v>11.959747593827382</v>
      </c>
      <c r="C42"/>
    </row>
    <row r="43" spans="1:11" ht="15.75" x14ac:dyDescent="0.25">
      <c r="A43" s="257">
        <f t="shared" si="1"/>
        <v>2.5821218157522372</v>
      </c>
      <c r="B43">
        <f t="shared" si="0"/>
        <v>10.816494725552372</v>
      </c>
      <c r="C43"/>
    </row>
    <row r="44" spans="1:11" ht="15.75" x14ac:dyDescent="0.25">
      <c r="A44" s="257">
        <f t="shared" si="1"/>
        <v>2.9694400881150727</v>
      </c>
      <c r="B44">
        <f t="shared" si="0"/>
        <v>9.7218108607609679</v>
      </c>
      <c r="C44"/>
    </row>
    <row r="45" spans="1:11" ht="15.75" x14ac:dyDescent="0.25">
      <c r="A45" s="257">
        <f t="shared" si="1"/>
        <v>3.4148561013323331</v>
      </c>
      <c r="B45">
        <f t="shared" si="0"/>
        <v>8.693502073019415</v>
      </c>
      <c r="C45"/>
    </row>
    <row r="46" spans="1:11" ht="15.75" x14ac:dyDescent="0.25">
      <c r="A46" s="257">
        <f t="shared" si="1"/>
        <v>3.9270845165321826</v>
      </c>
      <c r="B46">
        <f t="shared" si="0"/>
        <v>7.7413005141931537</v>
      </c>
      <c r="C46"/>
    </row>
    <row r="47" spans="1:11" ht="15.75" x14ac:dyDescent="0.25">
      <c r="A47" s="257">
        <f t="shared" si="1"/>
        <v>4.5161471940120093</v>
      </c>
      <c r="B47">
        <f t="shared" si="0"/>
        <v>6.8692710175680141</v>
      </c>
      <c r="C47"/>
    </row>
    <row r="48" spans="1:11" ht="15.75" x14ac:dyDescent="0.25">
      <c r="A48" s="257">
        <f t="shared" si="1"/>
        <v>5.1935692731138099</v>
      </c>
      <c r="B48">
        <f t="shared" si="0"/>
        <v>6.0775916914497348</v>
      </c>
      <c r="C48"/>
    </row>
    <row r="49" spans="1:3" ht="15.75" x14ac:dyDescent="0.25">
      <c r="A49" s="257">
        <f t="shared" si="1"/>
        <v>5.9726046640808805</v>
      </c>
      <c r="B49">
        <f t="shared" si="0"/>
        <v>5.3638595967110732</v>
      </c>
      <c r="C49"/>
    </row>
    <row r="50" spans="1:3" ht="15.75" x14ac:dyDescent="0.25">
      <c r="A50" s="257">
        <f t="shared" si="1"/>
        <v>6.8684953636930119</v>
      </c>
      <c r="B50">
        <f t="shared" si="0"/>
        <v>4.7240384803927489</v>
      </c>
      <c r="C50"/>
    </row>
    <row r="51" spans="1:3" ht="15.75" x14ac:dyDescent="0.25">
      <c r="A51" s="257">
        <f t="shared" si="1"/>
        <v>7.8987696682469632</v>
      </c>
      <c r="B51">
        <f t="shared" si="0"/>
        <v>4.1531384107057985</v>
      </c>
      <c r="C51"/>
    </row>
    <row r="52" spans="1:3" ht="15.75" x14ac:dyDescent="0.25">
      <c r="A52" s="257">
        <f t="shared" si="1"/>
        <v>9.0835851184840077</v>
      </c>
      <c r="B52">
        <f t="shared" si="0"/>
        <v>3.6456958761561657</v>
      </c>
      <c r="C52"/>
    </row>
    <row r="53" spans="1:3" ht="15.75" x14ac:dyDescent="0.25">
      <c r="A53" s="257">
        <f t="shared" si="1"/>
        <v>10.446122886256608</v>
      </c>
      <c r="B53">
        <f t="shared" si="0"/>
        <v>3.1961063765759405</v>
      </c>
      <c r="C53"/>
    </row>
    <row r="54" spans="1:3" ht="15.75" x14ac:dyDescent="0.25">
      <c r="A54" s="257">
        <f t="shared" si="1"/>
        <v>12.013041319195098</v>
      </c>
      <c r="B54">
        <f t="shared" si="0"/>
        <v>2.798848784275505</v>
      </c>
      <c r="C54"/>
    </row>
    <row r="55" spans="1:3" ht="15.75" x14ac:dyDescent="0.25">
      <c r="A55" s="257">
        <f t="shared" si="1"/>
        <v>13.814997517074362</v>
      </c>
      <c r="B55">
        <f t="shared" si="0"/>
        <v>2.44863098246539</v>
      </c>
      <c r="C55"/>
    </row>
    <row r="56" spans="1:3" ht="15.75" x14ac:dyDescent="0.25">
      <c r="A56" s="257">
        <f t="shared" si="1"/>
        <v>15.887247144635515</v>
      </c>
      <c r="B56">
        <f t="shared" si="0"/>
        <v>2.1404788379727693</v>
      </c>
      <c r="C56"/>
    </row>
    <row r="57" spans="1:3" ht="15.75" x14ac:dyDescent="0.25">
      <c r="A57" s="257">
        <f t="shared" si="1"/>
        <v>18.270334216330841</v>
      </c>
      <c r="B57">
        <f t="shared" si="0"/>
        <v>1.8697849102860702</v>
      </c>
      <c r="C57"/>
    </row>
    <row r="58" spans="1:3" ht="15.75" x14ac:dyDescent="0.25">
      <c r="A58" s="257">
        <f t="shared" si="1"/>
        <v>21.010884348780465</v>
      </c>
      <c r="B58">
        <f t="shared" si="0"/>
        <v>1.6323290242369717</v>
      </c>
      <c r="C58"/>
    </row>
    <row r="59" spans="1:3" ht="15.75" x14ac:dyDescent="0.25">
      <c r="A59" s="257">
        <f t="shared" si="1"/>
        <v>24.162517001097534</v>
      </c>
      <c r="B59">
        <f t="shared" si="0"/>
        <v>1.4242796150428052</v>
      </c>
      <c r="C59"/>
    </row>
    <row r="60" spans="1:3" ht="15.75" x14ac:dyDescent="0.25">
      <c r="A60" s="257">
        <f t="shared" si="1"/>
        <v>27.786894551262161</v>
      </c>
      <c r="B60">
        <f t="shared" si="0"/>
        <v>1.2421823406318884</v>
      </c>
      <c r="C60"/>
    </row>
    <row r="61" spans="1:3" ht="15.75" x14ac:dyDescent="0.25">
      <c r="A61" s="257">
        <f t="shared" si="1"/>
        <v>31.954928733951483</v>
      </c>
      <c r="B61">
        <f t="shared" si="0"/>
        <v>1.0829406533835526</v>
      </c>
      <c r="C61"/>
    </row>
    <row r="62" spans="1:3" ht="15.75" x14ac:dyDescent="0.25">
      <c r="A62" s="257">
        <f t="shared" si="1"/>
        <v>36.748168044044206</v>
      </c>
      <c r="B62">
        <f t="shared" si="0"/>
        <v>0.94379168295305438</v>
      </c>
      <c r="C62"/>
    </row>
    <row r="63" spans="1:3" ht="15.75" x14ac:dyDescent="0.25">
      <c r="A63" s="257">
        <f t="shared" si="1"/>
        <v>42.260393250650836</v>
      </c>
      <c r="B63">
        <f t="shared" si="0"/>
        <v>0.82227979009003616</v>
      </c>
      <c r="C63"/>
    </row>
    <row r="64" spans="1:3" ht="15.75" x14ac:dyDescent="0.25">
      <c r="A64" s="257">
        <f t="shared" si="1"/>
        <v>48.59945223824846</v>
      </c>
      <c r="B64">
        <f t="shared" si="0"/>
        <v>0.71622942175248272</v>
      </c>
      <c r="C64"/>
    </row>
    <row r="65" spans="1:3" ht="15.75" x14ac:dyDescent="0.25">
      <c r="A65" s="257">
        <f t="shared" si="1"/>
        <v>55.889370073985724</v>
      </c>
      <c r="B65">
        <f t="shared" si="0"/>
        <v>0.62371836464890362</v>
      </c>
      <c r="C65"/>
    </row>
    <row r="66" spans="1:3" ht="15.75" x14ac:dyDescent="0.25">
      <c r="A66" s="257">
        <f t="shared" si="1"/>
        <v>64.272775585083579</v>
      </c>
      <c r="B66">
        <f t="shared" si="0"/>
        <v>0.54305210784736735</v>
      </c>
      <c r="C66"/>
    </row>
    <row r="67" spans="1:3" ht="15.75" x14ac:dyDescent="0.25">
      <c r="A67" s="257">
        <f t="shared" si="1"/>
        <v>73.913691922846112</v>
      </c>
      <c r="B67">
        <f t="shared" si="0"/>
        <v>0.47273974769033322</v>
      </c>
      <c r="C67"/>
    </row>
    <row r="68" spans="1:3" ht="15.75" x14ac:dyDescent="0.25">
      <c r="A68" s="257">
        <f t="shared" si="1"/>
        <v>85.000745711273026</v>
      </c>
      <c r="B68">
        <f t="shared" si="0"/>
        <v>0.41147167164275589</v>
      </c>
      <c r="C68"/>
    </row>
    <row r="69" spans="1:3" ht="15.75" x14ac:dyDescent="0.25">
      <c r="A69" s="257">
        <f t="shared" si="1"/>
        <v>97.750857567963976</v>
      </c>
      <c r="B69">
        <f t="shared" si="0"/>
        <v>0.35809912061449967</v>
      </c>
      <c r="C69"/>
    </row>
    <row r="70" spans="1:3" ht="15.75" x14ac:dyDescent="0.25">
      <c r="A70" s="257">
        <f t="shared" si="1"/>
        <v>112.41348620315857</v>
      </c>
      <c r="B70">
        <f t="shared" si="0"/>
        <v>0.31161563580950979</v>
      </c>
      <c r="C70"/>
    </row>
    <row r="71" spans="1:3" ht="15.75" x14ac:dyDescent="0.25">
      <c r="A71" s="257">
        <f t="shared" si="1"/>
        <v>129.27550913363234</v>
      </c>
      <c r="B71">
        <f t="shared" si="0"/>
        <v>0.27114033436991258</v>
      </c>
      <c r="C71"/>
    </row>
    <row r="72" spans="1:3" ht="15.75" x14ac:dyDescent="0.25">
      <c r="A72" s="257">
        <f t="shared" si="1"/>
        <v>148.66683550367719</v>
      </c>
      <c r="B72">
        <f t="shared" si="0"/>
        <v>0.23590291915227179</v>
      </c>
      <c r="C72"/>
    </row>
    <row r="73" spans="1:3" ht="15.75" x14ac:dyDescent="0.25">
      <c r="A73" s="257">
        <f t="shared" si="1"/>
        <v>170.96686082922875</v>
      </c>
      <c r="B73">
        <f t="shared" si="0"/>
        <v>0.20523030533447068</v>
      </c>
      <c r="C73"/>
    </row>
    <row r="74" spans="1:3" ht="15.75" x14ac:dyDescent="0.25">
      <c r="A74" s="257">
        <f t="shared" si="1"/>
        <v>196.61188995361306</v>
      </c>
      <c r="B74">
        <f t="shared" si="0"/>
        <v>0.17853473536332082</v>
      </c>
      <c r="C74"/>
    </row>
    <row r="75" spans="1:3" ht="15.75" x14ac:dyDescent="0.25">
      <c r="A75" s="257">
        <f t="shared" si="1"/>
        <v>226.10367344665499</v>
      </c>
      <c r="B75">
        <f t="shared" si="0"/>
        <v>0.15530325046107907</v>
      </c>
      <c r="C75"/>
    </row>
    <row r="76" spans="1:3" ht="15.75" x14ac:dyDescent="0.25">
      <c r="A76" s="257">
        <f t="shared" si="1"/>
        <v>260.01922446365325</v>
      </c>
      <c r="B76">
        <f t="shared" si="0"/>
        <v>0.13508838892155781</v>
      </c>
      <c r="C76"/>
    </row>
    <row r="77" spans="1:3" ht="15.75" x14ac:dyDescent="0.25">
      <c r="A77" s="257">
        <f t="shared" si="1"/>
        <v>299.02210813320119</v>
      </c>
      <c r="B77">
        <f t="shared" si="0"/>
        <v>0.1174999868677966</v>
      </c>
      <c r="C77"/>
    </row>
    <row r="78" spans="1:3" ht="15.75" x14ac:dyDescent="0.25">
      <c r="A78" s="257">
        <f t="shared" si="1"/>
        <v>343.87542435318136</v>
      </c>
      <c r="B78">
        <f t="shared" si="0"/>
        <v>0.10219796466924319</v>
      </c>
      <c r="C78"/>
    </row>
    <row r="79" spans="1:3" ht="15.75" x14ac:dyDescent="0.25">
      <c r="A79" s="257">
        <f t="shared" si="1"/>
        <v>395.45673800615856</v>
      </c>
      <c r="B79">
        <f t="shared" si="0"/>
        <v>8.8885990875880991E-2</v>
      </c>
      <c r="C79"/>
    </row>
    <row r="80" spans="1:3" ht="15.75" x14ac:dyDescent="0.25">
      <c r="A80" s="257">
        <f t="shared" si="1"/>
        <v>454.77524870708231</v>
      </c>
      <c r="B80">
        <f t="shared" si="0"/>
        <v>7.7305924657511932E-2</v>
      </c>
      <c r="C80"/>
    </row>
    <row r="81" spans="1:3" ht="15.75" x14ac:dyDescent="0.25">
      <c r="A81" s="257">
        <f t="shared" si="1"/>
        <v>522.99153601314458</v>
      </c>
      <c r="B81">
        <f t="shared" si="0"/>
        <v>6.7232946887556461E-2</v>
      </c>
      <c r="C81"/>
    </row>
    <row r="82" spans="1:3" ht="15.75" x14ac:dyDescent="0.25">
      <c r="A82" s="257">
        <f t="shared" si="1"/>
        <v>601.44026641511618</v>
      </c>
      <c r="B82">
        <f t="shared" si="0"/>
        <v>5.8471298884825156E-2</v>
      </c>
      <c r="C82"/>
    </row>
    <row r="83" spans="1:3" ht="15.75" x14ac:dyDescent="0.25">
      <c r="A83" s="257">
        <f t="shared" si="1"/>
        <v>691.65630637738354</v>
      </c>
      <c r="B83">
        <f t="shared" si="0"/>
        <v>5.0850556236774341E-2</v>
      </c>
      <c r="C83"/>
    </row>
    <row r="84" spans="1:3" ht="15.75" x14ac:dyDescent="0.25">
      <c r="A84" s="257">
        <f t="shared" si="1"/>
        <v>795.40475233399104</v>
      </c>
      <c r="B84">
        <f t="shared" si="0"/>
        <v>4.4222372965471199E-2</v>
      </c>
      <c r="C84"/>
    </row>
    <row r="85" spans="1:3" ht="15.75" x14ac:dyDescent="0.25">
      <c r="A85" s="257">
        <f t="shared" si="1"/>
        <v>914.71546518408968</v>
      </c>
      <c r="B85">
        <f t="shared" si="0"/>
        <v>3.8457638509753013E-2</v>
      </c>
      <c r="C85"/>
    </row>
    <row r="86" spans="1:3" ht="15.75" x14ac:dyDescent="0.25">
      <c r="A86" s="257">
        <f t="shared" si="1"/>
        <v>1051.922784961703</v>
      </c>
      <c r="B86">
        <f>($B$10*$I$1/(A86-$B$14)-$B$13/A86^2)/100</f>
        <v>3.3443996568792385E-2</v>
      </c>
      <c r="C86"/>
    </row>
    <row r="87" spans="1:3" ht="15.75" x14ac:dyDescent="0.25">
      <c r="A87"/>
      <c r="B87"/>
      <c r="C87"/>
    </row>
    <row r="88" spans="1:3" ht="15.75" x14ac:dyDescent="0.25">
      <c r="A88"/>
      <c r="B88"/>
      <c r="C88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N88"/>
  <sheetViews>
    <sheetView workbookViewId="0"/>
  </sheetViews>
  <sheetFormatPr defaultColWidth="8" defaultRowHeight="12.75" x14ac:dyDescent="0.2"/>
  <cols>
    <col min="1" max="2" width="8" style="2"/>
    <col min="3" max="3" width="8.375" style="2" bestFit="1" customWidth="1"/>
    <col min="4" max="4" width="8" style="2"/>
    <col min="5" max="5" width="11.125" style="2" customWidth="1"/>
    <col min="6" max="16384" width="8" style="2"/>
  </cols>
  <sheetData>
    <row r="1" spans="1:14" ht="18" x14ac:dyDescent="0.25">
      <c r="A1" s="1" t="str">
        <f>' T = Tb'!A1</f>
        <v>Benzene</v>
      </c>
      <c r="E1" s="2" t="s">
        <v>0</v>
      </c>
      <c r="F1" s="2">
        <v>1</v>
      </c>
      <c r="H1" s="3" t="s">
        <v>1</v>
      </c>
      <c r="I1" s="2">
        <f>' T = Tb'!O20</f>
        <v>440.84301198526754</v>
      </c>
      <c r="J1" s="2" t="s">
        <v>2</v>
      </c>
    </row>
    <row r="2" spans="1:14" ht="15.75" x14ac:dyDescent="0.3">
      <c r="A2" s="4" t="s">
        <v>15</v>
      </c>
      <c r="B2" s="5">
        <f>' T = Tb'!B2</f>
        <v>78.114000000000004</v>
      </c>
      <c r="C2" s="2" t="s">
        <v>3</v>
      </c>
      <c r="E2" s="4" t="s">
        <v>4</v>
      </c>
      <c r="F2" s="2">
        <f>' T = Tb'!F2</f>
        <v>-7.0143300000000002</v>
      </c>
      <c r="H2" s="3" t="s">
        <v>16</v>
      </c>
      <c r="I2" s="2">
        <f>1-I1/B3</f>
        <v>0.21580508754577421</v>
      </c>
      <c r="M2" s="4"/>
    </row>
    <row r="3" spans="1:14" ht="15.75" x14ac:dyDescent="0.3">
      <c r="A3" s="4" t="s">
        <v>17</v>
      </c>
      <c r="B3" s="5">
        <f>' T = Tb'!B3</f>
        <v>562.16</v>
      </c>
      <c r="C3" s="2" t="s">
        <v>2</v>
      </c>
      <c r="E3" s="4" t="s">
        <v>5</v>
      </c>
      <c r="F3" s="2">
        <f>' T = Tb'!F3</f>
        <v>1.5525599999999999</v>
      </c>
      <c r="H3" s="3" t="s">
        <v>6</v>
      </c>
      <c r="I3" s="144">
        <f>(B4*EXP((F2*I2+F3*I2^1.5+F4*I2^2.5+F5*I2^5)/(1-I2)))</f>
        <v>8.2185939153590262</v>
      </c>
      <c r="J3" s="2" t="s">
        <v>7</v>
      </c>
      <c r="M3" s="4"/>
    </row>
    <row r="4" spans="1:14" ht="15.75" x14ac:dyDescent="0.3">
      <c r="A4" s="4" t="s">
        <v>18</v>
      </c>
      <c r="B4" s="5">
        <f>' T = Tb'!B4</f>
        <v>48.98</v>
      </c>
      <c r="C4" s="2" t="s">
        <v>7</v>
      </c>
      <c r="E4" s="4" t="s">
        <v>8</v>
      </c>
      <c r="F4" s="2">
        <f>' T = Tb'!F4</f>
        <v>-1.8479000000000001</v>
      </c>
      <c r="H4" s="3" t="s">
        <v>6</v>
      </c>
      <c r="I4" s="2">
        <f>I3*100</f>
        <v>821.85939153590266</v>
      </c>
      <c r="J4" s="2" t="s">
        <v>9</v>
      </c>
      <c r="M4" s="4"/>
      <c r="N4" s="6"/>
    </row>
    <row r="5" spans="1:14" ht="15.75" x14ac:dyDescent="0.3">
      <c r="A5" s="4" t="s">
        <v>18</v>
      </c>
      <c r="B5" s="5">
        <f>' T = Tb'!B5</f>
        <v>4898</v>
      </c>
      <c r="C5" s="2" t="s">
        <v>9</v>
      </c>
      <c r="E5" s="4" t="s">
        <v>10</v>
      </c>
      <c r="F5" s="2">
        <f>' T = Tb'!F5</f>
        <v>-3.7130000000000001</v>
      </c>
      <c r="H5" s="4"/>
      <c r="M5" s="4"/>
      <c r="N5" s="6"/>
    </row>
    <row r="6" spans="1:14" ht="15.75" x14ac:dyDescent="0.3">
      <c r="A6" s="4" t="s">
        <v>19</v>
      </c>
      <c r="B6" s="5">
        <f>' T = Tb'!B6</f>
        <v>256</v>
      </c>
      <c r="C6" s="2" t="s">
        <v>20</v>
      </c>
      <c r="E6" s="4" t="s">
        <v>21</v>
      </c>
      <c r="F6" s="2">
        <f>' T = Tb'!F6</f>
        <v>250</v>
      </c>
      <c r="G6" s="7">
        <f>F6/B3</f>
        <v>0.44471324889711117</v>
      </c>
      <c r="H6" s="2" t="s">
        <v>22</v>
      </c>
      <c r="I6" s="2">
        <v>2.5712194055283128E-3</v>
      </c>
    </row>
    <row r="7" spans="1:14" ht="15.75" x14ac:dyDescent="0.3">
      <c r="A7" s="4" t="s">
        <v>19</v>
      </c>
      <c r="B7" s="5">
        <f>' T = Tb'!B7</f>
        <v>0.25600000000000001</v>
      </c>
      <c r="C7" s="8" t="s">
        <v>23</v>
      </c>
      <c r="E7" s="4" t="s">
        <v>24</v>
      </c>
      <c r="F7" s="2">
        <f>' T = Tb'!F7</f>
        <v>562.16</v>
      </c>
      <c r="G7" s="7">
        <f>F7/B3</f>
        <v>1</v>
      </c>
      <c r="H7" s="2" t="s">
        <v>25</v>
      </c>
      <c r="I7" s="2">
        <f>I6/I3</f>
        <v>3.128539300041557E-4</v>
      </c>
    </row>
    <row r="8" spans="1:14" ht="15.75" x14ac:dyDescent="0.3">
      <c r="A8" s="4" t="s">
        <v>26</v>
      </c>
      <c r="B8" s="5">
        <f>' T = Tb'!B8</f>
        <v>0.26800000000000002</v>
      </c>
      <c r="E8" s="4" t="s">
        <v>27</v>
      </c>
      <c r="F8" s="18">
        <f>' T = Tb'!F8</f>
        <v>353.24</v>
      </c>
      <c r="G8" s="7">
        <f>F8/B3</f>
        <v>0.6283620321616622</v>
      </c>
      <c r="H8" s="2" t="s">
        <v>28</v>
      </c>
    </row>
    <row r="9" spans="1:14" x14ac:dyDescent="0.2">
      <c r="A9" s="9" t="s">
        <v>29</v>
      </c>
      <c r="B9" s="5">
        <f>' T = Tb'!B9</f>
        <v>0.21</v>
      </c>
      <c r="E9" s="4"/>
      <c r="F9" s="2">
        <f>' T = Tb'!F9</f>
        <v>101.325</v>
      </c>
      <c r="K9" s="4"/>
    </row>
    <row r="10" spans="1:14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4" x14ac:dyDescent="0.2">
      <c r="A11" s="10" t="s">
        <v>13</v>
      </c>
      <c r="K11" s="11"/>
    </row>
    <row r="12" spans="1:14" ht="18.75" x14ac:dyDescent="0.3">
      <c r="A12" s="13" t="s">
        <v>31</v>
      </c>
      <c r="B12" s="14">
        <v>1601.9820369453239</v>
      </c>
      <c r="C12" s="15"/>
      <c r="E12" s="16" t="s">
        <v>14</v>
      </c>
      <c r="H12" s="4" t="s">
        <v>32</v>
      </c>
      <c r="I12" s="191">
        <f>(2*B19)-B14-(B10*I1/I4)</f>
        <v>-4.5791647803040521</v>
      </c>
      <c r="J12" s="17">
        <f>-(B18+B15+B16)</f>
        <v>-4.5791647803040521</v>
      </c>
      <c r="K12" s="6"/>
    </row>
    <row r="13" spans="1:14" ht="18.75" x14ac:dyDescent="0.3">
      <c r="A13" s="13" t="s">
        <v>33</v>
      </c>
      <c r="B13" s="156">
        <v>2258.0795510800476</v>
      </c>
      <c r="C13" s="157">
        <f>' T = Tb'!P20</f>
        <v>2259.5096959578163</v>
      </c>
      <c r="E13" s="193">
        <f>ABS(B10*I1*LN((B16-B14)/(B15-B14))+B13*(1/(B16+B19)-1/(B15+B19))-I4*(B16-B15))</f>
        <v>4.9204400888811506E-3</v>
      </c>
      <c r="F13" s="21">
        <f>E13+E15+E16</f>
        <v>5.1786816281449433E-3</v>
      </c>
      <c r="H13" s="4" t="s">
        <v>34</v>
      </c>
      <c r="I13" s="191">
        <f>(B19^2)-(2*B19*B14)-(2*B10*I1*B19/I4)+(B13/I4)</f>
        <v>2.7475253970878351</v>
      </c>
      <c r="J13" s="17">
        <f>B15*B16+B15*B18+B18*B16</f>
        <v>2.7475253971569868</v>
      </c>
      <c r="K13" s="6"/>
      <c r="L13" s="26">
        <f>B13/B12</f>
        <v>1.4095536023523567</v>
      </c>
    </row>
    <row r="14" spans="1:14" ht="18.75" x14ac:dyDescent="0.5">
      <c r="A14" s="147" t="s">
        <v>35</v>
      </c>
      <c r="B14" s="262">
        <f>B10*B3/8/B5</f>
        <v>0.11928554873417722</v>
      </c>
      <c r="C14" s="263" t="s">
        <v>23</v>
      </c>
      <c r="H14" s="4" t="s">
        <v>36</v>
      </c>
      <c r="I14" s="191">
        <f>(-B14*(B19^2))-(B10*I1*(B19^2)/I4)-(B13*B14/I4)</f>
        <v>-0.3277400746527106</v>
      </c>
      <c r="J14" s="17">
        <f>-(B18*B15*B16)</f>
        <v>-0.32774007466391819</v>
      </c>
      <c r="K14" s="6"/>
      <c r="L14" s="26">
        <f>B15/B14</f>
        <v>1.3491547949914831</v>
      </c>
      <c r="N14" s="4"/>
    </row>
    <row r="15" spans="1:14" ht="19.5" x14ac:dyDescent="0.5">
      <c r="A15" s="135" t="s">
        <v>37</v>
      </c>
      <c r="B15" s="264">
        <v>0.16093467004790543</v>
      </c>
      <c r="C15" s="263" t="s">
        <v>23</v>
      </c>
      <c r="D15" s="24" t="s">
        <v>38</v>
      </c>
      <c r="E15" s="25">
        <f>1000000*ABS(B15^3+I12*B15^2+I13*B15+I14)</f>
        <v>7.8714812445923599E-8</v>
      </c>
      <c r="K15" s="4"/>
      <c r="L15" s="26">
        <f>B16/B17</f>
        <v>0.87344192240546792</v>
      </c>
    </row>
    <row r="16" spans="1:14" ht="19.5" x14ac:dyDescent="0.5">
      <c r="A16" s="135" t="s">
        <v>39</v>
      </c>
      <c r="B16" s="265">
        <v>3.8954454897186128</v>
      </c>
      <c r="C16" s="263" t="s">
        <v>23</v>
      </c>
      <c r="D16" s="24" t="s">
        <v>40</v>
      </c>
      <c r="E16" s="25">
        <f>1000000*ABS(B16^3+I12*B16^2+I13*B16+I14)</f>
        <v>2.5816282445134675E-4</v>
      </c>
      <c r="L16" s="26"/>
    </row>
    <row r="17" spans="1:12" ht="19.5" x14ac:dyDescent="0.5">
      <c r="A17" s="139" t="s">
        <v>41</v>
      </c>
      <c r="B17" s="148">
        <f>B10*I1/I4</f>
        <v>4.4598792315698752</v>
      </c>
      <c r="C17" s="263" t="s">
        <v>23</v>
      </c>
      <c r="D17" s="24" t="s">
        <v>42</v>
      </c>
      <c r="E17" s="29">
        <f>1000*ABS(B18^3+I12*B18^2+I13*B18+I14)</f>
        <v>2.4943824783463242E-8</v>
      </c>
      <c r="H17" s="12"/>
      <c r="I17" s="4"/>
      <c r="J17" s="17"/>
      <c r="L17" s="25"/>
    </row>
    <row r="18" spans="1:12" ht="19.5" x14ac:dyDescent="0.5">
      <c r="A18" s="135" t="s">
        <v>43</v>
      </c>
      <c r="B18" s="138">
        <f>-I12-B15-B16</f>
        <v>0.52278462053753394</v>
      </c>
      <c r="C18" s="263" t="s">
        <v>23</v>
      </c>
      <c r="D18" s="4"/>
      <c r="E18" s="29"/>
      <c r="H18" s="12"/>
      <c r="I18" s="4"/>
      <c r="J18" s="17"/>
      <c r="L18" s="25"/>
    </row>
    <row r="19" spans="1:12" x14ac:dyDescent="0.2">
      <c r="A19" s="149" t="s">
        <v>132</v>
      </c>
      <c r="B19" s="259">
        <v>0</v>
      </c>
      <c r="C19" s="258">
        <v>1.1000000000000001</v>
      </c>
      <c r="D19" s="29"/>
      <c r="E19" s="4"/>
      <c r="G19" s="4"/>
      <c r="H19" s="12"/>
      <c r="I19" s="4"/>
      <c r="J19" s="17"/>
      <c r="L19" s="3"/>
    </row>
    <row r="20" spans="1:12" ht="15.75" x14ac:dyDescent="0.25">
      <c r="A20" s="256" t="s">
        <v>44</v>
      </c>
      <c r="B20" s="256" t="s">
        <v>45</v>
      </c>
      <c r="C20" s="256" t="s">
        <v>169</v>
      </c>
      <c r="D20" s="21"/>
      <c r="E20" s="4"/>
      <c r="I20" s="4"/>
      <c r="J20" s="17"/>
      <c r="K20" s="21"/>
    </row>
    <row r="21" spans="1:12" ht="15.75" x14ac:dyDescent="0.25">
      <c r="A21" s="257">
        <f>B14+0.00001</f>
        <v>0.11929554873417722</v>
      </c>
      <c r="B21">
        <f>($B$10*$I$1/(A21-$B$14)-$B$13/A21^2)/100</f>
        <v>3663806.9464244228</v>
      </c>
      <c r="C21"/>
      <c r="E21" s="4"/>
    </row>
    <row r="22" spans="1:12" ht="15.75" x14ac:dyDescent="0.25">
      <c r="A22" s="257">
        <f>A21*$C$19</f>
        <v>0.13122510360759496</v>
      </c>
      <c r="B22">
        <f t="shared" ref="B22:B85" si="0">($B$10*$I$1/(A22-$B$14)-$B$13/A22^2)/100</f>
        <v>1758.6483130141589</v>
      </c>
      <c r="C22"/>
      <c r="E22" s="195"/>
    </row>
    <row r="23" spans="1:12" ht="15.75" x14ac:dyDescent="0.25">
      <c r="A23" s="257">
        <f t="shared" ref="A23:A86" si="1">A22*$C$19</f>
        <v>0.14434761396835447</v>
      </c>
      <c r="B23">
        <f t="shared" si="0"/>
        <v>378.79925770008236</v>
      </c>
      <c r="C23"/>
    </row>
    <row r="24" spans="1:12" ht="15.75" x14ac:dyDescent="0.25">
      <c r="A24" s="257">
        <f t="shared" si="1"/>
        <v>0.15878237536518994</v>
      </c>
      <c r="B24">
        <f t="shared" si="0"/>
        <v>32.379903462593937</v>
      </c>
      <c r="C24"/>
    </row>
    <row r="25" spans="1:12" ht="15.75" x14ac:dyDescent="0.25">
      <c r="A25" s="257">
        <f t="shared" si="1"/>
        <v>0.17466061290170895</v>
      </c>
      <c r="B25">
        <f t="shared" si="0"/>
        <v>-78.279003078842649</v>
      </c>
      <c r="C25"/>
      <c r="J25" s="5"/>
      <c r="K25" s="17"/>
    </row>
    <row r="26" spans="1:12" ht="15.75" x14ac:dyDescent="0.25">
      <c r="A26" s="257">
        <f t="shared" si="1"/>
        <v>0.19212667419187987</v>
      </c>
      <c r="B26">
        <f t="shared" si="0"/>
        <v>-108.5319441050959</v>
      </c>
      <c r="C26"/>
      <c r="J26" s="5"/>
      <c r="K26" s="17"/>
    </row>
    <row r="27" spans="1:12" ht="15.75" x14ac:dyDescent="0.25">
      <c r="A27" s="257">
        <f t="shared" si="1"/>
        <v>0.21133934161106788</v>
      </c>
      <c r="B27">
        <f t="shared" si="0"/>
        <v>-107.38725592008566</v>
      </c>
      <c r="C27"/>
      <c r="J27" s="17"/>
      <c r="K27" s="17"/>
    </row>
    <row r="28" spans="1:12" ht="15.75" x14ac:dyDescent="0.25">
      <c r="A28" s="257">
        <f t="shared" si="1"/>
        <v>0.23247327577217469</v>
      </c>
      <c r="B28">
        <f t="shared" si="0"/>
        <v>-93.990659550630625</v>
      </c>
      <c r="C28"/>
    </row>
    <row r="29" spans="1:12" ht="15.75" x14ac:dyDescent="0.25">
      <c r="A29" s="257">
        <f t="shared" si="1"/>
        <v>0.25572060334939217</v>
      </c>
      <c r="B29">
        <f t="shared" si="0"/>
        <v>-76.654090486746242</v>
      </c>
      <c r="C29"/>
      <c r="D29"/>
      <c r="E29"/>
      <c r="F29"/>
    </row>
    <row r="30" spans="1:12" ht="15.75" x14ac:dyDescent="0.25">
      <c r="A30" s="257">
        <f t="shared" si="1"/>
        <v>0.28129266368433142</v>
      </c>
      <c r="B30">
        <f t="shared" si="0"/>
        <v>-59.130343177732755</v>
      </c>
      <c r="C30"/>
      <c r="D30"/>
      <c r="E30"/>
      <c r="F30"/>
      <c r="J30" s="4"/>
      <c r="K30" s="18"/>
    </row>
    <row r="31" spans="1:12" ht="15.75" x14ac:dyDescent="0.25">
      <c r="A31" s="257">
        <f t="shared" si="1"/>
        <v>0.30942193005276458</v>
      </c>
      <c r="B31">
        <f t="shared" si="0"/>
        <v>-43.073558912712834</v>
      </c>
      <c r="C31"/>
      <c r="D31"/>
      <c r="E31"/>
      <c r="F31"/>
      <c r="J31" s="4"/>
      <c r="K31" s="18"/>
    </row>
    <row r="32" spans="1:12" ht="15.75" x14ac:dyDescent="0.25">
      <c r="A32" s="257">
        <f t="shared" si="1"/>
        <v>0.34036412305804109</v>
      </c>
      <c r="B32">
        <f t="shared" si="0"/>
        <v>-29.121914696521308</v>
      </c>
      <c r="C32"/>
      <c r="D32"/>
      <c r="E32"/>
      <c r="F32"/>
      <c r="J32" s="4"/>
      <c r="K32" s="37"/>
    </row>
    <row r="33" spans="1:11" ht="15.75" x14ac:dyDescent="0.25">
      <c r="A33" s="257">
        <f t="shared" si="1"/>
        <v>0.37440053536384521</v>
      </c>
      <c r="B33">
        <f t="shared" si="0"/>
        <v>-17.413020418412835</v>
      </c>
      <c r="C33"/>
      <c r="D33"/>
      <c r="E33"/>
      <c r="F33"/>
      <c r="J33" s="4"/>
      <c r="K33" s="18"/>
    </row>
    <row r="34" spans="1:11" ht="15.75" x14ac:dyDescent="0.25">
      <c r="A34" s="257">
        <f t="shared" si="1"/>
        <v>0.41184058890022979</v>
      </c>
      <c r="B34">
        <f t="shared" si="0"/>
        <v>-7.8425098615082973</v>
      </c>
      <c r="C34"/>
      <c r="D34"/>
      <c r="E34"/>
      <c r="F34"/>
    </row>
    <row r="35" spans="1:11" ht="15.75" x14ac:dyDescent="0.25">
      <c r="A35" s="257">
        <f t="shared" si="1"/>
        <v>0.45302464779025281</v>
      </c>
      <c r="B35">
        <f t="shared" si="0"/>
        <v>-0.19794799868192059</v>
      </c>
      <c r="C35"/>
      <c r="D35"/>
      <c r="E35"/>
      <c r="F35"/>
    </row>
    <row r="36" spans="1:11" ht="15.75" x14ac:dyDescent="0.25">
      <c r="A36" s="257">
        <f t="shared" si="1"/>
        <v>0.49832711256927814</v>
      </c>
      <c r="B36">
        <f t="shared" si="0"/>
        <v>5.7709970498312213</v>
      </c>
      <c r="C36"/>
      <c r="D36"/>
      <c r="E36"/>
      <c r="F36"/>
    </row>
    <row r="37" spans="1:11" ht="15.75" x14ac:dyDescent="0.25">
      <c r="A37" s="257">
        <f t="shared" si="1"/>
        <v>0.54815982382620598</v>
      </c>
      <c r="B37">
        <f t="shared" si="0"/>
        <v>10.316176125594557</v>
      </c>
      <c r="C37"/>
      <c r="D37"/>
      <c r="E37"/>
      <c r="F37"/>
    </row>
    <row r="38" spans="1:11" ht="15.75" x14ac:dyDescent="0.25">
      <c r="A38" s="257">
        <f t="shared" si="1"/>
        <v>0.60297580620882663</v>
      </c>
      <c r="B38">
        <f t="shared" si="0"/>
        <v>13.672925228629829</v>
      </c>
      <c r="C38"/>
      <c r="D38"/>
      <c r="E38"/>
      <c r="F38"/>
    </row>
    <row r="39" spans="1:11" ht="15.75" x14ac:dyDescent="0.25">
      <c r="A39" s="257">
        <f t="shared" si="1"/>
        <v>0.66327338682970938</v>
      </c>
      <c r="B39">
        <f t="shared" si="0"/>
        <v>16.052095148096988</v>
      </c>
      <c r="C39"/>
      <c r="D39"/>
      <c r="E39"/>
      <c r="F39"/>
    </row>
    <row r="40" spans="1:11" ht="15.75" x14ac:dyDescent="0.25">
      <c r="A40" s="257">
        <f t="shared" si="1"/>
        <v>0.7296007255126804</v>
      </c>
      <c r="B40">
        <f t="shared" si="0"/>
        <v>17.637579101295078</v>
      </c>
      <c r="C40"/>
    </row>
    <row r="41" spans="1:11" ht="15.75" x14ac:dyDescent="0.25">
      <c r="A41" s="257">
        <f t="shared" si="1"/>
        <v>0.80256079806394853</v>
      </c>
      <c r="B41">
        <f t="shared" si="0"/>
        <v>18.586772055958331</v>
      </c>
      <c r="C41"/>
    </row>
    <row r="42" spans="1:11" ht="15.75" x14ac:dyDescent="0.25">
      <c r="A42" s="257">
        <f t="shared" si="1"/>
        <v>0.88281687787034346</v>
      </c>
      <c r="B42">
        <f t="shared" si="0"/>
        <v>19.032503979655761</v>
      </c>
      <c r="C42"/>
    </row>
    <row r="43" spans="1:11" ht="15.75" x14ac:dyDescent="0.25">
      <c r="A43" s="257">
        <f t="shared" si="1"/>
        <v>0.97109856565737784</v>
      </c>
      <c r="B43">
        <f t="shared" si="0"/>
        <v>19.085618533689971</v>
      </c>
      <c r="C43"/>
    </row>
    <row r="44" spans="1:11" ht="15.75" x14ac:dyDescent="0.25">
      <c r="A44" s="257">
        <f t="shared" si="1"/>
        <v>1.0682084222231156</v>
      </c>
      <c r="B44">
        <f t="shared" si="0"/>
        <v>18.837732056053479</v>
      </c>
      <c r="C44"/>
    </row>
    <row r="45" spans="1:11" ht="15.75" x14ac:dyDescent="0.25">
      <c r="A45" s="257">
        <f t="shared" si="1"/>
        <v>1.1750292644454272</v>
      </c>
      <c r="B45">
        <f t="shared" si="0"/>
        <v>18.363919686329815</v>
      </c>
      <c r="C45"/>
    </row>
    <row r="46" spans="1:11" ht="15.75" x14ac:dyDescent="0.25">
      <c r="A46" s="257">
        <f t="shared" si="1"/>
        <v>1.2925321908899701</v>
      </c>
      <c r="B46">
        <f t="shared" si="0"/>
        <v>17.725199641354667</v>
      </c>
      <c r="C46"/>
    </row>
    <row r="47" spans="1:11" ht="15.75" x14ac:dyDescent="0.25">
      <c r="A47" s="257">
        <f t="shared" si="1"/>
        <v>1.4217854099789673</v>
      </c>
      <c r="B47">
        <f t="shared" si="0"/>
        <v>16.970759007649416</v>
      </c>
      <c r="C47"/>
    </row>
    <row r="48" spans="1:11" ht="15.75" x14ac:dyDescent="0.25">
      <c r="A48" s="257">
        <f t="shared" si="1"/>
        <v>1.5639639509768641</v>
      </c>
      <c r="B48">
        <f t="shared" si="0"/>
        <v>16.139905905051624</v>
      </c>
      <c r="C48"/>
    </row>
    <row r="49" spans="1:3" ht="15.75" x14ac:dyDescent="0.25">
      <c r="A49" s="257">
        <f t="shared" si="1"/>
        <v>1.7203603460745507</v>
      </c>
      <c r="B49">
        <f t="shared" si="0"/>
        <v>15.263755865680302</v>
      </c>
      <c r="C49"/>
    </row>
    <row r="50" spans="1:3" ht="15.75" x14ac:dyDescent="0.25">
      <c r="A50" s="257">
        <f t="shared" si="1"/>
        <v>1.8923963806820059</v>
      </c>
      <c r="B50">
        <f t="shared" si="0"/>
        <v>14.36667217971422</v>
      </c>
      <c r="C50"/>
    </row>
    <row r="51" spans="1:3" ht="15.75" x14ac:dyDescent="0.25">
      <c r="A51" s="257">
        <f t="shared" si="1"/>
        <v>2.0816360187502068</v>
      </c>
      <c r="B51">
        <f t="shared" si="0"/>
        <v>13.467485278458648</v>
      </c>
      <c r="C51"/>
    </row>
    <row r="52" spans="1:3" ht="15.75" x14ac:dyDescent="0.25">
      <c r="A52" s="257">
        <f t="shared" si="1"/>
        <v>2.2897996206252276</v>
      </c>
      <c r="B52">
        <f t="shared" si="0"/>
        <v>12.580517697715873</v>
      </c>
      <c r="C52"/>
    </row>
    <row r="53" spans="1:3" ht="15.75" x14ac:dyDescent="0.25">
      <c r="A53" s="257">
        <f t="shared" si="1"/>
        <v>2.5187795826877504</v>
      </c>
      <c r="B53">
        <f t="shared" si="0"/>
        <v>11.716440467723823</v>
      </c>
      <c r="C53"/>
    </row>
    <row r="54" spans="1:3" ht="15.75" x14ac:dyDescent="0.25">
      <c r="A54" s="257">
        <f t="shared" si="1"/>
        <v>2.7706575409565257</v>
      </c>
      <c r="B54">
        <f t="shared" si="0"/>
        <v>10.882984933187741</v>
      </c>
      <c r="C54"/>
    </row>
    <row r="55" spans="1:3" ht="15.75" x14ac:dyDescent="0.25">
      <c r="A55" s="257">
        <f t="shared" si="1"/>
        <v>3.0477232950521786</v>
      </c>
      <c r="B55">
        <f t="shared" si="0"/>
        <v>10.085531636888801</v>
      </c>
      <c r="C55"/>
    </row>
    <row r="56" spans="1:3" ht="15.75" x14ac:dyDescent="0.25">
      <c r="A56" s="257">
        <f t="shared" si="1"/>
        <v>3.3524956245573967</v>
      </c>
      <c r="B56">
        <f t="shared" si="0"/>
        <v>9.3275953702198073</v>
      </c>
      <c r="C56"/>
    </row>
    <row r="57" spans="1:3" ht="15.75" x14ac:dyDescent="0.25">
      <c r="A57" s="257">
        <f t="shared" si="1"/>
        <v>3.6877451870131366</v>
      </c>
      <c r="B57">
        <f t="shared" si="0"/>
        <v>8.6112230145650344</v>
      </c>
      <c r="C57"/>
    </row>
    <row r="58" spans="1:3" ht="15.75" x14ac:dyDescent="0.25">
      <c r="A58" s="257">
        <f t="shared" si="1"/>
        <v>4.0565197057144502</v>
      </c>
      <c r="B58">
        <f t="shared" si="0"/>
        <v>7.9373184825824774</v>
      </c>
      <c r="C58"/>
    </row>
    <row r="59" spans="1:3" ht="15.75" x14ac:dyDescent="0.25">
      <c r="A59" s="257">
        <f t="shared" si="1"/>
        <v>4.4621716762858954</v>
      </c>
      <c r="B59">
        <f t="shared" si="0"/>
        <v>7.3059069725547738</v>
      </c>
      <c r="C59"/>
    </row>
    <row r="60" spans="1:3" ht="15.75" x14ac:dyDescent="0.25">
      <c r="A60" s="257">
        <f t="shared" si="1"/>
        <v>4.9083888439144854</v>
      </c>
      <c r="B60">
        <f t="shared" si="0"/>
        <v>6.7163488905877342</v>
      </c>
      <c r="C60"/>
    </row>
    <row r="61" spans="1:3" ht="15.75" x14ac:dyDescent="0.25">
      <c r="A61" s="257">
        <f t="shared" si="1"/>
        <v>5.3992277283059344</v>
      </c>
      <c r="B61">
        <f t="shared" si="0"/>
        <v>6.1675121721421666</v>
      </c>
      <c r="C61"/>
    </row>
    <row r="62" spans="1:3" ht="15.75" x14ac:dyDescent="0.25">
      <c r="A62" s="257">
        <f t="shared" si="1"/>
        <v>5.9391505011365284</v>
      </c>
      <c r="B62">
        <f t="shared" si="0"/>
        <v>5.6579103321859145</v>
      </c>
      <c r="C62"/>
    </row>
    <row r="63" spans="1:3" ht="15.75" x14ac:dyDescent="0.25">
      <c r="A63" s="257">
        <f t="shared" si="1"/>
        <v>6.5330655512501821</v>
      </c>
      <c r="B63">
        <f t="shared" si="0"/>
        <v>5.1858123723854712</v>
      </c>
      <c r="C63"/>
    </row>
    <row r="64" spans="1:3" ht="15.75" x14ac:dyDescent="0.25">
      <c r="A64" s="257">
        <f t="shared" si="1"/>
        <v>7.1863721063752006</v>
      </c>
      <c r="B64">
        <f t="shared" si="0"/>
        <v>4.7493296522544384</v>
      </c>
      <c r="C64"/>
    </row>
    <row r="65" spans="1:3" ht="15.75" x14ac:dyDescent="0.25">
      <c r="A65" s="257">
        <f t="shared" si="1"/>
        <v>7.9050093170127216</v>
      </c>
      <c r="B65">
        <f t="shared" si="0"/>
        <v>4.3464839669897586</v>
      </c>
      <c r="C65"/>
    </row>
    <row r="66" spans="1:3" ht="15.75" x14ac:dyDescent="0.25">
      <c r="A66" s="257">
        <f t="shared" si="1"/>
        <v>8.6955102487139939</v>
      </c>
      <c r="B66">
        <f t="shared" si="0"/>
        <v>3.9752603469219547</v>
      </c>
      <c r="C66"/>
    </row>
    <row r="67" spans="1:3" ht="15.75" x14ac:dyDescent="0.25">
      <c r="A67" s="257">
        <f t="shared" si="1"/>
        <v>9.5650612735853944</v>
      </c>
      <c r="B67">
        <f t="shared" si="0"/>
        <v>3.6336474828855669</v>
      </c>
      <c r="C67"/>
    </row>
    <row r="68" spans="1:3" ht="15.75" x14ac:dyDescent="0.25">
      <c r="A68" s="257">
        <f t="shared" si="1"/>
        <v>10.521567400943935</v>
      </c>
      <c r="B68">
        <f t="shared" si="0"/>
        <v>3.3196681711832485</v>
      </c>
      <c r="C68"/>
    </row>
    <row r="69" spans="1:3" ht="15.75" x14ac:dyDescent="0.25">
      <c r="A69" s="257">
        <f t="shared" si="1"/>
        <v>11.57372414103833</v>
      </c>
      <c r="B69">
        <f t="shared" si="0"/>
        <v>3.0314017460197324</v>
      </c>
      <c r="C69"/>
    </row>
    <row r="70" spans="1:3" ht="15.75" x14ac:dyDescent="0.25">
      <c r="A70" s="257">
        <f t="shared" si="1"/>
        <v>12.731096555142164</v>
      </c>
      <c r="B70">
        <f t="shared" si="0"/>
        <v>2.7670001131338182</v>
      </c>
      <c r="C70"/>
    </row>
    <row r="71" spans="1:3" ht="15.75" x14ac:dyDescent="0.25">
      <c r="A71" s="257">
        <f t="shared" si="1"/>
        <v>14.004206210656381</v>
      </c>
      <c r="B71">
        <f t="shared" si="0"/>
        <v>2.5246987044889995</v>
      </c>
      <c r="C71"/>
    </row>
    <row r="72" spans="1:3" ht="15.75" x14ac:dyDescent="0.25">
      <c r="A72" s="257">
        <f t="shared" si="1"/>
        <v>15.40462683172202</v>
      </c>
      <c r="B72">
        <f t="shared" si="0"/>
        <v>2.302823430566971</v>
      </c>
      <c r="C72"/>
    </row>
    <row r="73" spans="1:3" ht="15.75" x14ac:dyDescent="0.25">
      <c r="A73" s="257">
        <f t="shared" si="1"/>
        <v>16.945089514894224</v>
      </c>
      <c r="B73">
        <f t="shared" si="0"/>
        <v>2.0997945057650118</v>
      </c>
      <c r="C73"/>
    </row>
    <row r="74" spans="1:3" ht="15.75" x14ac:dyDescent="0.25">
      <c r="A74" s="257">
        <f t="shared" si="1"/>
        <v>18.639598466383649</v>
      </c>
      <c r="B74">
        <f t="shared" si="0"/>
        <v>1.9141278566187636</v>
      </c>
      <c r="C74"/>
    </row>
    <row r="75" spans="1:3" ht="15.75" x14ac:dyDescent="0.25">
      <c r="A75" s="257">
        <f t="shared" si="1"/>
        <v>20.503558313022015</v>
      </c>
      <c r="B75">
        <f t="shared" si="0"/>
        <v>1.7444346861445306</v>
      </c>
      <c r="C75"/>
    </row>
    <row r="76" spans="1:3" ht="15.75" x14ac:dyDescent="0.25">
      <c r="A76" s="257">
        <f t="shared" si="1"/>
        <v>22.553914144324217</v>
      </c>
      <c r="B76">
        <f t="shared" si="0"/>
        <v>1.5894196555505322</v>
      </c>
      <c r="C76"/>
    </row>
    <row r="77" spans="1:3" ht="15.75" x14ac:dyDescent="0.25">
      <c r="A77" s="257">
        <f t="shared" si="1"/>
        <v>24.809305558756641</v>
      </c>
      <c r="B77">
        <f t="shared" si="0"/>
        <v>1.4478780527390942</v>
      </c>
      <c r="C77"/>
    </row>
    <row r="78" spans="1:3" ht="15.75" x14ac:dyDescent="0.25">
      <c r="A78" s="257">
        <f t="shared" si="1"/>
        <v>27.290236114632307</v>
      </c>
      <c r="B78">
        <f t="shared" si="0"/>
        <v>1.3186922419286375</v>
      </c>
      <c r="C78"/>
    </row>
    <row r="79" spans="1:3" ht="15.75" x14ac:dyDescent="0.25">
      <c r="A79" s="257">
        <f t="shared" si="1"/>
        <v>30.019259726095541</v>
      </c>
      <c r="B79">
        <f t="shared" si="0"/>
        <v>1.2008276274594736</v>
      </c>
      <c r="C79"/>
    </row>
    <row r="80" spans="1:3" ht="15.75" x14ac:dyDescent="0.25">
      <c r="A80" s="257">
        <f t="shared" si="1"/>
        <v>33.021185698705096</v>
      </c>
      <c r="B80">
        <f t="shared" si="0"/>
        <v>1.0933283149907893</v>
      </c>
      <c r="C80"/>
    </row>
    <row r="81" spans="1:3" ht="15.75" x14ac:dyDescent="0.25">
      <c r="A81" s="257">
        <f t="shared" si="1"/>
        <v>36.323304268575612</v>
      </c>
      <c r="B81">
        <f t="shared" si="0"/>
        <v>0.99531261283602301</v>
      </c>
      <c r="C81"/>
    </row>
    <row r="82" spans="1:3" ht="15.75" x14ac:dyDescent="0.25">
      <c r="A82" s="257">
        <f t="shared" si="1"/>
        <v>39.955634695433176</v>
      </c>
      <c r="B82">
        <f t="shared" si="0"/>
        <v>0.90596848345031877</v>
      </c>
      <c r="C82"/>
    </row>
    <row r="83" spans="1:3" ht="15.75" x14ac:dyDescent="0.25">
      <c r="A83" s="257">
        <f t="shared" si="1"/>
        <v>43.951198164976496</v>
      </c>
      <c r="B83">
        <f t="shared" si="0"/>
        <v>0.82454902869304181</v>
      </c>
      <c r="C83"/>
    </row>
    <row r="84" spans="1:3" ht="15.75" x14ac:dyDescent="0.25">
      <c r="A84" s="257">
        <f t="shared" si="1"/>
        <v>48.346317981474151</v>
      </c>
      <c r="B84">
        <f t="shared" si="0"/>
        <v>0.75036807129526972</v>
      </c>
      <c r="C84"/>
    </row>
    <row r="85" spans="1:3" ht="15.75" x14ac:dyDescent="0.25">
      <c r="A85" s="257">
        <f t="shared" si="1"/>
        <v>53.180949779621571</v>
      </c>
      <c r="B85">
        <f t="shared" si="0"/>
        <v>0.68279587802018993</v>
      </c>
      <c r="C85"/>
    </row>
    <row r="86" spans="1:3" ht="15.75" x14ac:dyDescent="0.25">
      <c r="A86" s="257">
        <f t="shared" si="1"/>
        <v>58.499044757583732</v>
      </c>
      <c r="B86">
        <f>($B$10*$I$1/(A86-$B$14)-$B$13/A86^2)/100</f>
        <v>0.62125505653232038</v>
      </c>
      <c r="C86"/>
    </row>
    <row r="87" spans="1:3" ht="15.75" x14ac:dyDescent="0.25">
      <c r="A87"/>
      <c r="B87"/>
      <c r="C87"/>
    </row>
    <row r="88" spans="1:3" ht="15.75" x14ac:dyDescent="0.25">
      <c r="A88"/>
      <c r="B88"/>
      <c r="C88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N88"/>
  <sheetViews>
    <sheetView workbookViewId="0"/>
  </sheetViews>
  <sheetFormatPr defaultColWidth="8" defaultRowHeight="12.75" x14ac:dyDescent="0.2"/>
  <cols>
    <col min="1" max="2" width="8" style="2"/>
    <col min="3" max="3" width="10.625" style="2" bestFit="1" customWidth="1"/>
    <col min="4" max="16384" width="8" style="2"/>
  </cols>
  <sheetData>
    <row r="1" spans="1:14" ht="18" x14ac:dyDescent="0.25">
      <c r="A1" s="1" t="str">
        <f>' T = Tb'!A1</f>
        <v>Benzene</v>
      </c>
      <c r="E1" s="2" t="s">
        <v>0</v>
      </c>
      <c r="F1" s="2">
        <v>1</v>
      </c>
      <c r="H1" s="3" t="s">
        <v>1</v>
      </c>
      <c r="I1" s="2">
        <f>' T = Tb'!O21</f>
        <v>459.07110440857866</v>
      </c>
      <c r="J1" s="2" t="s">
        <v>2</v>
      </c>
    </row>
    <row r="2" spans="1:14" ht="15.75" x14ac:dyDescent="0.3">
      <c r="A2" s="4" t="s">
        <v>15</v>
      </c>
      <c r="B2" s="5">
        <f>' T = Tb'!B2</f>
        <v>78.114000000000004</v>
      </c>
      <c r="C2" s="2" t="s">
        <v>3</v>
      </c>
      <c r="E2" s="4" t="s">
        <v>4</v>
      </c>
      <c r="F2" s="2">
        <f>' T = Tb'!F2</f>
        <v>-7.0143300000000002</v>
      </c>
      <c r="H2" s="3" t="s">
        <v>16</v>
      </c>
      <c r="I2" s="2">
        <f>1-I1/B3</f>
        <v>0.18337999073470423</v>
      </c>
      <c r="M2" s="4"/>
    </row>
    <row r="3" spans="1:14" ht="15.75" x14ac:dyDescent="0.3">
      <c r="A3" s="4" t="s">
        <v>17</v>
      </c>
      <c r="B3" s="5">
        <f>' T = Tb'!B3</f>
        <v>562.16</v>
      </c>
      <c r="C3" s="2" t="s">
        <v>2</v>
      </c>
      <c r="E3" s="4" t="s">
        <v>5</v>
      </c>
      <c r="F3" s="2">
        <f>' T = Tb'!F3</f>
        <v>1.5525599999999999</v>
      </c>
      <c r="H3" s="3" t="s">
        <v>6</v>
      </c>
      <c r="I3" s="144">
        <f>(B4*EXP((F2*I2+F3*I2^1.5+F4*I2^2.5+F5*I2^5)/(1-I2)))</f>
        <v>11.382136605289334</v>
      </c>
      <c r="J3" s="2" t="s">
        <v>7</v>
      </c>
      <c r="M3" s="4"/>
    </row>
    <row r="4" spans="1:14" ht="15.75" x14ac:dyDescent="0.3">
      <c r="A4" s="4" t="s">
        <v>18</v>
      </c>
      <c r="B4" s="5">
        <f>' T = Tb'!B4</f>
        <v>48.98</v>
      </c>
      <c r="C4" s="2" t="s">
        <v>7</v>
      </c>
      <c r="E4" s="4" t="s">
        <v>8</v>
      </c>
      <c r="F4" s="2">
        <f>' T = Tb'!F4</f>
        <v>-1.8479000000000001</v>
      </c>
      <c r="H4" s="3" t="s">
        <v>6</v>
      </c>
      <c r="I4" s="2">
        <f>I3*100</f>
        <v>1138.2136605289334</v>
      </c>
      <c r="J4" s="2" t="s">
        <v>9</v>
      </c>
      <c r="M4" s="4"/>
      <c r="N4" s="6"/>
    </row>
    <row r="5" spans="1:14" ht="15.75" x14ac:dyDescent="0.3">
      <c r="A5" s="4" t="s">
        <v>18</v>
      </c>
      <c r="B5" s="5">
        <f>' T = Tb'!B5</f>
        <v>4898</v>
      </c>
      <c r="C5" s="2" t="s">
        <v>9</v>
      </c>
      <c r="E5" s="4" t="s">
        <v>10</v>
      </c>
      <c r="F5" s="2">
        <f>' T = Tb'!F5</f>
        <v>-3.7130000000000001</v>
      </c>
      <c r="H5" s="4"/>
      <c r="M5" s="4"/>
      <c r="N5" s="6"/>
    </row>
    <row r="6" spans="1:14" ht="15.75" x14ac:dyDescent="0.3">
      <c r="A6" s="4" t="s">
        <v>19</v>
      </c>
      <c r="B6" s="5">
        <f>' T = Tb'!B6</f>
        <v>256</v>
      </c>
      <c r="C6" s="2" t="s">
        <v>20</v>
      </c>
      <c r="E6" s="4" t="s">
        <v>21</v>
      </c>
      <c r="F6" s="2">
        <f>' T = Tb'!F6</f>
        <v>250</v>
      </c>
      <c r="G6" s="7">
        <f>F6/B3</f>
        <v>0.44471324889711117</v>
      </c>
      <c r="H6" s="2" t="s">
        <v>22</v>
      </c>
      <c r="I6" s="2">
        <v>2.5712194055283128E-3</v>
      </c>
    </row>
    <row r="7" spans="1:14" ht="15.75" x14ac:dyDescent="0.3">
      <c r="A7" s="4" t="s">
        <v>19</v>
      </c>
      <c r="B7" s="5">
        <f>' T = Tb'!B7</f>
        <v>0.25600000000000001</v>
      </c>
      <c r="C7" s="8" t="s">
        <v>23</v>
      </c>
      <c r="E7" s="4" t="s">
        <v>24</v>
      </c>
      <c r="F7" s="2">
        <f>' T = Tb'!F7</f>
        <v>562.16</v>
      </c>
      <c r="G7" s="7">
        <f>F7/B3</f>
        <v>1</v>
      </c>
      <c r="H7" s="2" t="s">
        <v>25</v>
      </c>
      <c r="I7" s="2">
        <f>I6/I3</f>
        <v>2.2589953843406296E-4</v>
      </c>
    </row>
    <row r="8" spans="1:14" ht="15.75" x14ac:dyDescent="0.3">
      <c r="A8" s="4" t="s">
        <v>26</v>
      </c>
      <c r="B8" s="5">
        <f>' T = Tb'!B8</f>
        <v>0.26800000000000002</v>
      </c>
      <c r="E8" s="4" t="s">
        <v>27</v>
      </c>
      <c r="F8" s="18">
        <f>' T = Tb'!F8</f>
        <v>353.24</v>
      </c>
      <c r="G8" s="7">
        <f>F8/B3</f>
        <v>0.6283620321616622</v>
      </c>
      <c r="H8" s="2" t="s">
        <v>28</v>
      </c>
    </row>
    <row r="9" spans="1:14" x14ac:dyDescent="0.2">
      <c r="A9" s="9" t="s">
        <v>29</v>
      </c>
      <c r="B9" s="5">
        <f>' T = Tb'!B9</f>
        <v>0.21</v>
      </c>
      <c r="E9" s="4"/>
      <c r="F9" s="2">
        <f>' T = Tb'!F9</f>
        <v>101.325</v>
      </c>
      <c r="K9" s="4"/>
    </row>
    <row r="10" spans="1:14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4" x14ac:dyDescent="0.2">
      <c r="A11" s="10" t="s">
        <v>13</v>
      </c>
      <c r="K11" s="11"/>
    </row>
    <row r="12" spans="1:14" ht="18.75" x14ac:dyDescent="0.3">
      <c r="A12" s="13" t="s">
        <v>31</v>
      </c>
      <c r="B12" s="14">
        <f>27/64*(B10*B3)^2/B5</f>
        <v>1881.7339064250737</v>
      </c>
      <c r="C12" s="15"/>
      <c r="E12" s="16" t="s">
        <v>14</v>
      </c>
      <c r="H12" s="4" t="s">
        <v>32</v>
      </c>
      <c r="I12" s="191">
        <f>(2*B19)-B14-(B10*I1/I4)</f>
        <v>-3.4727431821124446</v>
      </c>
      <c r="J12" s="17">
        <f>-(B18+B15+B16)</f>
        <v>-3.4727431821124446</v>
      </c>
      <c r="K12" s="6"/>
    </row>
    <row r="13" spans="1:14" ht="18.75" x14ac:dyDescent="0.3">
      <c r="A13" s="13" t="s">
        <v>33</v>
      </c>
      <c r="B13" s="156">
        <v>2198.6099177663473</v>
      </c>
      <c r="C13" s="14">
        <f>' T = Tb'!P21</f>
        <v>2198.2435354891531</v>
      </c>
      <c r="E13" s="193">
        <f>ABS(B10*I1*LN((B16-B14)/(B15-B14))+B13*(1/(B16+B19)-1/(B15+B19))-I4*(B16-B15))</f>
        <v>4.4228942260815529E-4</v>
      </c>
      <c r="F13" s="21">
        <f>E13+E15+E16</f>
        <v>5.2435444405318776E-4</v>
      </c>
      <c r="H13" s="4" t="s">
        <v>34</v>
      </c>
      <c r="I13" s="191">
        <f>(B19^2)-(2*B19*B14)-(2*B10*I1*B19/I4)+(B13/I4)</f>
        <v>1.9316319896781442</v>
      </c>
      <c r="J13" s="17">
        <f>B15*B16+B15*B18+B18*B16</f>
        <v>1.9316319897091274</v>
      </c>
      <c r="K13" s="6"/>
      <c r="L13" s="26">
        <f>B13/B12</f>
        <v>1.1683957600271315</v>
      </c>
    </row>
    <row r="14" spans="1:14" ht="18.75" x14ac:dyDescent="0.5">
      <c r="A14" s="147" t="s">
        <v>35</v>
      </c>
      <c r="B14" s="262">
        <f>B10*B3/8/B5</f>
        <v>0.11928554873417722</v>
      </c>
      <c r="C14" s="263" t="s">
        <v>23</v>
      </c>
      <c r="H14" s="4" t="s">
        <v>36</v>
      </c>
      <c r="I14" s="191">
        <f>(-B14*(B19^2))-(B10*I1*(B19^2)/I4)-(B13*B14/I4)</f>
        <v>-0.230415781841248</v>
      </c>
      <c r="J14" s="17">
        <f>-(B18*B15*B16)</f>
        <v>-0.23041578184667236</v>
      </c>
      <c r="K14" s="6"/>
      <c r="L14" s="26">
        <f>B15/B14</f>
        <v>1.4002676711885031</v>
      </c>
      <c r="N14" s="4"/>
    </row>
    <row r="15" spans="1:14" ht="19.5" x14ac:dyDescent="0.5">
      <c r="A15" s="135" t="s">
        <v>37</v>
      </c>
      <c r="B15" s="264">
        <v>0.16703169753244904</v>
      </c>
      <c r="C15" s="263" t="s">
        <v>23</v>
      </c>
      <c r="D15" s="24" t="s">
        <v>38</v>
      </c>
      <c r="E15" s="25">
        <f>1000000*ABS(B15^3+I12*B15^2+I13*B15+I14)</f>
        <v>2.4913404672588513E-7</v>
      </c>
      <c r="K15" s="4"/>
      <c r="L15" s="26">
        <f>B16/B17</f>
        <v>0.8396731480018178</v>
      </c>
    </row>
    <row r="16" spans="1:14" ht="19.5" x14ac:dyDescent="0.5">
      <c r="A16" s="135" t="s">
        <v>39</v>
      </c>
      <c r="B16" s="264">
        <v>2.8158083277094557</v>
      </c>
      <c r="C16" s="263" t="s">
        <v>23</v>
      </c>
      <c r="D16" s="24" t="s">
        <v>40</v>
      </c>
      <c r="E16" s="25">
        <f>1000000*ABS(B16^3+I12*B16^2+I13*B16+I14)</f>
        <v>8.1815887398306586E-5</v>
      </c>
      <c r="L16" s="26"/>
    </row>
    <row r="17" spans="1:12" ht="19.5" x14ac:dyDescent="0.5">
      <c r="A17" s="139" t="s">
        <v>41</v>
      </c>
      <c r="B17" s="266">
        <f>B10*I1/I4</f>
        <v>3.3534576333782673</v>
      </c>
      <c r="C17" s="263" t="s">
        <v>23</v>
      </c>
      <c r="D17" s="24" t="s">
        <v>42</v>
      </c>
      <c r="E17" s="29">
        <f>1000*ABS(B18^3+I12*B18^2+I13*B18+I14)</f>
        <v>9.7544194943566254E-9</v>
      </c>
      <c r="H17" s="12"/>
      <c r="I17" s="4"/>
      <c r="J17" s="17"/>
      <c r="L17" s="25"/>
    </row>
    <row r="18" spans="1:12" ht="19.5" x14ac:dyDescent="0.5">
      <c r="A18" s="135" t="s">
        <v>43</v>
      </c>
      <c r="B18" s="138">
        <f>-I12-B15-B16</f>
        <v>0.48990315687054009</v>
      </c>
      <c r="C18" s="263" t="s">
        <v>23</v>
      </c>
      <c r="D18" s="4"/>
      <c r="E18" s="29"/>
      <c r="H18" s="12"/>
      <c r="I18" s="4"/>
      <c r="J18" s="17"/>
      <c r="L18" s="25"/>
    </row>
    <row r="19" spans="1:12" x14ac:dyDescent="0.2">
      <c r="A19" s="149" t="s">
        <v>132</v>
      </c>
      <c r="B19" s="259">
        <v>0</v>
      </c>
      <c r="C19" s="258">
        <v>1.1499999999999999</v>
      </c>
      <c r="D19" s="29"/>
      <c r="E19" s="4"/>
      <c r="G19" s="4"/>
      <c r="H19" s="12"/>
      <c r="I19" s="4"/>
      <c r="J19" s="17"/>
      <c r="L19" s="3"/>
    </row>
    <row r="20" spans="1:12" ht="15.75" x14ac:dyDescent="0.25">
      <c r="A20" s="256" t="s">
        <v>44</v>
      </c>
      <c r="B20" s="256" t="s">
        <v>45</v>
      </c>
      <c r="C20" s="256" t="s">
        <v>169</v>
      </c>
      <c r="D20" s="21"/>
      <c r="E20" s="4"/>
      <c r="I20" s="4"/>
      <c r="J20" s="17"/>
      <c r="K20" s="21"/>
    </row>
    <row r="21" spans="1:12" ht="15.75" x14ac:dyDescent="0.25">
      <c r="A21" s="257">
        <f>B14+0.00001</f>
        <v>0.11929554873417722</v>
      </c>
      <c r="B21">
        <f>($B$10*$I$1/(A21-$B$14)-$B$13/A21^2)/100</f>
        <v>3815406.3906968134</v>
      </c>
      <c r="C21"/>
      <c r="E21" s="4"/>
    </row>
    <row r="22" spans="1:12" ht="15.75" x14ac:dyDescent="0.25">
      <c r="A22" s="257">
        <f>A21*$C$19</f>
        <v>0.1371898810443038</v>
      </c>
      <c r="B22">
        <f t="shared" ref="B22:B85" si="0">($B$10*$I$1/(A22-$B$14)-$B$13/A22^2)/100</f>
        <v>963.69449814180359</v>
      </c>
      <c r="C22"/>
      <c r="E22" s="195"/>
    </row>
    <row r="23" spans="1:12" ht="15.75" x14ac:dyDescent="0.25">
      <c r="A23" s="257">
        <f t="shared" ref="A23:A86" si="1">A22*$C$19</f>
        <v>0.15776836320094936</v>
      </c>
      <c r="B23">
        <f t="shared" si="0"/>
        <v>108.55843359680584</v>
      </c>
      <c r="C23"/>
    </row>
    <row r="24" spans="1:12" ht="15.75" x14ac:dyDescent="0.25">
      <c r="A24" s="257">
        <f t="shared" si="1"/>
        <v>0.18143361768109176</v>
      </c>
      <c r="B24">
        <f t="shared" si="0"/>
        <v>-53.731337273540191</v>
      </c>
      <c r="C24"/>
    </row>
    <row r="25" spans="1:12" ht="15.75" x14ac:dyDescent="0.25">
      <c r="A25" s="257">
        <f t="shared" si="1"/>
        <v>0.20864866033325549</v>
      </c>
      <c r="B25">
        <f t="shared" si="0"/>
        <v>-77.901484489224899</v>
      </c>
      <c r="C25"/>
      <c r="J25" s="5"/>
      <c r="K25" s="17"/>
    </row>
    <row r="26" spans="1:12" ht="15.75" x14ac:dyDescent="0.25">
      <c r="A26" s="257">
        <f t="shared" si="1"/>
        <v>0.23994595938324378</v>
      </c>
      <c r="B26">
        <f t="shared" si="0"/>
        <v>-65.536733721197962</v>
      </c>
      <c r="C26"/>
      <c r="J26" s="5"/>
      <c r="K26" s="17"/>
    </row>
    <row r="27" spans="1:12" ht="15.75" x14ac:dyDescent="0.25">
      <c r="A27" s="257">
        <f t="shared" si="1"/>
        <v>0.27593785329073034</v>
      </c>
      <c r="B27">
        <f t="shared" si="0"/>
        <v>-45.094886198159763</v>
      </c>
      <c r="C27"/>
      <c r="J27" s="17"/>
      <c r="K27" s="17"/>
    </row>
    <row r="28" spans="1:12" ht="15.75" x14ac:dyDescent="0.25">
      <c r="A28" s="257">
        <f t="shared" si="1"/>
        <v>0.31732853128433985</v>
      </c>
      <c r="B28">
        <f t="shared" si="0"/>
        <v>-25.604829162007771</v>
      </c>
      <c r="C28"/>
    </row>
    <row r="29" spans="1:12" ht="15.75" x14ac:dyDescent="0.25">
      <c r="A29" s="257">
        <f t="shared" si="1"/>
        <v>0.36492781097699079</v>
      </c>
      <c r="B29">
        <f t="shared" si="0"/>
        <v>-9.7085409981214248</v>
      </c>
      <c r="C29"/>
      <c r="D29"/>
      <c r="E29"/>
      <c r="F29"/>
    </row>
    <row r="30" spans="1:12" ht="15.75" x14ac:dyDescent="0.25">
      <c r="A30" s="257">
        <f t="shared" si="1"/>
        <v>0.41966698262353935</v>
      </c>
      <c r="B30">
        <f t="shared" si="0"/>
        <v>2.234510804491856</v>
      </c>
      <c r="C30"/>
      <c r="D30"/>
      <c r="E30"/>
      <c r="F30"/>
      <c r="J30" s="4"/>
      <c r="K30" s="18"/>
    </row>
    <row r="31" spans="1:12" ht="15.75" x14ac:dyDescent="0.25">
      <c r="A31" s="257">
        <f t="shared" si="1"/>
        <v>0.48261703001707024</v>
      </c>
      <c r="B31">
        <f t="shared" si="0"/>
        <v>10.660565117296811</v>
      </c>
      <c r="C31"/>
      <c r="D31"/>
      <c r="E31"/>
      <c r="F31"/>
      <c r="J31" s="4"/>
      <c r="K31" s="18"/>
    </row>
    <row r="32" spans="1:12" ht="15.75" x14ac:dyDescent="0.25">
      <c r="A32" s="257">
        <f t="shared" si="1"/>
        <v>0.55500958451963078</v>
      </c>
      <c r="B32">
        <f t="shared" si="0"/>
        <v>16.225020453699926</v>
      </c>
      <c r="C32"/>
      <c r="D32"/>
      <c r="E32"/>
      <c r="F32"/>
      <c r="J32" s="4"/>
      <c r="K32" s="37"/>
    </row>
    <row r="33" spans="1:11" ht="15.75" x14ac:dyDescent="0.25">
      <c r="A33" s="257">
        <f t="shared" si="1"/>
        <v>0.6382610221975753</v>
      </c>
      <c r="B33">
        <f t="shared" si="0"/>
        <v>19.577926116932147</v>
      </c>
      <c r="C33"/>
      <c r="D33"/>
      <c r="E33"/>
      <c r="F33"/>
      <c r="J33" s="4"/>
      <c r="K33" s="18"/>
    </row>
    <row r="34" spans="1:11" ht="15.75" x14ac:dyDescent="0.25">
      <c r="A34" s="257">
        <f t="shared" si="1"/>
        <v>0.73400017552721153</v>
      </c>
      <c r="B34">
        <f t="shared" si="0"/>
        <v>21.284070276814091</v>
      </c>
      <c r="C34"/>
      <c r="D34"/>
      <c r="E34"/>
      <c r="F34"/>
    </row>
    <row r="35" spans="1:11" ht="15.75" x14ac:dyDescent="0.25">
      <c r="A35" s="257">
        <f t="shared" si="1"/>
        <v>0.8441002018562932</v>
      </c>
      <c r="B35">
        <f t="shared" si="0"/>
        <v>21.803606841145516</v>
      </c>
      <c r="C35"/>
      <c r="D35"/>
      <c r="E35"/>
      <c r="F35"/>
    </row>
    <row r="36" spans="1:11" ht="15.75" x14ac:dyDescent="0.25">
      <c r="A36" s="257">
        <f t="shared" si="1"/>
        <v>0.97071523213473709</v>
      </c>
      <c r="B36">
        <f t="shared" si="0"/>
        <v>21.497233292485198</v>
      </c>
      <c r="C36"/>
      <c r="D36"/>
      <c r="E36"/>
      <c r="F36"/>
    </row>
    <row r="37" spans="1:11" ht="15.75" x14ac:dyDescent="0.25">
      <c r="A37" s="257">
        <f t="shared" si="1"/>
        <v>1.1163225169549476</v>
      </c>
      <c r="B37">
        <f t="shared" si="0"/>
        <v>20.6400935741352</v>
      </c>
      <c r="C37"/>
      <c r="D37"/>
      <c r="E37"/>
      <c r="F37"/>
    </row>
    <row r="38" spans="1:11" ht="15.75" x14ac:dyDescent="0.25">
      <c r="A38" s="257">
        <f t="shared" si="1"/>
        <v>1.2837708944981896</v>
      </c>
      <c r="B38">
        <f t="shared" si="0"/>
        <v>19.437479003281855</v>
      </c>
      <c r="C38"/>
      <c r="D38"/>
      <c r="E38"/>
      <c r="F38"/>
    </row>
    <row r="39" spans="1:11" ht="15.75" x14ac:dyDescent="0.25">
      <c r="A39" s="257">
        <f t="shared" si="1"/>
        <v>1.476336528672918</v>
      </c>
      <c r="B39">
        <f t="shared" si="0"/>
        <v>18.039449981468334</v>
      </c>
      <c r="C39"/>
      <c r="D39"/>
      <c r="E39"/>
      <c r="F39"/>
    </row>
    <row r="40" spans="1:11" ht="15.75" x14ac:dyDescent="0.25">
      <c r="A40" s="257">
        <f t="shared" si="1"/>
        <v>1.6977870079738555</v>
      </c>
      <c r="B40">
        <f t="shared" si="0"/>
        <v>16.553361542746789</v>
      </c>
      <c r="C40"/>
    </row>
    <row r="41" spans="1:11" ht="15.75" x14ac:dyDescent="0.25">
      <c r="A41" s="257">
        <f t="shared" si="1"/>
        <v>1.9524550591699337</v>
      </c>
      <c r="B41">
        <f t="shared" si="0"/>
        <v>15.054114967401997</v>
      </c>
      <c r="C41"/>
    </row>
    <row r="42" spans="1:11" ht="15.75" x14ac:dyDescent="0.25">
      <c r="A42" s="257">
        <f t="shared" si="1"/>
        <v>2.2453233180454237</v>
      </c>
      <c r="B42">
        <f t="shared" si="0"/>
        <v>13.592312564122285</v>
      </c>
      <c r="C42"/>
    </row>
    <row r="43" spans="1:11" ht="15.75" x14ac:dyDescent="0.25">
      <c r="A43" s="257">
        <f t="shared" si="1"/>
        <v>2.5821218157522372</v>
      </c>
      <c r="B43">
        <f t="shared" si="0"/>
        <v>12.200618086425063</v>
      </c>
      <c r="C43"/>
    </row>
    <row r="44" spans="1:11" ht="15.75" x14ac:dyDescent="0.25">
      <c r="A44" s="257">
        <f t="shared" si="1"/>
        <v>2.9694400881150727</v>
      </c>
      <c r="B44">
        <f t="shared" si="0"/>
        <v>10.898644638064312</v>
      </c>
      <c r="C44"/>
    </row>
    <row r="45" spans="1:11" ht="15.75" x14ac:dyDescent="0.25">
      <c r="A45" s="257">
        <f t="shared" si="1"/>
        <v>3.4148561013323331</v>
      </c>
      <c r="B45">
        <f t="shared" si="0"/>
        <v>9.6966657487337375</v>
      </c>
      <c r="C45"/>
    </row>
    <row r="46" spans="1:11" ht="15.75" x14ac:dyDescent="0.25">
      <c r="A46" s="257">
        <f t="shared" si="1"/>
        <v>3.9270845165321826</v>
      </c>
      <c r="B46">
        <f t="shared" si="0"/>
        <v>8.5984028980594829</v>
      </c>
      <c r="C46"/>
    </row>
    <row r="47" spans="1:11" ht="15.75" x14ac:dyDescent="0.25">
      <c r="A47" s="257">
        <f t="shared" si="1"/>
        <v>4.5161471940120093</v>
      </c>
      <c r="B47">
        <f t="shared" si="0"/>
        <v>7.6030979474912108</v>
      </c>
      <c r="C47"/>
    </row>
    <row r="48" spans="1:11" ht="15.75" x14ac:dyDescent="0.25">
      <c r="A48" s="257">
        <f t="shared" si="1"/>
        <v>5.1935692731138099</v>
      </c>
      <c r="B48">
        <f t="shared" si="0"/>
        <v>6.7070377484365045</v>
      </c>
      <c r="C48"/>
    </row>
    <row r="49" spans="1:3" ht="15.75" x14ac:dyDescent="0.25">
      <c r="A49" s="257">
        <f t="shared" si="1"/>
        <v>5.9726046640808805</v>
      </c>
      <c r="B49">
        <f t="shared" si="0"/>
        <v>5.9046628220939636</v>
      </c>
      <c r="C49"/>
    </row>
    <row r="50" spans="1:3" ht="15.75" x14ac:dyDescent="0.25">
      <c r="A50" s="257">
        <f t="shared" si="1"/>
        <v>6.8684953636930119</v>
      </c>
      <c r="B50">
        <f t="shared" si="0"/>
        <v>5.1893627965349909</v>
      </c>
      <c r="C50"/>
    </row>
    <row r="51" spans="1:3" ht="15.75" x14ac:dyDescent="0.25">
      <c r="A51" s="257">
        <f t="shared" si="1"/>
        <v>7.8987696682469632</v>
      </c>
      <c r="B51">
        <f t="shared" si="0"/>
        <v>4.5540377616614069</v>
      </c>
      <c r="C51"/>
    </row>
    <row r="52" spans="1:3" ht="15.75" x14ac:dyDescent="0.25">
      <c r="A52" s="257">
        <f t="shared" si="1"/>
        <v>9.0835851184840077</v>
      </c>
      <c r="B52">
        <f t="shared" si="0"/>
        <v>3.9914860784759183</v>
      </c>
      <c r="C52"/>
    </row>
    <row r="53" spans="1:3" ht="15.75" x14ac:dyDescent="0.25">
      <c r="A53" s="257">
        <f t="shared" si="1"/>
        <v>10.446122886256608</v>
      </c>
      <c r="B53">
        <f t="shared" si="0"/>
        <v>3.494664617000649</v>
      </c>
      <c r="C53"/>
    </row>
    <row r="54" spans="1:3" ht="15.75" x14ac:dyDescent="0.25">
      <c r="A54" s="257">
        <f t="shared" si="1"/>
        <v>12.013041319195098</v>
      </c>
      <c r="B54">
        <f t="shared" si="0"/>
        <v>3.0568561185250527</v>
      </c>
      <c r="C54"/>
    </row>
    <row r="55" spans="1:3" ht="15.75" x14ac:dyDescent="0.25">
      <c r="A55" s="257">
        <f t="shared" si="1"/>
        <v>13.814997517074362</v>
      </c>
      <c r="B55">
        <f t="shared" si="0"/>
        <v>2.6717697080032532</v>
      </c>
      <c r="C55"/>
    </row>
    <row r="56" spans="1:3" ht="15.75" x14ac:dyDescent="0.25">
      <c r="A56" s="257">
        <f t="shared" si="1"/>
        <v>15.887247144635515</v>
      </c>
      <c r="B56">
        <f t="shared" si="0"/>
        <v>2.3335939597495896</v>
      </c>
      <c r="C56"/>
    </row>
    <row r="57" spans="1:3" ht="15.75" x14ac:dyDescent="0.25">
      <c r="A57" s="257">
        <f t="shared" si="1"/>
        <v>18.270334216330841</v>
      </c>
      <c r="B57">
        <f t="shared" si="0"/>
        <v>2.0370168884373525</v>
      </c>
      <c r="C57"/>
    </row>
    <row r="58" spans="1:3" ht="15.75" x14ac:dyDescent="0.25">
      <c r="A58" s="257">
        <f t="shared" si="1"/>
        <v>21.010884348780465</v>
      </c>
      <c r="B58">
        <f t="shared" si="0"/>
        <v>1.7772234345063413</v>
      </c>
      <c r="C58"/>
    </row>
    <row r="59" spans="1:3" ht="15.75" x14ac:dyDescent="0.25">
      <c r="A59" s="257">
        <f t="shared" si="1"/>
        <v>24.162517001097534</v>
      </c>
      <c r="B59">
        <f t="shared" si="0"/>
        <v>1.5498781524241132</v>
      </c>
      <c r="C59"/>
    </row>
    <row r="60" spans="1:3" ht="15.75" x14ac:dyDescent="0.25">
      <c r="A60" s="257">
        <f t="shared" si="1"/>
        <v>27.786894551262161</v>
      </c>
      <c r="B60">
        <f t="shared" si="0"/>
        <v>1.35109866876908</v>
      </c>
      <c r="C60"/>
    </row>
    <row r="61" spans="1:3" ht="15.75" x14ac:dyDescent="0.25">
      <c r="A61" s="257">
        <f t="shared" si="1"/>
        <v>31.954928733951483</v>
      </c>
      <c r="B61">
        <f t="shared" si="0"/>
        <v>1.1774238821185949</v>
      </c>
      <c r="C61"/>
    </row>
    <row r="62" spans="1:3" ht="15.75" x14ac:dyDescent="0.25">
      <c r="A62" s="257">
        <f t="shared" si="1"/>
        <v>36.748168044044206</v>
      </c>
      <c r="B62">
        <f t="shared" si="0"/>
        <v>1.0257796953112237</v>
      </c>
      <c r="C62"/>
    </row>
    <row r="63" spans="1:3" ht="15.75" x14ac:dyDescent="0.25">
      <c r="A63" s="257">
        <f t="shared" si="1"/>
        <v>42.260393250650836</v>
      </c>
      <c r="B63">
        <f t="shared" si="0"/>
        <v>0.89344420099544919</v>
      </c>
      <c r="C63"/>
    </row>
    <row r="64" spans="1:3" ht="15.75" x14ac:dyDescent="0.25">
      <c r="A64" s="257">
        <f t="shared" si="1"/>
        <v>48.59945223824846</v>
      </c>
      <c r="B64">
        <f t="shared" si="0"/>
        <v>0.77801360581303403</v>
      </c>
      <c r="C64"/>
    </row>
    <row r="65" spans="1:3" ht="15.75" x14ac:dyDescent="0.25">
      <c r="A65" s="257">
        <f t="shared" si="1"/>
        <v>55.889370073985724</v>
      </c>
      <c r="B65">
        <f t="shared" si="0"/>
        <v>0.67736971806890167</v>
      </c>
      <c r="C65"/>
    </row>
    <row r="66" spans="1:3" ht="15.75" x14ac:dyDescent="0.25">
      <c r="A66" s="257">
        <f t="shared" si="1"/>
        <v>64.272775585083579</v>
      </c>
      <c r="B66">
        <f t="shared" si="0"/>
        <v>0.58964949360246799</v>
      </c>
      <c r="C66"/>
    </row>
    <row r="67" spans="1:3" ht="15.75" x14ac:dyDescent="0.25">
      <c r="A67" s="257">
        <f t="shared" si="1"/>
        <v>73.913691922846112</v>
      </c>
      <c r="B67">
        <f t="shared" si="0"/>
        <v>0.51321690104285</v>
      </c>
      <c r="C67"/>
    </row>
    <row r="68" spans="1:3" ht="15.75" x14ac:dyDescent="0.25">
      <c r="A68" s="257">
        <f t="shared" si="1"/>
        <v>85.000745711273026</v>
      </c>
      <c r="B68">
        <f t="shared" si="0"/>
        <v>0.4466372052981018</v>
      </c>
      <c r="C68"/>
    </row>
    <row r="69" spans="1:3" ht="15.75" x14ac:dyDescent="0.25">
      <c r="A69" s="257">
        <f t="shared" si="1"/>
        <v>97.750857567963976</v>
      </c>
      <c r="B69">
        <f t="shared" si="0"/>
        <v>0.38865365793962342</v>
      </c>
      <c r="C69"/>
    </row>
    <row r="70" spans="1:3" ht="15.75" x14ac:dyDescent="0.25">
      <c r="A70" s="257">
        <f t="shared" si="1"/>
        <v>112.41348620315857</v>
      </c>
      <c r="B70">
        <f t="shared" si="0"/>
        <v>0.338166510850887</v>
      </c>
      <c r="C70"/>
    </row>
    <row r="71" spans="1:3" ht="15.75" x14ac:dyDescent="0.25">
      <c r="A71" s="257">
        <f t="shared" si="1"/>
        <v>129.27550913363234</v>
      </c>
      <c r="B71">
        <f t="shared" si="0"/>
        <v>0.29421422450480145</v>
      </c>
      <c r="C71"/>
    </row>
    <row r="72" spans="1:3" ht="15.75" x14ac:dyDescent="0.25">
      <c r="A72" s="257">
        <f t="shared" si="1"/>
        <v>148.66683550367719</v>
      </c>
      <c r="B72">
        <f t="shared" si="0"/>
        <v>0.25595671664801267</v>
      </c>
      <c r="C72"/>
    </row>
    <row r="73" spans="1:3" ht="15.75" x14ac:dyDescent="0.25">
      <c r="A73" s="257">
        <f t="shared" si="1"/>
        <v>170.96686082922875</v>
      </c>
      <c r="B73">
        <f t="shared" si="0"/>
        <v>0.22266048519620654</v>
      </c>
      <c r="C73"/>
    </row>
    <row r="74" spans="1:3" ht="15.75" x14ac:dyDescent="0.25">
      <c r="A74" s="257">
        <f t="shared" si="1"/>
        <v>196.61188995361306</v>
      </c>
      <c r="B74">
        <f t="shared" si="0"/>
        <v>0.19368543652054102</v>
      </c>
      <c r="C74"/>
    </row>
    <row r="75" spans="1:3" ht="15.75" x14ac:dyDescent="0.25">
      <c r="A75" s="257">
        <f t="shared" si="1"/>
        <v>226.10367344665499</v>
      </c>
      <c r="B75">
        <f t="shared" si="0"/>
        <v>0.16847325392556839</v>
      </c>
      <c r="C75"/>
    </row>
    <row r="76" spans="1:3" ht="15.75" x14ac:dyDescent="0.25">
      <c r="A76" s="257">
        <f t="shared" si="1"/>
        <v>260.01922446365325</v>
      </c>
      <c r="B76">
        <f t="shared" si="0"/>
        <v>0.14653714873806481</v>
      </c>
      <c r="C76"/>
    </row>
    <row r="77" spans="1:3" ht="15.75" x14ac:dyDescent="0.25">
      <c r="A77" s="257">
        <f t="shared" si="1"/>
        <v>299.02210813320119</v>
      </c>
      <c r="B77">
        <f t="shared" si="0"/>
        <v>0.1274528464376575</v>
      </c>
      <c r="C77"/>
    </row>
    <row r="78" spans="1:3" ht="15.75" x14ac:dyDescent="0.25">
      <c r="A78" s="257">
        <f t="shared" si="1"/>
        <v>343.87542435318136</v>
      </c>
      <c r="B78">
        <f t="shared" si="0"/>
        <v>0.11085067152980237</v>
      </c>
      <c r="C78"/>
    </row>
    <row r="79" spans="1:3" ht="15.75" x14ac:dyDescent="0.25">
      <c r="A79" s="257">
        <f t="shared" si="1"/>
        <v>395.45673800615856</v>
      </c>
      <c r="B79">
        <f t="shared" si="0"/>
        <v>9.6408606602496019E-2</v>
      </c>
      <c r="C79"/>
    </row>
    <row r="80" spans="1:3" ht="15.75" x14ac:dyDescent="0.25">
      <c r="A80" s="257">
        <f t="shared" si="1"/>
        <v>454.77524870708231</v>
      </c>
      <c r="B80">
        <f t="shared" si="0"/>
        <v>8.3846212686833149E-2</v>
      </c>
      <c r="C80"/>
    </row>
    <row r="81" spans="1:3" ht="15.75" x14ac:dyDescent="0.25">
      <c r="A81" s="257">
        <f t="shared" si="1"/>
        <v>522.99153601314458</v>
      </c>
      <c r="B81">
        <f t="shared" si="0"/>
        <v>7.2919309308952837E-2</v>
      </c>
      <c r="C81"/>
    </row>
    <row r="82" spans="1:3" ht="15.75" x14ac:dyDescent="0.25">
      <c r="A82" s="257">
        <f t="shared" si="1"/>
        <v>601.44026641511618</v>
      </c>
      <c r="B82">
        <f t="shared" si="0"/>
        <v>6.3415323260192655E-2</v>
      </c>
      <c r="C82"/>
    </row>
    <row r="83" spans="1:3" ht="15.75" x14ac:dyDescent="0.25">
      <c r="A83" s="257">
        <f t="shared" si="1"/>
        <v>691.65630637738354</v>
      </c>
      <c r="B83">
        <f t="shared" si="0"/>
        <v>5.5149225000548613E-2</v>
      </c>
      <c r="C83"/>
    </row>
    <row r="84" spans="1:3" ht="15.75" x14ac:dyDescent="0.25">
      <c r="A84" s="257">
        <f t="shared" si="1"/>
        <v>795.40475233399104</v>
      </c>
      <c r="B84">
        <f t="shared" si="0"/>
        <v>4.7959980690792561E-2</v>
      </c>
      <c r="C84"/>
    </row>
    <row r="85" spans="1:3" ht="15.75" x14ac:dyDescent="0.25">
      <c r="A85" s="257">
        <f t="shared" si="1"/>
        <v>914.71546518408968</v>
      </c>
      <c r="B85">
        <f t="shared" si="0"/>
        <v>4.1707456108930084E-2</v>
      </c>
      <c r="C85"/>
    </row>
    <row r="86" spans="1:3" ht="15.75" x14ac:dyDescent="0.25">
      <c r="A86" s="257">
        <f t="shared" si="1"/>
        <v>1051.922784961703</v>
      </c>
      <c r="B86">
        <f>($B$10*$I$1/(A86-$B$14)-$B$13/A86^2)/100</f>
        <v>3.6269716165285855E-2</v>
      </c>
      <c r="C86"/>
    </row>
    <row r="87" spans="1:3" ht="15.75" x14ac:dyDescent="0.25">
      <c r="A87"/>
      <c r="B87"/>
      <c r="C87"/>
    </row>
    <row r="88" spans="1:3" ht="15.75" x14ac:dyDescent="0.25">
      <c r="A88"/>
      <c r="B88"/>
      <c r="C88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N88"/>
  <sheetViews>
    <sheetView workbookViewId="0"/>
  </sheetViews>
  <sheetFormatPr defaultColWidth="8" defaultRowHeight="12.75" x14ac:dyDescent="0.2"/>
  <cols>
    <col min="1" max="2" width="8" style="2"/>
    <col min="3" max="3" width="10.625" style="2" bestFit="1" customWidth="1"/>
    <col min="4" max="4" width="8" style="2"/>
    <col min="5" max="5" width="10.5" style="2" customWidth="1"/>
    <col min="6" max="16384" width="8" style="2"/>
  </cols>
  <sheetData>
    <row r="1" spans="1:14" ht="18" x14ac:dyDescent="0.25">
      <c r="A1" s="1" t="str">
        <f>' T = Tb'!A1</f>
        <v>Benzene</v>
      </c>
      <c r="E1" s="2" t="s">
        <v>0</v>
      </c>
      <c r="F1" s="2">
        <v>1</v>
      </c>
      <c r="H1" s="3" t="s">
        <v>1</v>
      </c>
      <c r="I1" s="2">
        <f>' T = Tb'!O22</f>
        <v>478.05289677576877</v>
      </c>
      <c r="J1" s="2" t="s">
        <v>2</v>
      </c>
    </row>
    <row r="2" spans="1:14" ht="15.75" x14ac:dyDescent="0.3">
      <c r="A2" s="4" t="s">
        <v>15</v>
      </c>
      <c r="B2" s="5">
        <f>' T = Tb'!B2</f>
        <v>78.114000000000004</v>
      </c>
      <c r="C2" s="2" t="s">
        <v>3</v>
      </c>
      <c r="E2" s="4" t="s">
        <v>4</v>
      </c>
      <c r="F2" s="2">
        <f>' T = Tb'!F2</f>
        <v>-7.0143300000000002</v>
      </c>
      <c r="H2" s="3" t="s">
        <v>16</v>
      </c>
      <c r="I2" s="2">
        <f>1-I1/B3</f>
        <v>0.1496141725206902</v>
      </c>
      <c r="M2" s="4"/>
    </row>
    <row r="3" spans="1:14" ht="15.75" x14ac:dyDescent="0.3">
      <c r="A3" s="4" t="s">
        <v>17</v>
      </c>
      <c r="B3" s="5">
        <f>' T = Tb'!B3</f>
        <v>562.16</v>
      </c>
      <c r="C3" s="2" t="s">
        <v>2</v>
      </c>
      <c r="E3" s="4" t="s">
        <v>5</v>
      </c>
      <c r="F3" s="2">
        <f>' T = Tb'!F3</f>
        <v>1.5525599999999999</v>
      </c>
      <c r="H3" s="3" t="s">
        <v>6</v>
      </c>
      <c r="I3" s="144">
        <f>(B4*EXP((F2*I2+F3*I2^1.5+F4*I2^2.5+F5*I2^5)/(1-I2)))</f>
        <v>15.546672704686031</v>
      </c>
      <c r="J3" s="2" t="s">
        <v>7</v>
      </c>
      <c r="M3" s="4"/>
    </row>
    <row r="4" spans="1:14" ht="15.75" x14ac:dyDescent="0.3">
      <c r="A4" s="4" t="s">
        <v>18</v>
      </c>
      <c r="B4" s="5">
        <f>' T = Tb'!B4</f>
        <v>48.98</v>
      </c>
      <c r="C4" s="2" t="s">
        <v>7</v>
      </c>
      <c r="E4" s="4" t="s">
        <v>8</v>
      </c>
      <c r="F4" s="2">
        <f>' T = Tb'!F4</f>
        <v>-1.8479000000000001</v>
      </c>
      <c r="H4" s="3" t="s">
        <v>6</v>
      </c>
      <c r="I4" s="2">
        <f>I3*100</f>
        <v>1554.6672704686032</v>
      </c>
      <c r="J4" s="2" t="s">
        <v>9</v>
      </c>
      <c r="M4" s="4"/>
      <c r="N4" s="6"/>
    </row>
    <row r="5" spans="1:14" ht="15.75" x14ac:dyDescent="0.3">
      <c r="A5" s="4" t="s">
        <v>18</v>
      </c>
      <c r="B5" s="5">
        <f>' T = Tb'!B5</f>
        <v>4898</v>
      </c>
      <c r="C5" s="2" t="s">
        <v>9</v>
      </c>
      <c r="E5" s="4" t="s">
        <v>10</v>
      </c>
      <c r="F5" s="2">
        <f>' T = Tb'!F5</f>
        <v>-3.7130000000000001</v>
      </c>
      <c r="H5" s="4"/>
      <c r="M5" s="4"/>
      <c r="N5" s="6"/>
    </row>
    <row r="6" spans="1:14" ht="15.75" x14ac:dyDescent="0.3">
      <c r="A6" s="4" t="s">
        <v>19</v>
      </c>
      <c r="B6" s="5">
        <f>' T = Tb'!B6</f>
        <v>256</v>
      </c>
      <c r="C6" s="2" t="s">
        <v>20</v>
      </c>
      <c r="E6" s="4" t="s">
        <v>21</v>
      </c>
      <c r="F6" s="2">
        <f>' T = Tb'!F6</f>
        <v>250</v>
      </c>
      <c r="G6" s="7">
        <f>F6/B3</f>
        <v>0.44471324889711117</v>
      </c>
      <c r="H6" s="2" t="s">
        <v>22</v>
      </c>
      <c r="I6" s="2">
        <v>2.5712194055283128E-3</v>
      </c>
    </row>
    <row r="7" spans="1:14" ht="15.75" x14ac:dyDescent="0.3">
      <c r="A7" s="4" t="s">
        <v>19</v>
      </c>
      <c r="B7" s="5">
        <f>' T = Tb'!B7</f>
        <v>0.25600000000000001</v>
      </c>
      <c r="C7" s="8" t="s">
        <v>23</v>
      </c>
      <c r="E7" s="4" t="s">
        <v>24</v>
      </c>
      <c r="F7" s="2">
        <f>' T = Tb'!F7</f>
        <v>562.16</v>
      </c>
      <c r="G7" s="7">
        <f>F7/B3</f>
        <v>1</v>
      </c>
      <c r="H7" s="2" t="s">
        <v>25</v>
      </c>
      <c r="I7" s="2">
        <f>I6/I3</f>
        <v>1.6538711879830748E-4</v>
      </c>
    </row>
    <row r="8" spans="1:14" ht="15.75" x14ac:dyDescent="0.3">
      <c r="A8" s="4" t="s">
        <v>26</v>
      </c>
      <c r="B8" s="5">
        <f>' T = Tb'!B8</f>
        <v>0.26800000000000002</v>
      </c>
      <c r="E8" s="4" t="s">
        <v>27</v>
      </c>
      <c r="F8" s="18">
        <f>' T = Tb'!F8</f>
        <v>353.24</v>
      </c>
      <c r="G8" s="7">
        <f>F8/B3</f>
        <v>0.6283620321616622</v>
      </c>
      <c r="H8" s="2" t="s">
        <v>28</v>
      </c>
    </row>
    <row r="9" spans="1:14" x14ac:dyDescent="0.2">
      <c r="A9" s="9" t="s">
        <v>29</v>
      </c>
      <c r="B9" s="5">
        <f>' T = Tb'!B9</f>
        <v>0.21</v>
      </c>
      <c r="E9" s="4"/>
      <c r="F9" s="2">
        <f>' T = Tb'!F9</f>
        <v>101.325</v>
      </c>
      <c r="K9" s="4"/>
    </row>
    <row r="10" spans="1:14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4" x14ac:dyDescent="0.2">
      <c r="A11" s="10" t="str">
        <f>' T = Tb'!A1</f>
        <v>Benzene</v>
      </c>
      <c r="K11" s="11"/>
    </row>
    <row r="12" spans="1:14" ht="18.75" x14ac:dyDescent="0.3">
      <c r="A12" s="13" t="s">
        <v>31</v>
      </c>
      <c r="B12" s="14">
        <f>27/64*(B10*B3)^2/B5</f>
        <v>1881.7339064250737</v>
      </c>
      <c r="C12" s="15"/>
      <c r="E12" s="16" t="s">
        <v>14</v>
      </c>
      <c r="H12" s="4" t="s">
        <v>32</v>
      </c>
      <c r="I12" s="192">
        <f>(2*B19)-B14-(B10*I1/I4)</f>
        <v>-2.6759583920320442</v>
      </c>
      <c r="J12" s="41">
        <f>-(B18+B15+B16)</f>
        <v>-2.6759583920320438</v>
      </c>
      <c r="K12" s="6"/>
    </row>
    <row r="13" spans="1:14" ht="18.75" x14ac:dyDescent="0.3">
      <c r="A13" s="13" t="s">
        <v>33</v>
      </c>
      <c r="B13" s="156">
        <v>2138.5877111910818</v>
      </c>
      <c r="C13" s="14">
        <f>' T = Tb'!P22</f>
        <v>2136.2091343467237</v>
      </c>
      <c r="E13" s="193">
        <f>ABS(B10*I1*LN((B16-B14)/(B15-B14))+B13*(1/(B16+B19)-1/(B15+B19))-I4*(B16-B15))</f>
        <v>7.7715648663343018E-2</v>
      </c>
      <c r="F13" s="21">
        <f>E13+E15+E16</f>
        <v>7.7719935373218973E-2</v>
      </c>
      <c r="H13" s="4" t="s">
        <v>34</v>
      </c>
      <c r="I13" s="192">
        <f>(B19^2)-(2*B19*B14)-(2*B10*I1*B19/I4)+(B13/I4)</f>
        <v>1.3755919043349225</v>
      </c>
      <c r="J13" s="41">
        <f>B15*B16+B15*B18+B18*B16</f>
        <v>1.3755919043372182</v>
      </c>
      <c r="K13" s="6"/>
      <c r="L13" s="26">
        <f>B13/B12</f>
        <v>1.1364984729716541</v>
      </c>
    </row>
    <row r="14" spans="1:14" ht="18.75" x14ac:dyDescent="0.5">
      <c r="A14" s="147" t="s">
        <v>35</v>
      </c>
      <c r="B14" s="262">
        <f>B10*B3/8/B5</f>
        <v>0.11928554873417722</v>
      </c>
      <c r="C14" s="263" t="s">
        <v>23</v>
      </c>
      <c r="H14" s="4" t="s">
        <v>36</v>
      </c>
      <c r="I14" s="192">
        <f>(-B14*(B19^2))-(B10*I1*(B19^2)/I4)-(B13*B14/I4)</f>
        <v>-0.16408823514288304</v>
      </c>
      <c r="J14" s="41">
        <f>-(B18*B15*B16)</f>
        <v>-0.16408823514334836</v>
      </c>
      <c r="K14" s="6"/>
      <c r="L14" s="26">
        <f>B15/B14</f>
        <v>1.4663023570345961</v>
      </c>
      <c r="N14" s="4"/>
    </row>
    <row r="15" spans="1:14" ht="19.5" x14ac:dyDescent="0.5">
      <c r="A15" s="135" t="s">
        <v>37</v>
      </c>
      <c r="B15" s="264">
        <v>0.17490868126908923</v>
      </c>
      <c r="C15" s="263" t="s">
        <v>23</v>
      </c>
      <c r="D15" s="24" t="s">
        <v>38</v>
      </c>
      <c r="E15" s="25">
        <f>1000000*ABS(B15^3+I12*B15^2+I13*B15+I14)</f>
        <v>6.3782312764715243E-8</v>
      </c>
      <c r="K15" s="4"/>
      <c r="L15" s="26">
        <f>B16/B17</f>
        <v>0.79850716294948698</v>
      </c>
    </row>
    <row r="16" spans="1:14" ht="19.5" x14ac:dyDescent="0.5">
      <c r="A16" s="135" t="s">
        <v>39</v>
      </c>
      <c r="B16" s="264">
        <v>2.041521578691778</v>
      </c>
      <c r="C16" s="263" t="s">
        <v>23</v>
      </c>
      <c r="D16" s="24" t="s">
        <v>40</v>
      </c>
      <c r="E16" s="25">
        <f>1000000*ABS(B16^3+I12*B16^2+I13*B16+I14)</f>
        <v>4.2229275631910923E-6</v>
      </c>
      <c r="L16" s="26"/>
    </row>
    <row r="17" spans="1:12" ht="19.5" x14ac:dyDescent="0.5">
      <c r="A17" s="139" t="s">
        <v>41</v>
      </c>
      <c r="B17" s="148">
        <f>B10*I1/I4</f>
        <v>2.5566728432978669</v>
      </c>
      <c r="C17" s="263" t="s">
        <v>23</v>
      </c>
      <c r="D17" s="24" t="s">
        <v>42</v>
      </c>
      <c r="E17" s="29">
        <f>1000*ABS(B18^3+I12*B18^2+I13*B18+I14)</f>
        <v>5.8966720395403627E-10</v>
      </c>
      <c r="H17" s="12"/>
      <c r="I17" s="4"/>
      <c r="J17" s="17"/>
      <c r="L17" s="25"/>
    </row>
    <row r="18" spans="1:12" ht="19.5" x14ac:dyDescent="0.5">
      <c r="A18" s="135" t="s">
        <v>43</v>
      </c>
      <c r="B18" s="138">
        <f>-I12-B15-B16</f>
        <v>0.45952813207117682</v>
      </c>
      <c r="C18" s="263" t="s">
        <v>23</v>
      </c>
      <c r="D18" s="4"/>
      <c r="E18" s="29"/>
      <c r="H18" s="12"/>
      <c r="I18" s="4"/>
      <c r="J18" s="17"/>
      <c r="L18" s="25"/>
    </row>
    <row r="19" spans="1:12" x14ac:dyDescent="0.2">
      <c r="A19" s="149" t="s">
        <v>132</v>
      </c>
      <c r="B19" s="259">
        <v>0</v>
      </c>
      <c r="C19" s="258">
        <v>1.1499999999999999</v>
      </c>
      <c r="D19" s="29"/>
      <c r="E19" s="4"/>
      <c r="G19" s="4"/>
      <c r="H19" s="12"/>
      <c r="I19" s="4"/>
      <c r="J19" s="17"/>
      <c r="L19" s="3"/>
    </row>
    <row r="20" spans="1:12" ht="15.75" x14ac:dyDescent="0.25">
      <c r="A20" s="256" t="s">
        <v>44</v>
      </c>
      <c r="B20" s="256" t="s">
        <v>45</v>
      </c>
      <c r="C20" s="256" t="s">
        <v>169</v>
      </c>
      <c r="D20" s="21"/>
      <c r="E20" s="4"/>
      <c r="I20" s="4"/>
      <c r="J20" s="17"/>
      <c r="K20" s="21"/>
    </row>
    <row r="21" spans="1:12" ht="15.75" x14ac:dyDescent="0.25">
      <c r="A21" s="257">
        <f>B14+0.00001</f>
        <v>0.11929554873417722</v>
      </c>
      <c r="B21">
        <f>($B$10*$I$1/(A21-$B$14)-$B$13/A21^2)/100</f>
        <v>3973272.8689663396</v>
      </c>
      <c r="C21"/>
      <c r="E21" s="4"/>
    </row>
    <row r="22" spans="1:12" ht="15.75" x14ac:dyDescent="0.25">
      <c r="A22" s="257">
        <f>A21*$C$19</f>
        <v>0.1371898810443038</v>
      </c>
      <c r="B22">
        <f t="shared" ref="B22:B85" si="0">($B$10*$I$1/(A22-$B$14)-$B$13/A22^2)/100</f>
        <v>1083.7341401005965</v>
      </c>
      <c r="C22"/>
      <c r="E22" s="195"/>
    </row>
    <row r="23" spans="1:12" ht="15.75" x14ac:dyDescent="0.25">
      <c r="A23" s="257">
        <f t="shared" ref="A23:A86" si="1">A22*$C$19</f>
        <v>0.15776836320094936</v>
      </c>
      <c r="B23">
        <f t="shared" si="0"/>
        <v>173.6842244272394</v>
      </c>
      <c r="C23"/>
    </row>
    <row r="24" spans="1:12" ht="15.75" x14ac:dyDescent="0.25">
      <c r="A24" s="257">
        <f t="shared" si="1"/>
        <v>0.18143361768109176</v>
      </c>
      <c r="B24">
        <f t="shared" si="0"/>
        <v>-10.102684401073128</v>
      </c>
      <c r="C24"/>
    </row>
    <row r="25" spans="1:12" ht="15.75" x14ac:dyDescent="0.25">
      <c r="A25" s="257">
        <f t="shared" si="1"/>
        <v>0.20864866033325549</v>
      </c>
      <c r="B25">
        <f t="shared" si="0"/>
        <v>-46.453123475058526</v>
      </c>
      <c r="C25"/>
      <c r="J25" s="5"/>
      <c r="K25" s="17"/>
    </row>
    <row r="26" spans="1:12" ht="15.75" x14ac:dyDescent="0.25">
      <c r="A26" s="257">
        <f t="shared" si="1"/>
        <v>0.23994595938324378</v>
      </c>
      <c r="B26">
        <f t="shared" si="0"/>
        <v>-42.031477176429618</v>
      </c>
      <c r="C26"/>
      <c r="J26" s="5"/>
      <c r="K26" s="17"/>
    </row>
    <row r="27" spans="1:12" ht="15.75" x14ac:dyDescent="0.25">
      <c r="A27" s="257">
        <f t="shared" si="1"/>
        <v>0.27593785329073034</v>
      </c>
      <c r="B27">
        <f t="shared" si="0"/>
        <v>-27.137109660820933</v>
      </c>
      <c r="C27"/>
      <c r="J27" s="17"/>
      <c r="K27" s="17"/>
    </row>
    <row r="28" spans="1:12" ht="15.75" x14ac:dyDescent="0.25">
      <c r="A28" s="257">
        <f t="shared" si="1"/>
        <v>0.31732853128433985</v>
      </c>
      <c r="B28">
        <f t="shared" si="0"/>
        <v>-11.674983508612568</v>
      </c>
      <c r="C28"/>
    </row>
    <row r="29" spans="1:12" ht="15.75" x14ac:dyDescent="0.25">
      <c r="A29" s="257">
        <f t="shared" si="1"/>
        <v>0.36492781097699079</v>
      </c>
      <c r="B29">
        <f t="shared" si="0"/>
        <v>1.2235330660121508</v>
      </c>
      <c r="C29"/>
      <c r="D29"/>
      <c r="E29"/>
      <c r="F29"/>
    </row>
    <row r="30" spans="1:12" ht="15.75" x14ac:dyDescent="0.25">
      <c r="A30" s="257">
        <f t="shared" si="1"/>
        <v>0.41966698262353935</v>
      </c>
      <c r="B30">
        <f t="shared" si="0"/>
        <v>10.896662251008856</v>
      </c>
      <c r="C30"/>
      <c r="D30"/>
      <c r="E30"/>
      <c r="F30"/>
      <c r="J30" s="4"/>
      <c r="K30" s="18"/>
    </row>
    <row r="31" spans="1:12" ht="15.75" x14ac:dyDescent="0.25">
      <c r="A31" s="257">
        <f t="shared" si="1"/>
        <v>0.48261703001707024</v>
      </c>
      <c r="B31">
        <f t="shared" si="0"/>
        <v>17.581329433222873</v>
      </c>
      <c r="C31"/>
      <c r="D31"/>
      <c r="E31"/>
      <c r="F31"/>
      <c r="J31" s="4"/>
      <c r="K31" s="18"/>
    </row>
    <row r="32" spans="1:12" ht="15.75" x14ac:dyDescent="0.25">
      <c r="A32" s="257">
        <f t="shared" si="1"/>
        <v>0.55500958451963078</v>
      </c>
      <c r="B32">
        <f t="shared" si="0"/>
        <v>21.795683979242867</v>
      </c>
      <c r="C32"/>
      <c r="D32"/>
      <c r="E32"/>
      <c r="F32"/>
      <c r="J32" s="4"/>
      <c r="K32" s="37"/>
    </row>
    <row r="33" spans="1:11" ht="15.75" x14ac:dyDescent="0.25">
      <c r="A33" s="257">
        <f t="shared" si="1"/>
        <v>0.6382610221975753</v>
      </c>
      <c r="B33">
        <f t="shared" si="0"/>
        <v>24.092382345070053</v>
      </c>
      <c r="C33"/>
      <c r="D33"/>
      <c r="E33"/>
      <c r="F33"/>
      <c r="J33" s="4"/>
      <c r="K33" s="18"/>
    </row>
    <row r="34" spans="1:11" ht="15.75" x14ac:dyDescent="0.25">
      <c r="A34" s="257">
        <f t="shared" si="1"/>
        <v>0.73400017552721153</v>
      </c>
      <c r="B34">
        <f t="shared" si="0"/>
        <v>24.965598786404009</v>
      </c>
      <c r="C34"/>
      <c r="D34"/>
      <c r="E34"/>
      <c r="F34"/>
    </row>
    <row r="35" spans="1:11" ht="15.75" x14ac:dyDescent="0.25">
      <c r="A35" s="257">
        <f t="shared" si="1"/>
        <v>0.8441002018562932</v>
      </c>
      <c r="B35">
        <f t="shared" si="0"/>
        <v>24.823461281369383</v>
      </c>
      <c r="C35"/>
      <c r="D35"/>
      <c r="E35"/>
      <c r="F35"/>
    </row>
    <row r="36" spans="1:11" ht="15.75" x14ac:dyDescent="0.25">
      <c r="A36" s="257">
        <f t="shared" si="1"/>
        <v>0.97071523213473709</v>
      </c>
      <c r="B36">
        <f t="shared" si="0"/>
        <v>23.987855633143127</v>
      </c>
      <c r="C36"/>
      <c r="D36"/>
      <c r="E36"/>
      <c r="F36"/>
    </row>
    <row r="37" spans="1:11" ht="15.75" x14ac:dyDescent="0.25">
      <c r="A37" s="257">
        <f t="shared" si="1"/>
        <v>1.1163225169549476</v>
      </c>
      <c r="B37">
        <f t="shared" si="0"/>
        <v>22.704678014823777</v>
      </c>
      <c r="C37"/>
      <c r="D37"/>
      <c r="E37"/>
      <c r="F37"/>
    </row>
    <row r="38" spans="1:11" ht="15.75" x14ac:dyDescent="0.25">
      <c r="A38" s="257">
        <f t="shared" si="1"/>
        <v>1.2837708944981896</v>
      </c>
      <c r="B38">
        <f t="shared" si="0"/>
        <v>21.156990228846816</v>
      </c>
      <c r="C38"/>
      <c r="D38"/>
      <c r="E38"/>
      <c r="F38"/>
    </row>
    <row r="39" spans="1:11" ht="15.75" x14ac:dyDescent="0.25">
      <c r="A39" s="257">
        <f t="shared" si="1"/>
        <v>1.476336528672918</v>
      </c>
      <c r="B39">
        <f t="shared" si="0"/>
        <v>19.477830227224469</v>
      </c>
      <c r="C39"/>
      <c r="D39"/>
      <c r="E39"/>
      <c r="F39"/>
    </row>
    <row r="40" spans="1:11" ht="15.75" x14ac:dyDescent="0.25">
      <c r="A40" s="257">
        <f t="shared" si="1"/>
        <v>1.6977870079738555</v>
      </c>
      <c r="B40">
        <f t="shared" si="0"/>
        <v>17.761428898230601</v>
      </c>
      <c r="C40"/>
    </row>
    <row r="41" spans="1:11" ht="15.75" x14ac:dyDescent="0.25">
      <c r="A41" s="257">
        <f t="shared" si="1"/>
        <v>1.9524550591699337</v>
      </c>
      <c r="B41">
        <f t="shared" si="0"/>
        <v>16.072504340739741</v>
      </c>
      <c r="C41"/>
    </row>
    <row r="42" spans="1:11" ht="15.75" x14ac:dyDescent="0.25">
      <c r="A42" s="257">
        <f t="shared" si="1"/>
        <v>2.2453233180454237</v>
      </c>
      <c r="B42">
        <f t="shared" si="0"/>
        <v>14.45370942732988</v>
      </c>
      <c r="C42"/>
    </row>
    <row r="43" spans="1:11" ht="15.75" x14ac:dyDescent="0.25">
      <c r="A43" s="257">
        <f t="shared" si="1"/>
        <v>2.5821218157522372</v>
      </c>
      <c r="B43">
        <f t="shared" si="0"/>
        <v>12.931465492541761</v>
      </c>
      <c r="C43"/>
    </row>
    <row r="44" spans="1:11" ht="15.75" x14ac:dyDescent="0.25">
      <c r="A44" s="257">
        <f t="shared" si="1"/>
        <v>2.9694400881150727</v>
      </c>
      <c r="B44">
        <f t="shared" si="0"/>
        <v>11.520455202652554</v>
      </c>
      <c r="C44"/>
    </row>
    <row r="45" spans="1:11" ht="15.75" x14ac:dyDescent="0.25">
      <c r="A45" s="257">
        <f t="shared" si="1"/>
        <v>3.4148561013323331</v>
      </c>
      <c r="B45">
        <f t="shared" si="0"/>
        <v>10.227035552747122</v>
      </c>
      <c r="C45"/>
    </row>
    <row r="46" spans="1:11" ht="15.75" x14ac:dyDescent="0.25">
      <c r="A46" s="257">
        <f t="shared" si="1"/>
        <v>3.9270845165321826</v>
      </c>
      <c r="B46">
        <f t="shared" si="0"/>
        <v>9.0517992320909268</v>
      </c>
      <c r="C46"/>
    </row>
    <row r="47" spans="1:11" ht="15.75" x14ac:dyDescent="0.25">
      <c r="A47" s="257">
        <f t="shared" si="1"/>
        <v>4.5161471940120093</v>
      </c>
      <c r="B47">
        <f t="shared" si="0"/>
        <v>7.9914745865009085</v>
      </c>
      <c r="C47"/>
    </row>
    <row r="48" spans="1:11" ht="15.75" x14ac:dyDescent="0.25">
      <c r="A48" s="257">
        <f t="shared" si="1"/>
        <v>5.1935692731138099</v>
      </c>
      <c r="B48">
        <f t="shared" si="0"/>
        <v>7.0403180595884702</v>
      </c>
      <c r="C48"/>
    </row>
    <row r="49" spans="1:3" ht="15.75" x14ac:dyDescent="0.25">
      <c r="A49" s="257">
        <f t="shared" si="1"/>
        <v>5.9726046640808805</v>
      </c>
      <c r="B49">
        <f t="shared" si="0"/>
        <v>6.191121110200295</v>
      </c>
      <c r="C49"/>
    </row>
    <row r="50" spans="1:3" ht="15.75" x14ac:dyDescent="0.25">
      <c r="A50" s="257">
        <f t="shared" si="1"/>
        <v>6.8684953636930119</v>
      </c>
      <c r="B50">
        <f t="shared" si="0"/>
        <v>5.4359269293263965</v>
      </c>
      <c r="C50"/>
    </row>
    <row r="51" spans="1:3" ht="15.75" x14ac:dyDescent="0.25">
      <c r="A51" s="257">
        <f t="shared" si="1"/>
        <v>7.8987696682469632</v>
      </c>
      <c r="B51">
        <f t="shared" si="0"/>
        <v>4.7665306128282348</v>
      </c>
      <c r="C51"/>
    </row>
    <row r="52" spans="1:3" ht="15.75" x14ac:dyDescent="0.25">
      <c r="A52" s="257">
        <f t="shared" si="1"/>
        <v>9.0835851184840077</v>
      </c>
      <c r="B52">
        <f t="shared" si="0"/>
        <v>4.1748191925032492</v>
      </c>
      <c r="C52"/>
    </row>
    <row r="53" spans="1:3" ht="15.75" x14ac:dyDescent="0.25">
      <c r="A53" s="257">
        <f t="shared" si="1"/>
        <v>10.446122886256608</v>
      </c>
      <c r="B53">
        <f t="shared" si="0"/>
        <v>3.6529943822564945</v>
      </c>
      <c r="C53"/>
    </row>
    <row r="54" spans="1:3" ht="15.75" x14ac:dyDescent="0.25">
      <c r="A54" s="257">
        <f t="shared" si="1"/>
        <v>12.013041319195098</v>
      </c>
      <c r="B54">
        <f t="shared" si="0"/>
        <v>3.1937103749421794</v>
      </c>
      <c r="C54"/>
    </row>
    <row r="55" spans="1:3" ht="15.75" x14ac:dyDescent="0.25">
      <c r="A55" s="257">
        <f t="shared" si="1"/>
        <v>13.814997517074362</v>
      </c>
      <c r="B55">
        <f t="shared" si="0"/>
        <v>2.790150922460557</v>
      </c>
      <c r="C55"/>
    </row>
    <row r="56" spans="1:3" ht="15.75" x14ac:dyDescent="0.25">
      <c r="A56" s="257">
        <f t="shared" si="1"/>
        <v>15.887247144635515</v>
      </c>
      <c r="B56">
        <f t="shared" si="0"/>
        <v>2.4360637348992937</v>
      </c>
      <c r="C56"/>
    </row>
    <row r="57" spans="1:3" ht="15.75" x14ac:dyDescent="0.25">
      <c r="A57" s="257">
        <f t="shared" si="1"/>
        <v>18.270334216330841</v>
      </c>
      <c r="B57">
        <f t="shared" si="0"/>
        <v>2.1257655244175289</v>
      </c>
      <c r="C57"/>
    </row>
    <row r="58" spans="1:3" ht="15.75" x14ac:dyDescent="0.25">
      <c r="A58" s="257">
        <f t="shared" si="1"/>
        <v>21.010884348780465</v>
      </c>
      <c r="B58">
        <f t="shared" si="0"/>
        <v>1.8541274594902004</v>
      </c>
      <c r="C58"/>
    </row>
    <row r="59" spans="1:3" ht="15.75" x14ac:dyDescent="0.25">
      <c r="A59" s="257">
        <f t="shared" si="1"/>
        <v>24.162517001097534</v>
      </c>
      <c r="B59">
        <f t="shared" si="0"/>
        <v>1.6165481186903912</v>
      </c>
      <c r="C59"/>
    </row>
    <row r="60" spans="1:3" ht="15.75" x14ac:dyDescent="0.25">
      <c r="A60" s="257">
        <f t="shared" si="1"/>
        <v>27.786894551262161</v>
      </c>
      <c r="B60">
        <f t="shared" si="0"/>
        <v>1.4089190319011455</v>
      </c>
      <c r="C60"/>
    </row>
    <row r="61" spans="1:3" ht="15.75" x14ac:dyDescent="0.25">
      <c r="A61" s="257">
        <f t="shared" si="1"/>
        <v>31.954928733951483</v>
      </c>
      <c r="B61">
        <f t="shared" si="0"/>
        <v>1.2275864088711608</v>
      </c>
      <c r="C61"/>
    </row>
    <row r="62" spans="1:3" ht="15.75" x14ac:dyDescent="0.25">
      <c r="A62" s="257">
        <f t="shared" si="1"/>
        <v>36.748168044044206</v>
      </c>
      <c r="B62">
        <f t="shared" si="0"/>
        <v>1.0693115555463424</v>
      </c>
      <c r="C62"/>
    </row>
    <row r="63" spans="1:3" ht="15.75" x14ac:dyDescent="0.25">
      <c r="A63" s="257">
        <f t="shared" si="1"/>
        <v>42.260393250650836</v>
      </c>
      <c r="B63">
        <f t="shared" si="0"/>
        <v>0.93123167188269262</v>
      </c>
      <c r="C63"/>
    </row>
    <row r="64" spans="1:3" ht="15.75" x14ac:dyDescent="0.25">
      <c r="A64" s="257">
        <f t="shared" si="1"/>
        <v>48.59945223824846</v>
      </c>
      <c r="B64">
        <f t="shared" si="0"/>
        <v>0.81082213777692858</v>
      </c>
      <c r="C64"/>
    </row>
    <row r="65" spans="1:3" ht="15.75" x14ac:dyDescent="0.25">
      <c r="A65" s="257">
        <f t="shared" si="1"/>
        <v>55.889370073985724</v>
      </c>
      <c r="B65">
        <f t="shared" si="0"/>
        <v>0.70586097075437082</v>
      </c>
      <c r="C65"/>
    </row>
    <row r="66" spans="1:3" ht="15.75" x14ac:dyDescent="0.25">
      <c r="A66" s="257">
        <f t="shared" si="1"/>
        <v>64.272775585083579</v>
      </c>
      <c r="B66">
        <f t="shared" si="0"/>
        <v>0.6143958380186515</v>
      </c>
      <c r="C66"/>
    </row>
    <row r="67" spans="1:3" ht="15.75" x14ac:dyDescent="0.25">
      <c r="A67" s="257">
        <f t="shared" si="1"/>
        <v>73.913691922846112</v>
      </c>
      <c r="B67">
        <f t="shared" si="0"/>
        <v>0.53471379460617641</v>
      </c>
      <c r="C67"/>
    </row>
    <row r="68" spans="1:3" ht="15.75" x14ac:dyDescent="0.25">
      <c r="A68" s="257">
        <f t="shared" si="1"/>
        <v>85.000745711273026</v>
      </c>
      <c r="B68">
        <f t="shared" si="0"/>
        <v>0.46531377478774688</v>
      </c>
      <c r="C68"/>
    </row>
    <row r="69" spans="1:3" ht="15.75" x14ac:dyDescent="0.25">
      <c r="A69" s="257">
        <f t="shared" si="1"/>
        <v>97.750857567963976</v>
      </c>
      <c r="B69">
        <f t="shared" si="0"/>
        <v>0.40488176759770445</v>
      </c>
      <c r="C69"/>
    </row>
    <row r="70" spans="1:3" ht="15.75" x14ac:dyDescent="0.25">
      <c r="A70" s="257">
        <f t="shared" si="1"/>
        <v>112.41348620315857</v>
      </c>
      <c r="B70">
        <f t="shared" si="0"/>
        <v>0.35226854606570379</v>
      </c>
      <c r="C70"/>
    </row>
    <row r="71" spans="1:3" ht="15.75" x14ac:dyDescent="0.25">
      <c r="A71" s="257">
        <f t="shared" si="1"/>
        <v>129.27550913363234</v>
      </c>
      <c r="B71">
        <f t="shared" si="0"/>
        <v>0.30646978342828401</v>
      </c>
      <c r="C71"/>
    </row>
    <row r="72" spans="1:3" ht="15.75" x14ac:dyDescent="0.25">
      <c r="A72" s="257">
        <f t="shared" si="1"/>
        <v>148.66683550367719</v>
      </c>
      <c r="B72">
        <f t="shared" si="0"/>
        <v>0.26660837094420947</v>
      </c>
      <c r="C72"/>
    </row>
    <row r="73" spans="1:3" ht="15.75" x14ac:dyDescent="0.25">
      <c r="A73" s="257">
        <f t="shared" si="1"/>
        <v>170.96686082922875</v>
      </c>
      <c r="B73">
        <f t="shared" si="0"/>
        <v>0.23191874551035827</v>
      </c>
      <c r="C73"/>
    </row>
    <row r="74" spans="1:3" ht="15.75" x14ac:dyDescent="0.25">
      <c r="A74" s="257">
        <f t="shared" si="1"/>
        <v>196.61188995361306</v>
      </c>
      <c r="B74">
        <f t="shared" si="0"/>
        <v>0.20173303711124679</v>
      </c>
      <c r="C74"/>
    </row>
    <row r="75" spans="1:3" ht="15.75" x14ac:dyDescent="0.25">
      <c r="A75" s="257">
        <f t="shared" si="1"/>
        <v>226.10367344665499</v>
      </c>
      <c r="B75">
        <f t="shared" si="0"/>
        <v>0.17546885335981927</v>
      </c>
      <c r="C75"/>
    </row>
    <row r="76" spans="1:3" ht="15.75" x14ac:dyDescent="0.25">
      <c r="A76" s="257">
        <f t="shared" si="1"/>
        <v>260.01922446365325</v>
      </c>
      <c r="B76">
        <f t="shared" si="0"/>
        <v>0.15261852893342079</v>
      </c>
      <c r="C76"/>
    </row>
    <row r="77" spans="1:3" ht="15.75" x14ac:dyDescent="0.25">
      <c r="A77" s="257">
        <f t="shared" si="1"/>
        <v>299.02210813320119</v>
      </c>
      <c r="B77">
        <f t="shared" si="0"/>
        <v>0.13273968010948958</v>
      </c>
      <c r="C77"/>
    </row>
    <row r="78" spans="1:3" ht="15.75" x14ac:dyDescent="0.25">
      <c r="A78" s="257">
        <f t="shared" si="1"/>
        <v>343.87542435318136</v>
      </c>
      <c r="B78">
        <f t="shared" si="0"/>
        <v>0.11544691783467891</v>
      </c>
      <c r="C78"/>
    </row>
    <row r="79" spans="1:3" ht="15.75" x14ac:dyDescent="0.25">
      <c r="A79" s="257">
        <f t="shared" si="1"/>
        <v>395.45673800615856</v>
      </c>
      <c r="B79">
        <f t="shared" si="0"/>
        <v>0.10040458611673543</v>
      </c>
      <c r="C79"/>
    </row>
    <row r="80" spans="1:3" ht="15.75" x14ac:dyDescent="0.25">
      <c r="A80" s="257">
        <f t="shared" si="1"/>
        <v>454.77524870708231</v>
      </c>
      <c r="B80">
        <f t="shared" si="0"/>
        <v>8.7320405544012381E-2</v>
      </c>
      <c r="C80"/>
    </row>
    <row r="81" spans="1:3" ht="15.75" x14ac:dyDescent="0.25">
      <c r="A81" s="257">
        <f t="shared" si="1"/>
        <v>522.99153601314458</v>
      </c>
      <c r="B81">
        <f t="shared" si="0"/>
        <v>7.5939914116511201E-2</v>
      </c>
      <c r="C81"/>
    </row>
    <row r="82" spans="1:3" ht="15.75" x14ac:dyDescent="0.25">
      <c r="A82" s="257">
        <f t="shared" si="1"/>
        <v>601.44026641511618</v>
      </c>
      <c r="B82">
        <f t="shared" si="0"/>
        <v>6.6041609139774055E-2</v>
      </c>
      <c r="C82"/>
    </row>
    <row r="83" spans="1:3" ht="15.75" x14ac:dyDescent="0.25">
      <c r="A83" s="257">
        <f t="shared" si="1"/>
        <v>691.65630637738354</v>
      </c>
      <c r="B83">
        <f t="shared" si="0"/>
        <v>5.7432704599268421E-2</v>
      </c>
      <c r="C83"/>
    </row>
    <row r="84" spans="1:3" ht="15.75" x14ac:dyDescent="0.25">
      <c r="A84" s="257">
        <f t="shared" si="1"/>
        <v>795.40475233399104</v>
      </c>
      <c r="B84">
        <f t="shared" si="0"/>
        <v>4.9945428167763539E-2</v>
      </c>
      <c r="C84"/>
    </row>
    <row r="85" spans="1:3" ht="15.75" x14ac:dyDescent="0.25">
      <c r="A85" s="257">
        <f t="shared" si="1"/>
        <v>914.71546518408968</v>
      </c>
      <c r="B85">
        <f t="shared" si="0"/>
        <v>4.3433790811157884E-2</v>
      </c>
      <c r="C85"/>
    </row>
    <row r="86" spans="1:3" ht="15.75" x14ac:dyDescent="0.25">
      <c r="A86" s="257">
        <f t="shared" si="1"/>
        <v>1051.922784961703</v>
      </c>
      <c r="B86">
        <f>($B$10*$I$1/(A86-$B$14)-$B$13/A86^2)/100</f>
        <v>3.7770769884827055E-2</v>
      </c>
      <c r="C86"/>
    </row>
    <row r="87" spans="1:3" ht="15.75" x14ac:dyDescent="0.25">
      <c r="A87"/>
      <c r="B87"/>
      <c r="C87"/>
    </row>
    <row r="88" spans="1:3" ht="15.75" x14ac:dyDescent="0.25">
      <c r="A88"/>
      <c r="B88"/>
      <c r="C88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N88"/>
  <sheetViews>
    <sheetView topLeftCell="B2" workbookViewId="0">
      <selection activeCell="Q5" sqref="Q5"/>
    </sheetView>
  </sheetViews>
  <sheetFormatPr defaultColWidth="8" defaultRowHeight="12.75" x14ac:dyDescent="0.2"/>
  <cols>
    <col min="1" max="2" width="8" style="2"/>
    <col min="3" max="3" width="10.625" style="2" bestFit="1" customWidth="1"/>
    <col min="4" max="4" width="8" style="2"/>
    <col min="5" max="5" width="9.75" style="2" customWidth="1"/>
    <col min="6" max="16384" width="8" style="2"/>
  </cols>
  <sheetData>
    <row r="1" spans="1:14" ht="18" x14ac:dyDescent="0.25">
      <c r="A1" s="1" t="str">
        <f>' T = Tb'!A1</f>
        <v>Benzene</v>
      </c>
      <c r="E1" s="2" t="s">
        <v>0</v>
      </c>
      <c r="F1" s="2">
        <v>1</v>
      </c>
      <c r="H1" s="3" t="s">
        <v>1</v>
      </c>
      <c r="I1" s="2">
        <f>' T = Tb'!O23</f>
        <v>497.81955326969432</v>
      </c>
      <c r="J1" s="2" t="s">
        <v>2</v>
      </c>
    </row>
    <row r="2" spans="1:14" ht="15.75" x14ac:dyDescent="0.3">
      <c r="A2" s="4" t="s">
        <v>15</v>
      </c>
      <c r="B2" s="5">
        <f>' T = Tb'!B2</f>
        <v>78.114000000000004</v>
      </c>
      <c r="C2" s="2" t="s">
        <v>3</v>
      </c>
      <c r="E2" s="4" t="s">
        <v>4</v>
      </c>
      <c r="F2" s="2">
        <f>' T = Tb'!F2</f>
        <v>-7.0143300000000002</v>
      </c>
      <c r="H2" s="3" t="s">
        <v>16</v>
      </c>
      <c r="I2" s="2">
        <f>1-I1/B3</f>
        <v>0.11445219640370297</v>
      </c>
      <c r="M2" s="4"/>
    </row>
    <row r="3" spans="1:14" ht="15.75" x14ac:dyDescent="0.3">
      <c r="A3" s="4" t="s">
        <v>17</v>
      </c>
      <c r="B3" s="5">
        <f>' T = Tb'!B3</f>
        <v>562.16</v>
      </c>
      <c r="C3" s="2" t="s">
        <v>2</v>
      </c>
      <c r="E3" s="4" t="s">
        <v>5</v>
      </c>
      <c r="F3" s="2">
        <f>' T = Tb'!F3</f>
        <v>1.5525599999999999</v>
      </c>
      <c r="H3" s="3" t="s">
        <v>6</v>
      </c>
      <c r="I3" s="144">
        <f>(B4*EXP((F2*I2+F3*I2^1.5+F4*I2^2.5+F5*I2^5)/(1-I2)))</f>
        <v>20.976510874317992</v>
      </c>
      <c r="J3" s="2" t="s">
        <v>7</v>
      </c>
      <c r="M3" s="4"/>
    </row>
    <row r="4" spans="1:14" ht="15.75" x14ac:dyDescent="0.3">
      <c r="A4" s="4" t="s">
        <v>18</v>
      </c>
      <c r="B4" s="5">
        <f>' T = Tb'!B4</f>
        <v>48.98</v>
      </c>
      <c r="C4" s="2" t="s">
        <v>7</v>
      </c>
      <c r="E4" s="4" t="s">
        <v>8</v>
      </c>
      <c r="F4" s="2">
        <f>' T = Tb'!F4</f>
        <v>-1.8479000000000001</v>
      </c>
      <c r="H4" s="3" t="s">
        <v>6</v>
      </c>
      <c r="I4" s="2">
        <f>I3*100</f>
        <v>2097.6510874317992</v>
      </c>
      <c r="J4" s="2" t="s">
        <v>9</v>
      </c>
      <c r="M4" s="4"/>
      <c r="N4" s="6"/>
    </row>
    <row r="5" spans="1:14" ht="15.75" x14ac:dyDescent="0.3">
      <c r="A5" s="4" t="s">
        <v>18</v>
      </c>
      <c r="B5" s="5">
        <f>' T = Tb'!B5</f>
        <v>4898</v>
      </c>
      <c r="C5" s="2" t="s">
        <v>9</v>
      </c>
      <c r="E5" s="4" t="s">
        <v>10</v>
      </c>
      <c r="F5" s="2">
        <f>' T = Tb'!F5</f>
        <v>-3.7130000000000001</v>
      </c>
      <c r="H5" s="4"/>
      <c r="M5" s="4"/>
      <c r="N5" s="6"/>
    </row>
    <row r="6" spans="1:14" ht="15.75" x14ac:dyDescent="0.3">
      <c r="A6" s="4" t="s">
        <v>19</v>
      </c>
      <c r="B6" s="5">
        <f>' T = Tb'!B6</f>
        <v>256</v>
      </c>
      <c r="C6" s="2" t="s">
        <v>20</v>
      </c>
      <c r="E6" s="4" t="s">
        <v>21</v>
      </c>
      <c r="F6" s="2">
        <f>' T = Tb'!F6</f>
        <v>250</v>
      </c>
      <c r="G6" s="7">
        <f>F6/B3</f>
        <v>0.44471324889711117</v>
      </c>
      <c r="H6" s="2" t="s">
        <v>22</v>
      </c>
      <c r="I6" s="2">
        <v>2.5712194055283128E-3</v>
      </c>
    </row>
    <row r="7" spans="1:14" ht="15.75" x14ac:dyDescent="0.3">
      <c r="A7" s="4" t="s">
        <v>19</v>
      </c>
      <c r="B7" s="5">
        <f>' T = Tb'!B7</f>
        <v>0.25600000000000001</v>
      </c>
      <c r="C7" s="8" t="s">
        <v>23</v>
      </c>
      <c r="E7" s="4" t="s">
        <v>24</v>
      </c>
      <c r="F7" s="2">
        <f>' T = Tb'!F7</f>
        <v>562.16</v>
      </c>
      <c r="G7" s="7">
        <f>F7/B3</f>
        <v>1</v>
      </c>
      <c r="H7" s="2" t="s">
        <v>25</v>
      </c>
      <c r="I7" s="2">
        <f>I6/I3</f>
        <v>1.2257612435804629E-4</v>
      </c>
    </row>
    <row r="8" spans="1:14" ht="15.75" x14ac:dyDescent="0.3">
      <c r="A8" s="4" t="s">
        <v>26</v>
      </c>
      <c r="B8" s="5">
        <f>' T = Tb'!B8</f>
        <v>0.26800000000000002</v>
      </c>
      <c r="E8" s="4" t="s">
        <v>27</v>
      </c>
      <c r="F8" s="18">
        <f>' T = Tb'!F8</f>
        <v>353.24</v>
      </c>
      <c r="G8" s="7">
        <f>F8/B3</f>
        <v>0.6283620321616622</v>
      </c>
      <c r="H8" s="2" t="s">
        <v>28</v>
      </c>
    </row>
    <row r="9" spans="1:14" x14ac:dyDescent="0.2">
      <c r="A9" s="9" t="s">
        <v>29</v>
      </c>
      <c r="B9" s="5">
        <f>' T = Tb'!B9</f>
        <v>0.21</v>
      </c>
      <c r="E9" s="4"/>
      <c r="F9" s="2">
        <f>' T = Tb'!F9</f>
        <v>101.325</v>
      </c>
      <c r="K9" s="4"/>
    </row>
    <row r="10" spans="1:14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4" x14ac:dyDescent="0.2">
      <c r="A11" s="10" t="s">
        <v>13</v>
      </c>
      <c r="K11" s="11"/>
    </row>
    <row r="12" spans="1:14" ht="18.75" x14ac:dyDescent="0.3">
      <c r="A12" s="13" t="s">
        <v>31</v>
      </c>
      <c r="B12" s="14">
        <f>27/64*(B10*B3)^2/B5</f>
        <v>1881.7339064250737</v>
      </c>
      <c r="C12" s="15"/>
      <c r="E12" s="16" t="s">
        <v>14</v>
      </c>
      <c r="H12" s="4" t="s">
        <v>32</v>
      </c>
      <c r="I12" s="192">
        <f>(2*B19)-B14-(B10*I1/I4)</f>
        <v>-2.0925048694573536</v>
      </c>
      <c r="J12" s="41">
        <f>-(B18+B15+B16)</f>
        <v>-2.0925048694573536</v>
      </c>
      <c r="K12" s="6"/>
    </row>
    <row r="13" spans="1:14" ht="18.75" x14ac:dyDescent="0.3">
      <c r="A13" s="13" t="s">
        <v>33</v>
      </c>
      <c r="B13" s="156">
        <v>2077.6861768542826</v>
      </c>
      <c r="C13" s="153">
        <f>' T = Tb'!P23</f>
        <v>2073.4696732833054</v>
      </c>
      <c r="E13" s="193">
        <f>ABS(B10*I1*LN((B16-B14)/(B15-B14))+B13*(1/(B16+B19)-1/(B15+B19))-I4*(B16-B15))</f>
        <v>2.1983109490975039E-5</v>
      </c>
      <c r="F13" s="21">
        <f>E13+E15+E16</f>
        <v>3.1348603982017664E-5</v>
      </c>
      <c r="H13" s="4" t="s">
        <v>34</v>
      </c>
      <c r="I13" s="192">
        <f>(B19^2)-(2*B19*B14)-(2*B10*I1*B19/I4)+(B13/I4)</f>
        <v>0.99048225384233946</v>
      </c>
      <c r="J13" s="41">
        <f>B15*B16+B15*B18+B18*B16</f>
        <v>0.99048225384960031</v>
      </c>
      <c r="K13" s="6"/>
      <c r="L13" s="26">
        <f>B13/B12</f>
        <v>1.1041338893666852</v>
      </c>
    </row>
    <row r="14" spans="1:14" ht="18.75" x14ac:dyDescent="0.5">
      <c r="A14" s="147" t="s">
        <v>35</v>
      </c>
      <c r="B14" s="262">
        <f>B10*B3/8/B5</f>
        <v>0.11928554873417722</v>
      </c>
      <c r="C14" s="263" t="s">
        <v>23</v>
      </c>
      <c r="H14" s="4" t="s">
        <v>36</v>
      </c>
      <c r="I14" s="192">
        <f>(-B14*(B19^2))-(B10*I1*(B19^2)/I4)-(B13*B14/I4)</f>
        <v>-0.11815021916104808</v>
      </c>
      <c r="J14" s="41">
        <f>-(B18*B15*B16)</f>
        <v>-0.11815021916240756</v>
      </c>
      <c r="K14" s="6"/>
      <c r="L14" s="26">
        <f>B15/B14</f>
        <v>1.5560506422590499</v>
      </c>
      <c r="N14" s="4"/>
    </row>
    <row r="15" spans="1:14" ht="19.5" x14ac:dyDescent="0.5">
      <c r="A15" s="135" t="s">
        <v>37</v>
      </c>
      <c r="B15" s="264">
        <v>0.18561435472003968</v>
      </c>
      <c r="C15" s="263" t="s">
        <v>23</v>
      </c>
      <c r="D15" s="24" t="s">
        <v>38</v>
      </c>
      <c r="E15" s="25">
        <f>1000000*ABS(B15^3+I12*B15^2+I13*B15+I14)</f>
        <v>1.174060848541103E-8</v>
      </c>
      <c r="K15" s="4"/>
      <c r="L15" s="26">
        <f>B16/B17</f>
        <v>0.74775343138811057</v>
      </c>
    </row>
    <row r="16" spans="1:14" ht="19.5" x14ac:dyDescent="0.5">
      <c r="A16" s="135" t="s">
        <v>39</v>
      </c>
      <c r="B16" s="264">
        <v>1.4754815179520717</v>
      </c>
      <c r="C16" s="263" t="s">
        <v>23</v>
      </c>
      <c r="D16" s="24" t="s">
        <v>40</v>
      </c>
      <c r="E16" s="25">
        <f>1000000*ABS(B16^3+I12*B16^2+I13*B16+I14)</f>
        <v>9.3537538825572142E-6</v>
      </c>
      <c r="L16" s="26"/>
    </row>
    <row r="17" spans="1:12" ht="19.5" x14ac:dyDescent="0.5">
      <c r="A17" s="139" t="s">
        <v>41</v>
      </c>
      <c r="B17" s="266">
        <f>B10*I1/I4</f>
        <v>1.9732193207231763</v>
      </c>
      <c r="C17" s="263" t="s">
        <v>23</v>
      </c>
      <c r="D17" s="24" t="s">
        <v>42</v>
      </c>
      <c r="E17" s="29">
        <f>1000*ABS(B18^3+I12*B18^2+I13*B18+I14)</f>
        <v>1.7729290258117203E-9</v>
      </c>
      <c r="H17" s="12"/>
      <c r="I17" s="4"/>
      <c r="J17" s="17"/>
      <c r="L17" s="25"/>
    </row>
    <row r="18" spans="1:12" ht="19.5" x14ac:dyDescent="0.5">
      <c r="A18" s="135" t="s">
        <v>43</v>
      </c>
      <c r="B18" s="138">
        <f>-I12-B15-B16</f>
        <v>0.43140899678524214</v>
      </c>
      <c r="C18" s="263" t="s">
        <v>23</v>
      </c>
      <c r="D18" s="4"/>
      <c r="E18" s="29"/>
      <c r="H18" s="12"/>
      <c r="I18" s="4"/>
      <c r="J18" s="17"/>
      <c r="L18" s="25"/>
    </row>
    <row r="19" spans="1:12" x14ac:dyDescent="0.2">
      <c r="A19" s="149" t="s">
        <v>132</v>
      </c>
      <c r="B19" s="259">
        <v>0</v>
      </c>
      <c r="C19" s="258">
        <v>1.1499999999999999</v>
      </c>
      <c r="D19" s="29"/>
      <c r="E19" s="31"/>
      <c r="F19" s="34"/>
      <c r="G19" s="31"/>
      <c r="H19" s="42"/>
      <c r="I19" s="31"/>
      <c r="J19" s="32"/>
      <c r="K19" s="34"/>
      <c r="L19" s="3"/>
    </row>
    <row r="20" spans="1:12" ht="15.75" x14ac:dyDescent="0.25">
      <c r="A20" s="256" t="s">
        <v>44</v>
      </c>
      <c r="B20" s="256" t="s">
        <v>45</v>
      </c>
      <c r="C20" s="256" t="s">
        <v>169</v>
      </c>
      <c r="D20" s="21"/>
      <c r="E20" s="31"/>
      <c r="F20" s="34"/>
      <c r="G20" s="34"/>
      <c r="H20" s="34"/>
      <c r="I20" s="31"/>
      <c r="J20" s="32"/>
      <c r="K20" s="33"/>
    </row>
    <row r="21" spans="1:12" ht="15.75" x14ac:dyDescent="0.25">
      <c r="A21" s="257">
        <f>B14+0.00001</f>
        <v>0.11929554873417722</v>
      </c>
      <c r="B21">
        <f>($B$10*$I$1/(A21-$B$14)-$B$13/A21^2)/100</f>
        <v>4137665.7257436458</v>
      </c>
      <c r="C21"/>
      <c r="E21" s="31"/>
      <c r="F21" s="34"/>
      <c r="G21" s="34"/>
      <c r="H21" s="34"/>
      <c r="I21" s="34"/>
      <c r="J21" s="34"/>
      <c r="K21" s="34"/>
    </row>
    <row r="22" spans="1:12" ht="15.75" x14ac:dyDescent="0.25">
      <c r="A22" s="257">
        <f>A21*$C$19</f>
        <v>0.1371898810443038</v>
      </c>
      <c r="B22">
        <f t="shared" ref="B22:B85" si="0">($B$10*$I$1/(A22-$B$14)-$B$13/A22^2)/100</f>
        <v>1207.8857803238961</v>
      </c>
      <c r="C22"/>
      <c r="E22" s="194"/>
      <c r="F22" s="34"/>
      <c r="G22" s="34"/>
      <c r="H22" s="34"/>
      <c r="I22" s="34"/>
      <c r="J22" s="34"/>
      <c r="K22" s="34"/>
    </row>
    <row r="23" spans="1:12" ht="15.75" x14ac:dyDescent="0.25">
      <c r="A23" s="257">
        <f t="shared" ref="A23:A86" si="1">A22*$C$19</f>
        <v>0.15776836320094936</v>
      </c>
      <c r="B23">
        <f t="shared" si="0"/>
        <v>240.85904837324924</v>
      </c>
      <c r="C23"/>
      <c r="E23" s="34"/>
      <c r="F23" s="34"/>
      <c r="G23" s="34"/>
      <c r="H23" s="34"/>
      <c r="I23" s="34"/>
      <c r="J23" s="43"/>
      <c r="K23" s="43"/>
    </row>
    <row r="24" spans="1:12" ht="15.75" x14ac:dyDescent="0.25">
      <c r="A24" s="257">
        <f t="shared" si="1"/>
        <v>0.18143361768109176</v>
      </c>
      <c r="B24">
        <f t="shared" si="0"/>
        <v>34.843128255667544</v>
      </c>
      <c r="C24"/>
      <c r="E24" s="34"/>
      <c r="F24" s="34"/>
      <c r="G24" s="34"/>
      <c r="H24" s="34"/>
      <c r="I24" s="34"/>
      <c r="J24" s="43"/>
      <c r="K24" s="43"/>
    </row>
    <row r="25" spans="1:12" ht="15.75" x14ac:dyDescent="0.25">
      <c r="A25" s="257">
        <f t="shared" si="1"/>
        <v>0.20864866033325549</v>
      </c>
      <c r="B25">
        <f t="shared" si="0"/>
        <v>-14.072525073152939</v>
      </c>
      <c r="C25"/>
      <c r="E25" s="34"/>
      <c r="F25" s="34"/>
      <c r="G25" s="34"/>
      <c r="H25" s="34"/>
      <c r="I25" s="34"/>
      <c r="J25" s="32"/>
      <c r="K25" s="32"/>
    </row>
    <row r="26" spans="1:12" ht="15.75" x14ac:dyDescent="0.25">
      <c r="A26" s="257">
        <f t="shared" si="1"/>
        <v>0.23994595938324378</v>
      </c>
      <c r="B26">
        <f t="shared" si="0"/>
        <v>-17.832653857615661</v>
      </c>
      <c r="C26"/>
      <c r="E26" s="34"/>
      <c r="F26" s="34"/>
      <c r="G26" s="34"/>
      <c r="H26" s="34"/>
      <c r="I26" s="34"/>
      <c r="J26" s="43"/>
      <c r="K26" s="32"/>
    </row>
    <row r="27" spans="1:12" ht="15.75" x14ac:dyDescent="0.25">
      <c r="A27" s="257">
        <f t="shared" si="1"/>
        <v>0.27593785329073034</v>
      </c>
      <c r="B27">
        <f t="shared" si="0"/>
        <v>-8.6472713192010993</v>
      </c>
      <c r="C27"/>
      <c r="E27" s="34"/>
      <c r="F27" s="34"/>
      <c r="G27" s="34"/>
      <c r="H27" s="34"/>
      <c r="I27" s="34"/>
      <c r="J27" s="32"/>
      <c r="K27" s="32"/>
    </row>
    <row r="28" spans="1:12" ht="15.75" x14ac:dyDescent="0.25">
      <c r="A28" s="257">
        <f t="shared" si="1"/>
        <v>0.31732853128433985</v>
      </c>
      <c r="B28">
        <f t="shared" si="0"/>
        <v>2.671698266198109</v>
      </c>
      <c r="C28"/>
      <c r="E28" s="34"/>
      <c r="F28" s="34"/>
      <c r="G28" s="34"/>
      <c r="H28" s="34"/>
      <c r="I28" s="34"/>
      <c r="J28" s="34"/>
      <c r="K28" s="34"/>
    </row>
    <row r="29" spans="1:12" ht="15.75" x14ac:dyDescent="0.25">
      <c r="A29" s="257">
        <f t="shared" si="1"/>
        <v>0.36492781097699079</v>
      </c>
      <c r="B29">
        <f t="shared" si="0"/>
        <v>12.487297607342425</v>
      </c>
      <c r="C29"/>
      <c r="D29"/>
      <c r="E29"/>
      <c r="F29"/>
      <c r="G29" s="34"/>
      <c r="H29" s="34"/>
      <c r="I29" s="34"/>
      <c r="J29" s="34"/>
      <c r="K29" s="34"/>
    </row>
    <row r="30" spans="1:12" ht="15.75" x14ac:dyDescent="0.25">
      <c r="A30" s="257">
        <f t="shared" si="1"/>
        <v>0.41966698262353935</v>
      </c>
      <c r="B30">
        <f t="shared" si="0"/>
        <v>19.825990487563921</v>
      </c>
      <c r="C30"/>
      <c r="D30"/>
      <c r="E30"/>
      <c r="F30"/>
      <c r="G30" s="34"/>
      <c r="H30" s="34"/>
      <c r="I30" s="34"/>
      <c r="J30" s="31"/>
      <c r="K30" s="35"/>
    </row>
    <row r="31" spans="1:12" ht="15.75" x14ac:dyDescent="0.25">
      <c r="A31" s="257">
        <f t="shared" si="1"/>
        <v>0.48261703001707024</v>
      </c>
      <c r="B31">
        <f t="shared" si="0"/>
        <v>24.719455236563263</v>
      </c>
      <c r="C31"/>
      <c r="D31"/>
      <c r="E31"/>
      <c r="F31"/>
      <c r="G31" s="34"/>
      <c r="H31" s="34"/>
      <c r="I31" s="34"/>
      <c r="J31" s="31"/>
      <c r="K31" s="35"/>
    </row>
    <row r="32" spans="1:12" ht="15.75" x14ac:dyDescent="0.25">
      <c r="A32" s="257">
        <f t="shared" si="1"/>
        <v>0.55500958451963078</v>
      </c>
      <c r="B32">
        <f t="shared" si="0"/>
        <v>27.54466200837599</v>
      </c>
      <c r="C32"/>
      <c r="D32"/>
      <c r="E32"/>
      <c r="F32"/>
      <c r="G32" s="34"/>
      <c r="H32" s="34"/>
      <c r="I32" s="34"/>
      <c r="J32" s="31"/>
      <c r="K32" s="36"/>
    </row>
    <row r="33" spans="1:11" ht="15.75" x14ac:dyDescent="0.25">
      <c r="A33" s="257">
        <f t="shared" si="1"/>
        <v>0.6382610221975753</v>
      </c>
      <c r="B33">
        <f t="shared" si="0"/>
        <v>28.754166818149951</v>
      </c>
      <c r="C33"/>
      <c r="D33"/>
      <c r="E33"/>
      <c r="F33"/>
      <c r="G33" s="34"/>
      <c r="H33" s="34"/>
      <c r="I33" s="34"/>
      <c r="J33" s="31"/>
      <c r="K33" s="35"/>
    </row>
    <row r="34" spans="1:11" ht="15.75" x14ac:dyDescent="0.25">
      <c r="A34" s="257">
        <f t="shared" si="1"/>
        <v>0.73400017552721153</v>
      </c>
      <c r="B34">
        <f t="shared" si="0"/>
        <v>28.769607924494785</v>
      </c>
      <c r="C34"/>
      <c r="D34"/>
      <c r="E34"/>
      <c r="F34"/>
      <c r="G34" s="34"/>
      <c r="H34" s="34"/>
      <c r="I34" s="34"/>
      <c r="J34" s="34"/>
      <c r="K34" s="34"/>
    </row>
    <row r="35" spans="1:11" ht="15.75" x14ac:dyDescent="0.25">
      <c r="A35" s="257">
        <f t="shared" si="1"/>
        <v>0.8441002018562932</v>
      </c>
      <c r="B35">
        <f t="shared" si="0"/>
        <v>27.945690583240811</v>
      </c>
      <c r="C35"/>
      <c r="D35"/>
      <c r="E35"/>
      <c r="F35"/>
      <c r="G35" s="34"/>
      <c r="H35" s="34"/>
      <c r="I35" s="34"/>
      <c r="J35" s="34"/>
      <c r="K35" s="34"/>
    </row>
    <row r="36" spans="1:11" ht="15.75" x14ac:dyDescent="0.25">
      <c r="A36" s="257">
        <f t="shared" si="1"/>
        <v>0.97071523213473709</v>
      </c>
      <c r="B36">
        <f t="shared" si="0"/>
        <v>26.564454549275361</v>
      </c>
      <c r="C36"/>
      <c r="D36"/>
      <c r="E36"/>
      <c r="F36"/>
      <c r="G36" s="34"/>
      <c r="H36" s="34"/>
      <c r="I36" s="34"/>
      <c r="J36" s="34"/>
      <c r="K36" s="34"/>
    </row>
    <row r="37" spans="1:11" ht="15.75" x14ac:dyDescent="0.25">
      <c r="A37" s="257">
        <f t="shared" si="1"/>
        <v>1.1163225169549476</v>
      </c>
      <c r="B37">
        <f t="shared" si="0"/>
        <v>24.841770205474166</v>
      </c>
      <c r="C37"/>
      <c r="D37"/>
      <c r="E37"/>
      <c r="F37"/>
      <c r="G37" s="34"/>
      <c r="H37" s="34"/>
      <c r="I37" s="34"/>
      <c r="J37" s="34"/>
      <c r="K37" s="34"/>
    </row>
    <row r="38" spans="1:11" ht="15.75" x14ac:dyDescent="0.25">
      <c r="A38" s="257">
        <f t="shared" si="1"/>
        <v>1.2837708944981896</v>
      </c>
      <c r="B38">
        <f t="shared" si="0"/>
        <v>22.937876830970236</v>
      </c>
      <c r="C38"/>
      <c r="D38"/>
      <c r="E38"/>
      <c r="F38"/>
      <c r="G38" s="34"/>
      <c r="H38" s="34"/>
      <c r="I38" s="34"/>
      <c r="J38" s="34"/>
      <c r="K38" s="34"/>
    </row>
    <row r="39" spans="1:11" ht="15.75" x14ac:dyDescent="0.25">
      <c r="A39" s="257">
        <f t="shared" si="1"/>
        <v>1.476336528672918</v>
      </c>
      <c r="B39">
        <f t="shared" si="0"/>
        <v>20.968332690693636</v>
      </c>
      <c r="C39"/>
      <c r="D39"/>
      <c r="E39"/>
      <c r="F39"/>
      <c r="G39" s="34"/>
      <c r="H39" s="34"/>
      <c r="I39" s="34"/>
      <c r="J39" s="34"/>
      <c r="K39" s="34"/>
    </row>
    <row r="40" spans="1:11" ht="15.75" x14ac:dyDescent="0.25">
      <c r="A40" s="257">
        <f t="shared" si="1"/>
        <v>1.6977870079738555</v>
      </c>
      <c r="B40">
        <f t="shared" si="0"/>
        <v>19.013888339982572</v>
      </c>
      <c r="C40"/>
      <c r="E40" s="34"/>
      <c r="F40" s="34"/>
      <c r="G40" s="34"/>
      <c r="K40" s="34"/>
    </row>
    <row r="41" spans="1:11" ht="15.75" x14ac:dyDescent="0.25">
      <c r="A41" s="257">
        <f t="shared" si="1"/>
        <v>1.9524550591699337</v>
      </c>
      <c r="B41">
        <f t="shared" si="0"/>
        <v>17.128798640174793</v>
      </c>
      <c r="C41"/>
      <c r="G41" s="34"/>
      <c r="K41" s="34"/>
    </row>
    <row r="42" spans="1:11" ht="15.75" x14ac:dyDescent="0.25">
      <c r="A42" s="257">
        <f t="shared" si="1"/>
        <v>2.2453233180454237</v>
      </c>
      <c r="B42">
        <f t="shared" si="0"/>
        <v>15.347544949177232</v>
      </c>
      <c r="C42"/>
      <c r="E42" s="34"/>
      <c r="F42" s="34"/>
      <c r="G42" s="34"/>
      <c r="K42" s="34"/>
    </row>
    <row r="43" spans="1:11" ht="15.75" x14ac:dyDescent="0.25">
      <c r="A43" s="257">
        <f t="shared" si="1"/>
        <v>2.5821218157522372</v>
      </c>
      <c r="B43">
        <f t="shared" si="0"/>
        <v>13.690128687001534</v>
      </c>
      <c r="C43"/>
      <c r="E43" s="34"/>
      <c r="F43" s="34"/>
      <c r="G43" s="34"/>
      <c r="H43" s="34"/>
      <c r="I43" s="34"/>
      <c r="J43" s="34"/>
      <c r="K43" s="34"/>
    </row>
    <row r="44" spans="1:11" ht="15.75" x14ac:dyDescent="0.25">
      <c r="A44" s="257">
        <f t="shared" si="1"/>
        <v>2.9694400881150727</v>
      </c>
      <c r="B44">
        <f t="shared" si="0"/>
        <v>12.166159175932499</v>
      </c>
      <c r="C44"/>
      <c r="E44" s="34"/>
      <c r="F44" s="34"/>
      <c r="G44" s="34"/>
      <c r="H44" s="34"/>
      <c r="I44" s="34"/>
      <c r="J44" s="34"/>
      <c r="K44" s="34"/>
    </row>
    <row r="45" spans="1:11" ht="15.75" x14ac:dyDescent="0.25">
      <c r="A45" s="257">
        <f t="shared" si="1"/>
        <v>3.4148561013323331</v>
      </c>
      <c r="B45">
        <f t="shared" si="0"/>
        <v>10.777961027934488</v>
      </c>
      <c r="C45"/>
      <c r="E45" s="34"/>
      <c r="F45" s="34"/>
      <c r="G45" s="34"/>
      <c r="H45" s="34"/>
      <c r="I45" s="34"/>
      <c r="J45" s="34"/>
      <c r="K45" s="34"/>
    </row>
    <row r="46" spans="1:11" ht="15.75" x14ac:dyDescent="0.25">
      <c r="A46" s="257">
        <f t="shared" si="1"/>
        <v>3.9270845165321826</v>
      </c>
      <c r="B46">
        <f t="shared" si="0"/>
        <v>9.5229036250917662</v>
      </c>
      <c r="C46"/>
      <c r="E46" s="34"/>
      <c r="F46" s="34"/>
      <c r="G46" s="34"/>
      <c r="H46" s="34"/>
      <c r="I46" s="34"/>
      <c r="J46" s="34"/>
      <c r="K46" s="34"/>
    </row>
    <row r="47" spans="1:11" ht="15.75" x14ac:dyDescent="0.25">
      <c r="A47" s="257">
        <f t="shared" si="1"/>
        <v>4.5161471940120093</v>
      </c>
      <c r="B47">
        <f t="shared" si="0"/>
        <v>8.3951242221294677</v>
      </c>
      <c r="C47"/>
      <c r="E47" s="34"/>
      <c r="F47" s="34"/>
      <c r="G47" s="34"/>
      <c r="H47" s="34"/>
      <c r="I47" s="34"/>
      <c r="J47" s="34"/>
      <c r="K47" s="34"/>
    </row>
    <row r="48" spans="1:11" ht="15.75" x14ac:dyDescent="0.25">
      <c r="A48" s="257">
        <f t="shared" si="1"/>
        <v>5.1935692731138099</v>
      </c>
      <c r="B48">
        <f t="shared" si="0"/>
        <v>7.3867848284726714</v>
      </c>
      <c r="C48"/>
      <c r="E48" s="34"/>
      <c r="F48" s="34"/>
      <c r="G48" s="34"/>
      <c r="H48" s="34"/>
      <c r="I48" s="34"/>
      <c r="J48" s="34"/>
      <c r="K48" s="34"/>
    </row>
    <row r="49" spans="1:11" ht="15.75" x14ac:dyDescent="0.25">
      <c r="A49" s="257">
        <f t="shared" si="1"/>
        <v>5.9726046640808805</v>
      </c>
      <c r="B49">
        <f t="shared" si="0"/>
        <v>6.4889747227640386</v>
      </c>
      <c r="C49"/>
      <c r="E49" s="34"/>
      <c r="F49" s="34"/>
      <c r="G49" s="34"/>
      <c r="H49" s="34"/>
      <c r="I49" s="34"/>
      <c r="J49" s="34"/>
      <c r="K49" s="34"/>
    </row>
    <row r="50" spans="1:11" ht="15.75" x14ac:dyDescent="0.25">
      <c r="A50" s="257">
        <f t="shared" si="1"/>
        <v>6.8684953636930119</v>
      </c>
      <c r="B50">
        <f t="shared" si="0"/>
        <v>5.692346379659373</v>
      </c>
      <c r="C50"/>
      <c r="E50" s="34"/>
      <c r="F50" s="34"/>
      <c r="G50" s="34"/>
      <c r="H50" s="34"/>
      <c r="I50" s="34"/>
      <c r="J50" s="34"/>
      <c r="K50" s="34"/>
    </row>
    <row r="51" spans="1:11" ht="15.75" x14ac:dyDescent="0.25">
      <c r="A51" s="257">
        <f t="shared" si="1"/>
        <v>7.8987696682469632</v>
      </c>
      <c r="B51">
        <f t="shared" si="0"/>
        <v>4.9875528265803339</v>
      </c>
      <c r="C51"/>
      <c r="E51" s="34"/>
      <c r="F51" s="34"/>
      <c r="G51" s="34"/>
      <c r="H51" s="34"/>
      <c r="I51" s="34"/>
      <c r="J51" s="34"/>
      <c r="K51" s="34"/>
    </row>
    <row r="52" spans="1:11" ht="15.75" x14ac:dyDescent="0.25">
      <c r="A52" s="257">
        <f t="shared" si="1"/>
        <v>9.0835851184840077</v>
      </c>
      <c r="B52">
        <f t="shared" si="0"/>
        <v>4.3655385985568902</v>
      </c>
      <c r="C52"/>
      <c r="E52" s="34"/>
      <c r="F52" s="34"/>
      <c r="G52" s="34"/>
      <c r="H52" s="34"/>
      <c r="I52" s="34"/>
      <c r="J52" s="34"/>
      <c r="K52" s="34"/>
    </row>
    <row r="53" spans="1:11" ht="15.75" x14ac:dyDescent="0.25">
      <c r="A53" s="257">
        <f t="shared" si="1"/>
        <v>10.446122886256608</v>
      </c>
      <c r="B53">
        <f t="shared" si="0"/>
        <v>3.8177239547432431</v>
      </c>
      <c r="C53"/>
      <c r="E53" s="34"/>
      <c r="F53" s="34"/>
      <c r="G53" s="34"/>
      <c r="H53" s="34"/>
      <c r="I53" s="34"/>
      <c r="J53" s="34"/>
      <c r="K53" s="34"/>
    </row>
    <row r="54" spans="1:11" ht="15.75" x14ac:dyDescent="0.25">
      <c r="A54" s="257">
        <f t="shared" si="1"/>
        <v>12.013041319195098</v>
      </c>
      <c r="B54">
        <f t="shared" si="0"/>
        <v>3.3361122747545879</v>
      </c>
      <c r="C54"/>
      <c r="E54" s="34"/>
      <c r="F54" s="34"/>
      <c r="G54" s="34"/>
      <c r="H54" s="34"/>
      <c r="I54" s="34"/>
      <c r="J54" s="34"/>
      <c r="K54" s="34"/>
    </row>
    <row r="55" spans="1:11" ht="15.75" x14ac:dyDescent="0.25">
      <c r="A55" s="257">
        <f t="shared" si="1"/>
        <v>13.814997517074362</v>
      </c>
      <c r="B55">
        <f t="shared" si="0"/>
        <v>2.9133430304934236</v>
      </c>
      <c r="C55"/>
      <c r="E55" s="34"/>
      <c r="F55" s="34"/>
      <c r="G55" s="34"/>
      <c r="H55" s="34"/>
      <c r="I55" s="34"/>
      <c r="J55" s="34"/>
      <c r="K55" s="34"/>
    </row>
    <row r="56" spans="1:11" ht="15.75" x14ac:dyDescent="0.25">
      <c r="A56" s="257">
        <f t="shared" si="1"/>
        <v>15.887247144635515</v>
      </c>
      <c r="B56">
        <f t="shared" si="0"/>
        <v>2.5427069683928045</v>
      </c>
      <c r="C56"/>
      <c r="E56" s="34"/>
      <c r="F56" s="34"/>
      <c r="G56" s="34"/>
      <c r="H56" s="34"/>
      <c r="I56" s="34"/>
      <c r="J56" s="34"/>
      <c r="K56" s="34"/>
    </row>
    <row r="57" spans="1:11" ht="15.75" x14ac:dyDescent="0.25">
      <c r="A57" s="257">
        <f t="shared" si="1"/>
        <v>18.270334216330841</v>
      </c>
      <c r="B57">
        <f t="shared" si="0"/>
        <v>2.218135755623484</v>
      </c>
      <c r="C57"/>
      <c r="E57" s="34"/>
      <c r="F57" s="34"/>
      <c r="G57" s="34"/>
      <c r="H57" s="34"/>
      <c r="I57" s="34"/>
      <c r="J57" s="34"/>
      <c r="K57" s="34"/>
    </row>
    <row r="58" spans="1:11" ht="15.75" x14ac:dyDescent="0.25">
      <c r="A58" s="257">
        <f t="shared" si="1"/>
        <v>21.010884348780465</v>
      </c>
      <c r="B58">
        <f t="shared" si="0"/>
        <v>1.9341750323424463</v>
      </c>
      <c r="C58"/>
      <c r="E58" s="34"/>
      <c r="F58" s="34"/>
      <c r="G58" s="34"/>
      <c r="H58" s="34"/>
      <c r="I58" s="34"/>
      <c r="J58" s="34"/>
      <c r="K58" s="34"/>
    </row>
    <row r="59" spans="1:11" ht="15.75" x14ac:dyDescent="0.25">
      <c r="A59" s="257">
        <f t="shared" si="1"/>
        <v>24.162517001097534</v>
      </c>
      <c r="B59">
        <f t="shared" si="0"/>
        <v>1.6859473242469252</v>
      </c>
      <c r="C59"/>
      <c r="E59" s="34"/>
      <c r="F59" s="34"/>
      <c r="G59" s="34"/>
      <c r="H59" s="34"/>
      <c r="I59" s="34"/>
      <c r="J59" s="34"/>
      <c r="K59" s="34"/>
    </row>
    <row r="60" spans="1:11" ht="15.75" x14ac:dyDescent="0.25">
      <c r="A60" s="257">
        <f t="shared" si="1"/>
        <v>27.786894551262161</v>
      </c>
      <c r="B60">
        <f t="shared" si="0"/>
        <v>1.4691094119701216</v>
      </c>
      <c r="C60"/>
      <c r="E60" s="34"/>
      <c r="F60" s="34"/>
      <c r="G60" s="34"/>
      <c r="H60" s="34"/>
      <c r="I60" s="34"/>
      <c r="J60" s="34"/>
      <c r="K60" s="34"/>
    </row>
    <row r="61" spans="1:11" ht="15.75" x14ac:dyDescent="0.25">
      <c r="A61" s="257">
        <f t="shared" si="1"/>
        <v>31.954928733951483</v>
      </c>
      <c r="B61">
        <f t="shared" si="0"/>
        <v>1.2798073754740094</v>
      </c>
      <c r="C61"/>
      <c r="E61" s="34"/>
      <c r="F61" s="34"/>
      <c r="G61" s="34"/>
      <c r="H61" s="34"/>
      <c r="I61" s="34"/>
      <c r="J61" s="34"/>
      <c r="K61" s="34"/>
    </row>
    <row r="62" spans="1:11" ht="15.75" x14ac:dyDescent="0.25">
      <c r="A62" s="257">
        <f t="shared" si="1"/>
        <v>36.748168044044206</v>
      </c>
      <c r="B62">
        <f t="shared" si="0"/>
        <v>1.1146315160429348</v>
      </c>
      <c r="C62"/>
      <c r="E62" s="34"/>
      <c r="F62" s="34"/>
      <c r="G62" s="34"/>
      <c r="H62" s="34"/>
      <c r="I62" s="34"/>
      <c r="J62" s="34"/>
      <c r="K62" s="34"/>
    </row>
    <row r="63" spans="1:11" ht="15.75" x14ac:dyDescent="0.25">
      <c r="A63" s="257">
        <f t="shared" si="1"/>
        <v>42.260393250650836</v>
      </c>
      <c r="B63">
        <f t="shared" si="0"/>
        <v>0.97057261623770386</v>
      </c>
      <c r="C63"/>
      <c r="E63" s="34"/>
      <c r="F63" s="34"/>
      <c r="G63" s="34"/>
      <c r="H63" s="34"/>
      <c r="I63" s="34"/>
      <c r="J63" s="34"/>
      <c r="K63" s="34"/>
    </row>
    <row r="64" spans="1:11" ht="15.75" x14ac:dyDescent="0.25">
      <c r="A64" s="257">
        <f t="shared" si="1"/>
        <v>48.59945223824846</v>
      </c>
      <c r="B64">
        <f t="shared" si="0"/>
        <v>0.84498046080704148</v>
      </c>
      <c r="C64"/>
      <c r="E64" s="34"/>
      <c r="F64" s="34"/>
      <c r="G64" s="34"/>
      <c r="H64" s="34"/>
      <c r="I64" s="34"/>
      <c r="J64" s="34"/>
      <c r="K64" s="34"/>
    </row>
    <row r="65" spans="1:11" ht="15.75" x14ac:dyDescent="0.25">
      <c r="A65" s="257">
        <f t="shared" si="1"/>
        <v>55.889370073985724</v>
      </c>
      <c r="B65">
        <f t="shared" si="0"/>
        <v>0.73552515700617105</v>
      </c>
      <c r="C65"/>
      <c r="E65" s="34"/>
      <c r="F65" s="34"/>
      <c r="G65" s="34"/>
      <c r="H65" s="34"/>
      <c r="I65" s="34"/>
      <c r="J65" s="34"/>
      <c r="K65" s="34"/>
    </row>
    <row r="66" spans="1:11" ht="15.75" x14ac:dyDescent="0.25">
      <c r="A66" s="257">
        <f t="shared" si="1"/>
        <v>64.272775585083579</v>
      </c>
      <c r="B66">
        <f t="shared" si="0"/>
        <v>0.64016152158861173</v>
      </c>
      <c r="C66"/>
      <c r="E66" s="34"/>
      <c r="F66" s="34"/>
      <c r="G66" s="34"/>
      <c r="H66" s="34"/>
      <c r="I66" s="34"/>
      <c r="J66" s="34"/>
      <c r="K66" s="34"/>
    </row>
    <row r="67" spans="1:11" ht="15.75" x14ac:dyDescent="0.25">
      <c r="A67" s="257">
        <f t="shared" si="1"/>
        <v>73.913691922846112</v>
      </c>
      <c r="B67">
        <f t="shared" si="0"/>
        <v>0.55709661414074507</v>
      </c>
      <c r="C67"/>
      <c r="E67" s="34"/>
      <c r="F67" s="34"/>
      <c r="G67" s="34"/>
    </row>
    <row r="68" spans="1:11" ht="15.75" x14ac:dyDescent="0.25">
      <c r="A68" s="257">
        <f t="shared" si="1"/>
        <v>85.000745711273026</v>
      </c>
      <c r="B68">
        <f t="shared" si="0"/>
        <v>0.48476037003355299</v>
      </c>
      <c r="C68"/>
      <c r="E68" s="34"/>
      <c r="F68" s="34"/>
    </row>
    <row r="69" spans="1:11" ht="15.75" x14ac:dyDescent="0.25">
      <c r="A69" s="257">
        <f t="shared" si="1"/>
        <v>97.750857567963976</v>
      </c>
      <c r="B69">
        <f t="shared" si="0"/>
        <v>0.42177920431048593</v>
      </c>
      <c r="C69"/>
    </row>
    <row r="70" spans="1:11" ht="15.75" x14ac:dyDescent="0.25">
      <c r="A70" s="257">
        <f t="shared" si="1"/>
        <v>112.41348620315857</v>
      </c>
      <c r="B70">
        <f t="shared" si="0"/>
        <v>0.36695240781778005</v>
      </c>
      <c r="C70"/>
    </row>
    <row r="71" spans="1:11" ht="15.75" x14ac:dyDescent="0.25">
      <c r="A71" s="257">
        <f t="shared" si="1"/>
        <v>129.27550913363234</v>
      </c>
      <c r="B71">
        <f t="shared" si="0"/>
        <v>0.31923112954032329</v>
      </c>
      <c r="C71"/>
    </row>
    <row r="72" spans="1:11" ht="15.75" x14ac:dyDescent="0.25">
      <c r="A72" s="257">
        <f t="shared" si="1"/>
        <v>148.66683550367719</v>
      </c>
      <c r="B72">
        <f t="shared" si="0"/>
        <v>0.27769972758760508</v>
      </c>
      <c r="C72"/>
    </row>
    <row r="73" spans="1:11" ht="15.75" x14ac:dyDescent="0.25">
      <c r="A73" s="257">
        <f t="shared" si="1"/>
        <v>170.96686082922875</v>
      </c>
      <c r="B73">
        <f t="shared" si="0"/>
        <v>0.24155927055934767</v>
      </c>
      <c r="C73"/>
    </row>
    <row r="74" spans="1:11" ht="15.75" x14ac:dyDescent="0.25">
      <c r="A74" s="257">
        <f t="shared" si="1"/>
        <v>196.61188995361306</v>
      </c>
      <c r="B74">
        <f t="shared" si="0"/>
        <v>0.21011297745288193</v>
      </c>
      <c r="C74"/>
    </row>
    <row r="75" spans="1:11" ht="15.75" x14ac:dyDescent="0.25">
      <c r="A75" s="257">
        <f t="shared" si="1"/>
        <v>226.10367344665499</v>
      </c>
      <c r="B75">
        <f t="shared" si="0"/>
        <v>0.18275339521554215</v>
      </c>
      <c r="C75"/>
    </row>
    <row r="76" spans="1:11" ht="15.75" x14ac:dyDescent="0.25">
      <c r="A76" s="257">
        <f t="shared" si="1"/>
        <v>260.01922446365325</v>
      </c>
      <c r="B76">
        <f t="shared" si="0"/>
        <v>0.1589511266121679</v>
      </c>
      <c r="C76"/>
    </row>
    <row r="77" spans="1:11" ht="15.75" x14ac:dyDescent="0.25">
      <c r="A77" s="257">
        <f t="shared" si="1"/>
        <v>299.02210813320119</v>
      </c>
      <c r="B77">
        <f t="shared" si="0"/>
        <v>0.13824493594538587</v>
      </c>
      <c r="C77"/>
    </row>
    <row r="78" spans="1:11" ht="15.75" x14ac:dyDescent="0.25">
      <c r="A78" s="257">
        <f t="shared" si="1"/>
        <v>343.87542435318136</v>
      </c>
      <c r="B78">
        <f t="shared" si="0"/>
        <v>0.12023307542019301</v>
      </c>
      <c r="C78"/>
    </row>
    <row r="79" spans="1:11" ht="15.75" x14ac:dyDescent="0.25">
      <c r="A79" s="257">
        <f t="shared" si="1"/>
        <v>395.45673800615856</v>
      </c>
      <c r="B79">
        <f t="shared" si="0"/>
        <v>0.10456568996954183</v>
      </c>
      <c r="C79"/>
    </row>
    <row r="80" spans="1:11" ht="15.75" x14ac:dyDescent="0.25">
      <c r="A80" s="257">
        <f t="shared" si="1"/>
        <v>454.77524870708231</v>
      </c>
      <c r="B80">
        <f t="shared" si="0"/>
        <v>9.0938172756215019E-2</v>
      </c>
      <c r="C80"/>
    </row>
    <row r="81" spans="1:3" ht="15.75" x14ac:dyDescent="0.25">
      <c r="A81" s="257">
        <f t="shared" si="1"/>
        <v>522.99153601314458</v>
      </c>
      <c r="B81">
        <f t="shared" si="0"/>
        <v>7.9085357095981385E-2</v>
      </c>
      <c r="C81"/>
    </row>
    <row r="82" spans="1:3" ht="15.75" x14ac:dyDescent="0.25">
      <c r="A82" s="257">
        <f t="shared" si="1"/>
        <v>601.44026641511618</v>
      </c>
      <c r="B82">
        <f t="shared" si="0"/>
        <v>6.8776443075798457E-2</v>
      </c>
      <c r="C82"/>
    </row>
    <row r="83" spans="1:3" ht="15.75" x14ac:dyDescent="0.25">
      <c r="A83" s="257">
        <f t="shared" si="1"/>
        <v>691.65630637738354</v>
      </c>
      <c r="B83">
        <f t="shared" si="0"/>
        <v>5.9810568613439932E-2</v>
      </c>
      <c r="C83"/>
    </row>
    <row r="84" spans="1:3" ht="15.75" x14ac:dyDescent="0.25">
      <c r="A84" s="257">
        <f t="shared" si="1"/>
        <v>795.40475233399104</v>
      </c>
      <c r="B84">
        <f t="shared" si="0"/>
        <v>5.2012945118489542E-2</v>
      </c>
      <c r="C84"/>
    </row>
    <row r="85" spans="1:3" ht="15.75" x14ac:dyDescent="0.25">
      <c r="A85" s="257">
        <f t="shared" si="1"/>
        <v>914.71546518408968</v>
      </c>
      <c r="B85">
        <f t="shared" si="0"/>
        <v>4.5231487300841505E-2</v>
      </c>
      <c r="C85"/>
    </row>
    <row r="86" spans="1:3" ht="15.75" x14ac:dyDescent="0.25">
      <c r="A86" s="257">
        <f t="shared" si="1"/>
        <v>1051.922784961703</v>
      </c>
      <c r="B86">
        <f>($B$10*$I$1/(A86-$B$14)-$B$13/A86^2)/100</f>
        <v>3.9333875085119943E-2</v>
      </c>
      <c r="C86"/>
    </row>
    <row r="87" spans="1:3" ht="15.75" x14ac:dyDescent="0.25">
      <c r="A87"/>
      <c r="B87"/>
      <c r="C87"/>
    </row>
    <row r="88" spans="1:3" ht="15.75" x14ac:dyDescent="0.25">
      <c r="A88"/>
      <c r="B88"/>
      <c r="C88"/>
    </row>
  </sheetData>
  <phoneticPr fontId="3" type="noConversion"/>
  <pageMargins left="0.75" right="0.75" top="1" bottom="1" header="0.5" footer="0.5"/>
  <headerFooter alignWithMargins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N154"/>
  <sheetViews>
    <sheetView topLeftCell="A20" workbookViewId="0">
      <selection activeCell="E25" sqref="E25"/>
    </sheetView>
  </sheetViews>
  <sheetFormatPr defaultColWidth="8" defaultRowHeight="12.75" x14ac:dyDescent="0.2"/>
  <cols>
    <col min="1" max="2" width="8.125" style="2" bestFit="1" customWidth="1"/>
    <col min="3" max="3" width="10.75" style="2" customWidth="1"/>
    <col min="4" max="4" width="8.125" style="2" bestFit="1" customWidth="1"/>
    <col min="5" max="5" width="9.5" style="2" customWidth="1"/>
    <col min="6" max="6" width="8.375" style="2" bestFit="1" customWidth="1"/>
    <col min="7" max="7" width="8" style="2" customWidth="1"/>
    <col min="8" max="8" width="9.75" style="2" bestFit="1" customWidth="1"/>
    <col min="9" max="9" width="8.125" style="2" bestFit="1" customWidth="1"/>
    <col min="10" max="10" width="11.125" style="2" bestFit="1" customWidth="1"/>
    <col min="11" max="11" width="8.125" style="2" bestFit="1" customWidth="1"/>
    <col min="12" max="12" width="8" style="2" customWidth="1"/>
    <col min="13" max="13" width="8.125" style="2" bestFit="1" customWidth="1"/>
    <col min="14" max="16384" width="8" style="2"/>
  </cols>
  <sheetData>
    <row r="1" spans="1:14" ht="18" x14ac:dyDescent="0.25">
      <c r="A1" s="1" t="s">
        <v>131</v>
      </c>
      <c r="E1" s="2" t="s">
        <v>0</v>
      </c>
      <c r="F1" s="2">
        <v>1</v>
      </c>
      <c r="H1" s="3" t="s">
        <v>1</v>
      </c>
      <c r="I1" s="2">
        <f>' T = Tb'!O24</f>
        <v>518.4035266580139</v>
      </c>
      <c r="J1" s="2" t="s">
        <v>2</v>
      </c>
    </row>
    <row r="2" spans="1:14" ht="15.75" x14ac:dyDescent="0.3">
      <c r="A2" s="4" t="s">
        <v>15</v>
      </c>
      <c r="B2" s="5">
        <f>' T = Tb'!B2</f>
        <v>78.114000000000004</v>
      </c>
      <c r="C2" s="2" t="s">
        <v>3</v>
      </c>
      <c r="E2" s="4" t="s">
        <v>4</v>
      </c>
      <c r="F2" s="2">
        <f>' T = Tb'!F2</f>
        <v>-7.0143300000000002</v>
      </c>
      <c r="H2" s="3" t="s">
        <v>16</v>
      </c>
      <c r="I2" s="2">
        <f>1-I1/B3</f>
        <v>7.7836333680777803E-2</v>
      </c>
      <c r="M2" s="4"/>
    </row>
    <row r="3" spans="1:14" ht="15.75" x14ac:dyDescent="0.3">
      <c r="A3" s="4" t="s">
        <v>17</v>
      </c>
      <c r="B3" s="5">
        <f>' T = Tb'!B3</f>
        <v>562.16</v>
      </c>
      <c r="C3" s="2" t="s">
        <v>2</v>
      </c>
      <c r="E3" s="4" t="s">
        <v>5</v>
      </c>
      <c r="F3" s="2">
        <f>' T = Tb'!F3</f>
        <v>1.5525599999999999</v>
      </c>
      <c r="H3" s="3" t="s">
        <v>6</v>
      </c>
      <c r="I3" s="144">
        <f>(B4*EXP((F2*I2+F3*I2^1.5+F4*I2^2.5+F5*I2^5)/(1-I2)))</f>
        <v>28.00886735613841</v>
      </c>
      <c r="J3" s="2" t="s">
        <v>7</v>
      </c>
      <c r="M3" s="4"/>
    </row>
    <row r="4" spans="1:14" ht="15.75" x14ac:dyDescent="0.3">
      <c r="A4" s="4" t="s">
        <v>18</v>
      </c>
      <c r="B4" s="5">
        <f>' T = Tb'!B4</f>
        <v>48.98</v>
      </c>
      <c r="C4" s="2" t="s">
        <v>7</v>
      </c>
      <c r="E4" s="4" t="s">
        <v>8</v>
      </c>
      <c r="F4" s="2">
        <f>' T = Tb'!F4</f>
        <v>-1.8479000000000001</v>
      </c>
      <c r="H4" s="3" t="s">
        <v>6</v>
      </c>
      <c r="I4" s="2">
        <f>I3*100</f>
        <v>2800.8867356138408</v>
      </c>
      <c r="J4" s="2" t="s">
        <v>9</v>
      </c>
      <c r="M4" s="4"/>
      <c r="N4" s="6"/>
    </row>
    <row r="5" spans="1:14" ht="15.75" x14ac:dyDescent="0.3">
      <c r="A5" s="4" t="s">
        <v>18</v>
      </c>
      <c r="B5" s="5">
        <f>' T = Tb'!B5</f>
        <v>4898</v>
      </c>
      <c r="C5" s="2" t="s">
        <v>9</v>
      </c>
      <c r="E5" s="4" t="s">
        <v>10</v>
      </c>
      <c r="F5" s="2">
        <f>' T = Tb'!F5</f>
        <v>-3.7130000000000001</v>
      </c>
      <c r="H5" s="4"/>
      <c r="M5" s="4"/>
      <c r="N5" s="6"/>
    </row>
    <row r="6" spans="1:14" ht="15.75" x14ac:dyDescent="0.3">
      <c r="A6" s="4" t="s">
        <v>19</v>
      </c>
      <c r="B6" s="5">
        <f>' T = Tb'!B6</f>
        <v>256</v>
      </c>
      <c r="C6" s="2" t="s">
        <v>20</v>
      </c>
      <c r="E6" s="4" t="s">
        <v>21</v>
      </c>
      <c r="F6" s="2">
        <f>' T = Tb'!F6</f>
        <v>250</v>
      </c>
      <c r="G6" s="7">
        <f>F6/B3</f>
        <v>0.44471324889711117</v>
      </c>
      <c r="H6" s="2" t="s">
        <v>22</v>
      </c>
      <c r="I6" s="2">
        <v>2.5712194055283128E-3</v>
      </c>
    </row>
    <row r="7" spans="1:14" ht="15.75" x14ac:dyDescent="0.3">
      <c r="A7" s="4" t="s">
        <v>19</v>
      </c>
      <c r="B7" s="5">
        <f>' T = Tb'!B7</f>
        <v>0.25600000000000001</v>
      </c>
      <c r="C7" s="8" t="s">
        <v>23</v>
      </c>
      <c r="E7" s="4" t="s">
        <v>24</v>
      </c>
      <c r="F7" s="2">
        <f>' T = Tb'!F7</f>
        <v>562.16</v>
      </c>
      <c r="G7" s="7">
        <f>F7/B3</f>
        <v>1</v>
      </c>
      <c r="H7" s="2" t="s">
        <v>25</v>
      </c>
      <c r="I7" s="2">
        <f>I6/I3</f>
        <v>9.1800192161815698E-5</v>
      </c>
    </row>
    <row r="8" spans="1:14" ht="15.75" x14ac:dyDescent="0.3">
      <c r="A8" s="4" t="s">
        <v>26</v>
      </c>
      <c r="B8" s="5">
        <f>' T = Tb'!B8</f>
        <v>0.26800000000000002</v>
      </c>
      <c r="E8" s="4" t="s">
        <v>27</v>
      </c>
      <c r="F8" s="18">
        <f>' T = Tb'!F8</f>
        <v>353.24</v>
      </c>
      <c r="G8" s="7">
        <f>F8/B3</f>
        <v>0.6283620321616622</v>
      </c>
      <c r="H8" s="2" t="s">
        <v>28</v>
      </c>
    </row>
    <row r="9" spans="1:14" x14ac:dyDescent="0.2">
      <c r="A9" s="9" t="s">
        <v>29</v>
      </c>
      <c r="B9" s="5">
        <f>' T = Tb'!B9</f>
        <v>0.21</v>
      </c>
      <c r="E9" s="4"/>
      <c r="F9" s="2">
        <f>' T = Tb'!F9</f>
        <v>101.325</v>
      </c>
      <c r="K9" s="4"/>
    </row>
    <row r="10" spans="1:14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4" x14ac:dyDescent="0.2">
      <c r="A11" s="10" t="str">
        <f>' T = Tb'!A1</f>
        <v>Benzene</v>
      </c>
      <c r="K11" s="11"/>
    </row>
    <row r="12" spans="1:14" ht="18.75" x14ac:dyDescent="0.3">
      <c r="A12" s="13" t="s">
        <v>31</v>
      </c>
      <c r="B12" s="14">
        <f>27/64*(B10*B3)^2/B5</f>
        <v>1881.7339064250737</v>
      </c>
      <c r="C12" s="15"/>
      <c r="E12" s="16" t="s">
        <v>14</v>
      </c>
      <c r="H12" s="4" t="s">
        <v>32</v>
      </c>
      <c r="I12" s="191">
        <f>(2*B19)-B14-(B10*I1/I4)</f>
        <v>-1.6581808034502472</v>
      </c>
      <c r="J12" s="17">
        <f>-(B18+B15+B16)</f>
        <v>-1.6581808034502472</v>
      </c>
      <c r="K12" s="6"/>
    </row>
    <row r="13" spans="1:14" ht="18.75" x14ac:dyDescent="0.3">
      <c r="A13" s="13" t="s">
        <v>33</v>
      </c>
      <c r="B13" s="156">
        <v>2015.4719979204115</v>
      </c>
      <c r="C13" s="14">
        <f>' T = Tb'!P24</f>
        <v>2010.0937340607759</v>
      </c>
      <c r="E13" s="193">
        <f>ABS(B10*I1*LN((B16-B14)/(B15-B14))+B13*(1/(B16+B19)-1/(B15+B19))-I4*(B16-B15))</f>
        <v>4.5474735088646412E-13</v>
      </c>
      <c r="F13" s="21">
        <f>E13+E15+E16</f>
        <v>3.6478665477634564E-2</v>
      </c>
      <c r="H13" s="4" t="s">
        <v>34</v>
      </c>
      <c r="I13" s="191">
        <f>(B19^2)-(2*B19*B14)-(2*B10*I1*B19/I4)+(B13/I4)</f>
        <v>0.7195835419880704</v>
      </c>
      <c r="J13" s="17">
        <f>B15*B16+B15*B18+B18*B16</f>
        <v>0.71958357795315497</v>
      </c>
      <c r="K13" s="6"/>
      <c r="L13" s="26">
        <f>B13/B12</f>
        <v>1.0710717339145013</v>
      </c>
    </row>
    <row r="14" spans="1:14" ht="18.75" x14ac:dyDescent="0.5">
      <c r="A14" s="147" t="s">
        <v>35</v>
      </c>
      <c r="B14" s="262">
        <f>B10*B3/8/B5</f>
        <v>0.11928554873417722</v>
      </c>
      <c r="C14" s="263" t="s">
        <v>23</v>
      </c>
      <c r="H14" s="4" t="s">
        <v>36</v>
      </c>
      <c r="I14" s="191">
        <f>(-B14*(B19^2))-(B10*I1*(B19^2)/I4)-(B13*B14/I4)</f>
        <v>-8.583591766612983E-2</v>
      </c>
      <c r="J14" s="17">
        <f>-(B18*B15*B16)</f>
        <v>-8.5835921956374295E-2</v>
      </c>
      <c r="K14" s="6"/>
      <c r="L14" s="26">
        <f>B15/B14</f>
        <v>1.6884665362562321</v>
      </c>
      <c r="N14" s="4"/>
    </row>
    <row r="15" spans="1:14" ht="19.5" x14ac:dyDescent="0.5">
      <c r="A15" s="135" t="s">
        <v>37</v>
      </c>
      <c r="B15" s="264">
        <v>0.20140965729662019</v>
      </c>
      <c r="C15" s="263" t="s">
        <v>23</v>
      </c>
      <c r="D15" s="24" t="s">
        <v>38</v>
      </c>
      <c r="E15" s="25">
        <f>1000000*ABS(B15^3+I12*B15^2+I13*B15+I14)</f>
        <v>2.9534708845257995E-3</v>
      </c>
      <c r="K15" s="4"/>
      <c r="L15" s="26">
        <f>B16/B17</f>
        <v>0.68324899466647482</v>
      </c>
    </row>
    <row r="16" spans="1:14" ht="19.5" x14ac:dyDescent="0.5">
      <c r="A16" s="135" t="s">
        <v>39</v>
      </c>
      <c r="B16" s="264">
        <v>1.0514486356817634</v>
      </c>
      <c r="C16" s="263" t="s">
        <v>23</v>
      </c>
      <c r="D16" s="24" t="s">
        <v>40</v>
      </c>
      <c r="E16" s="25">
        <f>1000000*ABS(B16^3+I12*B16^2+I13*B16+I14)</f>
        <v>3.3525194592654017E-2</v>
      </c>
      <c r="L16" s="26"/>
    </row>
    <row r="17" spans="1:12" ht="19.5" x14ac:dyDescent="0.5">
      <c r="A17" s="139" t="s">
        <v>41</v>
      </c>
      <c r="B17" s="148">
        <f>B10*I1/I4</f>
        <v>1.5388952547160699</v>
      </c>
      <c r="C17" s="263" t="s">
        <v>23</v>
      </c>
      <c r="D17" s="24" t="s">
        <v>42</v>
      </c>
      <c r="E17" s="29">
        <f>1000000*ABS(B18^3+I12*B18^2+I13*B18+I14)</f>
        <v>1.0287213886295277E-2</v>
      </c>
      <c r="H17" s="12"/>
      <c r="I17" s="4"/>
      <c r="J17" s="17"/>
      <c r="L17" s="25"/>
    </row>
    <row r="18" spans="1:12" ht="19.5" x14ac:dyDescent="0.5">
      <c r="A18" s="135" t="s">
        <v>43</v>
      </c>
      <c r="B18" s="138">
        <f>-I12-B15-B16</f>
        <v>0.40532251047186363</v>
      </c>
      <c r="C18" s="263" t="s">
        <v>23</v>
      </c>
      <c r="D18" s="4"/>
      <c r="E18" s="29"/>
      <c r="H18" s="12"/>
      <c r="I18" s="4"/>
      <c r="J18" s="17"/>
      <c r="L18" s="25"/>
    </row>
    <row r="19" spans="1:12" x14ac:dyDescent="0.2">
      <c r="A19" s="149" t="s">
        <v>132</v>
      </c>
      <c r="B19" s="259">
        <v>0</v>
      </c>
      <c r="C19" s="258">
        <v>1.0349999999999999</v>
      </c>
      <c r="D19" s="29"/>
      <c r="E19" s="31"/>
      <c r="F19" s="34"/>
      <c r="G19" s="31"/>
      <c r="H19" s="42"/>
      <c r="I19" s="31"/>
      <c r="J19" s="32"/>
      <c r="K19" s="34"/>
      <c r="L19" s="3"/>
    </row>
    <row r="20" spans="1:12" ht="15.75" x14ac:dyDescent="0.25">
      <c r="A20" s="256" t="s">
        <v>44</v>
      </c>
      <c r="B20" s="256" t="s">
        <v>45</v>
      </c>
      <c r="C20" s="256" t="s">
        <v>169</v>
      </c>
      <c r="D20" s="21"/>
      <c r="E20" s="4"/>
      <c r="I20" s="4"/>
      <c r="J20" s="17"/>
      <c r="K20" s="21"/>
    </row>
    <row r="21" spans="1:12" ht="15.75" x14ac:dyDescent="0.25">
      <c r="A21" s="257">
        <f>B14+0.00001</f>
        <v>0.11929554873417722</v>
      </c>
      <c r="B21">
        <f>($B$10*$I$1/(A21-$B$14)-$B$13/A21^2)/100</f>
        <v>4308855.0943687735</v>
      </c>
      <c r="C21"/>
      <c r="E21" s="4"/>
      <c r="I21" s="34"/>
      <c r="J21" s="34"/>
      <c r="K21" s="34"/>
      <c r="L21" s="34"/>
    </row>
    <row r="22" spans="1:12" ht="15.75" x14ac:dyDescent="0.25">
      <c r="A22" s="257">
        <f>A21*$C$19</f>
        <v>0.12347089293987341</v>
      </c>
      <c r="B22">
        <f t="shared" ref="B22:B85" si="0">($B$10*$I$1/(A22-$B$14)-$B$13/A22^2)/100</f>
        <v>8976.4379231585954</v>
      </c>
      <c r="C22"/>
      <c r="E22" s="195"/>
      <c r="I22" s="34"/>
      <c r="J22" s="34"/>
      <c r="K22" s="34"/>
      <c r="L22" s="34"/>
    </row>
    <row r="23" spans="1:12" ht="15.75" x14ac:dyDescent="0.25">
      <c r="A23" s="257">
        <f t="shared" ref="A23:A86" si="1">A22*$C$19</f>
        <v>0.12779237419276898</v>
      </c>
      <c r="B23">
        <f t="shared" si="0"/>
        <v>3832.6917746017198</v>
      </c>
      <c r="C23"/>
      <c r="I23" s="34"/>
      <c r="J23" s="34"/>
      <c r="K23" s="34"/>
      <c r="L23" s="34"/>
    </row>
    <row r="24" spans="1:12" ht="15.75" x14ac:dyDescent="0.25">
      <c r="A24" s="257">
        <f t="shared" si="1"/>
        <v>0.13226510728951588</v>
      </c>
      <c r="B24">
        <f t="shared" si="0"/>
        <v>2168.7255963372113</v>
      </c>
      <c r="C24"/>
      <c r="I24" s="34"/>
      <c r="J24" s="34"/>
      <c r="K24" s="34"/>
      <c r="L24" s="34"/>
    </row>
    <row r="25" spans="1:12" ht="15.75" x14ac:dyDescent="0.25">
      <c r="A25" s="257">
        <f t="shared" si="1"/>
        <v>0.13689438604464893</v>
      </c>
      <c r="B25">
        <f t="shared" si="0"/>
        <v>1372.3008951539</v>
      </c>
      <c r="C25"/>
      <c r="E25" s="34"/>
      <c r="F25" s="34"/>
      <c r="I25" s="34"/>
      <c r="J25" s="34"/>
      <c r="K25" s="32"/>
      <c r="L25" s="34"/>
    </row>
    <row r="26" spans="1:12" ht="15.75" x14ac:dyDescent="0.25">
      <c r="A26" s="257">
        <f t="shared" si="1"/>
        <v>0.14168568955621164</v>
      </c>
      <c r="B26">
        <f t="shared" si="0"/>
        <v>920.23678688831797</v>
      </c>
      <c r="C26"/>
      <c r="E26" s="34"/>
      <c r="F26" s="34"/>
      <c r="I26" s="34"/>
      <c r="J26" s="34"/>
      <c r="K26" s="32"/>
      <c r="L26" s="34"/>
    </row>
    <row r="27" spans="1:12" ht="15.75" x14ac:dyDescent="0.25">
      <c r="A27" s="257">
        <f t="shared" si="1"/>
        <v>0.14664468869067904</v>
      </c>
      <c r="B27">
        <f t="shared" si="0"/>
        <v>638.2155900567974</v>
      </c>
      <c r="C27"/>
      <c r="E27" s="34"/>
      <c r="F27" s="34"/>
      <c r="I27" s="34"/>
      <c r="J27" s="32"/>
      <c r="K27" s="32"/>
      <c r="L27" s="34"/>
    </row>
    <row r="28" spans="1:12" ht="15.75" x14ac:dyDescent="0.25">
      <c r="A28" s="257">
        <f t="shared" si="1"/>
        <v>0.1517772527948528</v>
      </c>
      <c r="B28">
        <f t="shared" si="0"/>
        <v>451.66592071567209</v>
      </c>
      <c r="C28"/>
      <c r="E28" s="34"/>
      <c r="F28" s="34"/>
      <c r="I28" s="34"/>
      <c r="J28" s="34"/>
      <c r="K28" s="34"/>
      <c r="L28" s="34"/>
    </row>
    <row r="29" spans="1:12" ht="15.75" x14ac:dyDescent="0.25">
      <c r="A29" s="257">
        <f t="shared" si="1"/>
        <v>0.15708945664267263</v>
      </c>
      <c r="B29">
        <f t="shared" si="0"/>
        <v>323.42766889730848</v>
      </c>
      <c r="C29"/>
      <c r="D29"/>
      <c r="E29" s="187"/>
      <c r="F29" s="187"/>
      <c r="I29" s="34"/>
      <c r="J29" s="34"/>
      <c r="K29" s="34"/>
      <c r="L29" s="34"/>
    </row>
    <row r="30" spans="1:12" ht="15.75" x14ac:dyDescent="0.25">
      <c r="A30" s="257">
        <f t="shared" si="1"/>
        <v>0.16258758762516615</v>
      </c>
      <c r="B30">
        <f t="shared" si="0"/>
        <v>232.96330711464833</v>
      </c>
      <c r="C30"/>
      <c r="D30"/>
      <c r="E30" s="187"/>
      <c r="F30" s="187"/>
      <c r="I30" s="34"/>
      <c r="J30" s="31"/>
      <c r="K30" s="35"/>
      <c r="L30" s="34"/>
    </row>
    <row r="31" spans="1:12" ht="15.75" x14ac:dyDescent="0.25">
      <c r="A31" s="257">
        <f t="shared" si="1"/>
        <v>0.16827815319204695</v>
      </c>
      <c r="B31">
        <f t="shared" si="0"/>
        <v>168.04012048521238</v>
      </c>
      <c r="C31"/>
      <c r="D31"/>
      <c r="E31" s="187"/>
      <c r="F31" s="187"/>
      <c r="J31" s="4"/>
      <c r="K31" s="18"/>
    </row>
    <row r="32" spans="1:12" ht="15.75" x14ac:dyDescent="0.25">
      <c r="A32" s="257">
        <f t="shared" si="1"/>
        <v>0.17416788855376858</v>
      </c>
      <c r="B32">
        <f t="shared" si="0"/>
        <v>120.94902215361726</v>
      </c>
      <c r="C32"/>
      <c r="D32"/>
      <c r="E32" s="187"/>
      <c r="F32" s="187"/>
      <c r="J32" s="4"/>
      <c r="K32" s="37"/>
    </row>
    <row r="33" spans="1:11" ht="15.75" x14ac:dyDescent="0.25">
      <c r="A33" s="257">
        <f t="shared" si="1"/>
        <v>0.18026376465315047</v>
      </c>
      <c r="B33">
        <f t="shared" si="0"/>
        <v>86.614105037270861</v>
      </c>
      <c r="C33"/>
      <c r="D33"/>
      <c r="E33" s="187"/>
      <c r="F33" s="187"/>
      <c r="J33" s="4"/>
      <c r="K33" s="18"/>
    </row>
    <row r="34" spans="1:11" ht="15.75" x14ac:dyDescent="0.25">
      <c r="A34" s="257">
        <f t="shared" si="1"/>
        <v>0.18657299641601072</v>
      </c>
      <c r="B34">
        <f t="shared" si="0"/>
        <v>61.574993695276937</v>
      </c>
      <c r="C34"/>
      <c r="D34"/>
      <c r="E34" s="187"/>
      <c r="F34" s="187"/>
    </row>
    <row r="35" spans="1:11" ht="15.75" x14ac:dyDescent="0.25">
      <c r="A35" s="257">
        <f t="shared" si="1"/>
        <v>0.19310305129057106</v>
      </c>
      <c r="B35">
        <f t="shared" si="0"/>
        <v>43.405639440145968</v>
      </c>
      <c r="C35"/>
      <c r="D35"/>
      <c r="E35" s="187"/>
      <c r="F35" s="187"/>
    </row>
    <row r="36" spans="1:11" ht="15.75" x14ac:dyDescent="0.25">
      <c r="A36" s="257">
        <f t="shared" si="1"/>
        <v>0.19986165808574102</v>
      </c>
      <c r="B36">
        <f t="shared" si="0"/>
        <v>30.365890026971318</v>
      </c>
      <c r="C36"/>
      <c r="D36"/>
      <c r="E36"/>
      <c r="F36"/>
    </row>
    <row r="37" spans="1:11" ht="15.75" x14ac:dyDescent="0.25">
      <c r="A37" s="257">
        <f t="shared" si="1"/>
        <v>0.20685681611874193</v>
      </c>
      <c r="B37">
        <f t="shared" si="0"/>
        <v>21.183986114060971</v>
      </c>
      <c r="C37"/>
      <c r="D37"/>
      <c r="E37"/>
      <c r="F37"/>
    </row>
    <row r="38" spans="1:11" ht="15.75" x14ac:dyDescent="0.25">
      <c r="A38" s="257">
        <f t="shared" si="1"/>
        <v>0.21409680468289788</v>
      </c>
      <c r="B38">
        <f t="shared" si="0"/>
        <v>14.916059968805493</v>
      </c>
      <c r="C38"/>
      <c r="D38"/>
      <c r="E38"/>
      <c r="F38"/>
    </row>
    <row r="39" spans="1:11" ht="15.75" x14ac:dyDescent="0.25">
      <c r="A39" s="257">
        <f t="shared" si="1"/>
        <v>0.22159019284679929</v>
      </c>
      <c r="B39">
        <f t="shared" si="0"/>
        <v>10.852676649662607</v>
      </c>
      <c r="C39"/>
      <c r="D39"/>
      <c r="E39"/>
      <c r="F39"/>
    </row>
    <row r="40" spans="1:11" ht="15.75" x14ac:dyDescent="0.25">
      <c r="A40" s="257">
        <f t="shared" si="1"/>
        <v>0.22934584959643725</v>
      </c>
      <c r="B40">
        <f t="shared" si="0"/>
        <v>8.455072270196105</v>
      </c>
      <c r="C40"/>
    </row>
    <row r="41" spans="1:11" ht="15.75" x14ac:dyDescent="0.25">
      <c r="A41" s="257">
        <f t="shared" si="1"/>
        <v>0.23737295433231254</v>
      </c>
      <c r="B41">
        <f t="shared" si="0"/>
        <v>7.3106824516135385</v>
      </c>
      <c r="C41"/>
    </row>
    <row r="42" spans="1:11" ht="15.75" x14ac:dyDescent="0.25">
      <c r="A42" s="257">
        <f t="shared" si="1"/>
        <v>0.24568100773394347</v>
      </c>
      <c r="B42">
        <f t="shared" si="0"/>
        <v>7.1015191869303091</v>
      </c>
      <c r="C42"/>
    </row>
    <row r="43" spans="1:11" ht="15.75" x14ac:dyDescent="0.25">
      <c r="A43" s="257">
        <f t="shared" si="1"/>
        <v>0.25427984300463147</v>
      </c>
      <c r="B43">
        <f t="shared" si="0"/>
        <v>7.5812974672656859</v>
      </c>
      <c r="C43"/>
    </row>
    <row r="44" spans="1:11" ht="15.75" x14ac:dyDescent="0.25">
      <c r="A44" s="257">
        <f t="shared" si="1"/>
        <v>0.26317963750979356</v>
      </c>
      <c r="B44">
        <f t="shared" si="0"/>
        <v>8.5586393023174239</v>
      </c>
      <c r="C44"/>
    </row>
    <row r="45" spans="1:11" ht="15.75" x14ac:dyDescent="0.25">
      <c r="A45" s="257">
        <f t="shared" si="1"/>
        <v>0.27239092482263633</v>
      </c>
      <c r="B45">
        <f t="shared" si="0"/>
        <v>9.8845741878646365</v>
      </c>
      <c r="C45"/>
    </row>
    <row r="46" spans="1:11" ht="15.75" x14ac:dyDescent="0.25">
      <c r="A46" s="257">
        <f t="shared" si="1"/>
        <v>0.28192460719142859</v>
      </c>
      <c r="B46">
        <f t="shared" si="0"/>
        <v>11.443125560952213</v>
      </c>
      <c r="C46"/>
    </row>
    <row r="47" spans="1:11" ht="15.75" x14ac:dyDescent="0.25">
      <c r="A47" s="257">
        <f t="shared" si="1"/>
        <v>0.29179196844312855</v>
      </c>
      <c r="B47">
        <f t="shared" si="0"/>
        <v>13.144145766201182</v>
      </c>
      <c r="C47"/>
    </row>
    <row r="48" spans="1:11" ht="15.75" x14ac:dyDescent="0.25">
      <c r="A48" s="257">
        <f t="shared" si="1"/>
        <v>0.302004687338638</v>
      </c>
      <c r="B48">
        <f t="shared" si="0"/>
        <v>14.917810681281081</v>
      </c>
      <c r="C48"/>
    </row>
    <row r="49" spans="1:3" ht="15.75" x14ac:dyDescent="0.25">
      <c r="A49" s="257">
        <f t="shared" si="1"/>
        <v>0.31257485139549029</v>
      </c>
      <c r="B49">
        <f t="shared" si="0"/>
        <v>16.710353828766639</v>
      </c>
      <c r="C49"/>
    </row>
    <row r="50" spans="1:3" ht="15.75" x14ac:dyDescent="0.25">
      <c r="A50" s="257">
        <f t="shared" si="1"/>
        <v>0.32351497119433242</v>
      </c>
      <c r="B50">
        <f t="shared" si="0"/>
        <v>18.48073610316391</v>
      </c>
      <c r="C50"/>
    </row>
    <row r="51" spans="1:3" ht="15.75" x14ac:dyDescent="0.25">
      <c r="A51" s="257">
        <f t="shared" si="1"/>
        <v>0.33483799518613405</v>
      </c>
      <c r="B51">
        <f t="shared" si="0"/>
        <v>20.198028626040141</v>
      </c>
      <c r="C51"/>
    </row>
    <row r="52" spans="1:3" ht="15.75" x14ac:dyDescent="0.25">
      <c r="A52" s="257">
        <f t="shared" si="1"/>
        <v>0.34655732501764874</v>
      </c>
      <c r="B52">
        <f t="shared" si="0"/>
        <v>21.839343973894792</v>
      </c>
      <c r="C52"/>
    </row>
    <row r="53" spans="1:3" ht="15.75" x14ac:dyDescent="0.25">
      <c r="A53" s="257">
        <f t="shared" si="1"/>
        <v>0.3586868313932664</v>
      </c>
      <c r="B53">
        <f t="shared" si="0"/>
        <v>23.388192495441817</v>
      </c>
      <c r="C53"/>
    </row>
    <row r="54" spans="1:3" ht="15.75" x14ac:dyDescent="0.25">
      <c r="A54" s="257">
        <f t="shared" si="1"/>
        <v>0.37124087049203069</v>
      </c>
      <c r="B54">
        <f t="shared" si="0"/>
        <v>24.833170575892581</v>
      </c>
      <c r="C54"/>
    </row>
    <row r="55" spans="1:3" ht="15.75" x14ac:dyDescent="0.25">
      <c r="A55" s="257">
        <f t="shared" si="1"/>
        <v>0.38423430095925176</v>
      </c>
      <c r="B55">
        <f t="shared" si="0"/>
        <v>26.166909849643488</v>
      </c>
      <c r="C55"/>
    </row>
    <row r="56" spans="1:3" ht="15.75" x14ac:dyDescent="0.25">
      <c r="A56" s="257">
        <f t="shared" si="1"/>
        <v>0.39768250149282552</v>
      </c>
      <c r="B56">
        <f t="shared" si="0"/>
        <v>27.38523279562569</v>
      </c>
      <c r="C56"/>
    </row>
    <row r="57" spans="1:3" ht="15.75" x14ac:dyDescent="0.25">
      <c r="A57" s="257">
        <f t="shared" si="1"/>
        <v>0.41160138904507437</v>
      </c>
      <c r="B57">
        <f t="shared" si="0"/>
        <v>28.486472459005018</v>
      </c>
      <c r="C57"/>
    </row>
    <row r="58" spans="1:3" ht="15.75" x14ac:dyDescent="0.25">
      <c r="A58" s="257">
        <f t="shared" si="1"/>
        <v>0.42600743766165194</v>
      </c>
      <c r="B58">
        <f t="shared" si="0"/>
        <v>29.470923344437196</v>
      </c>
      <c r="C58"/>
    </row>
    <row r="59" spans="1:3" ht="15.75" x14ac:dyDescent="0.25">
      <c r="A59" s="257">
        <f t="shared" si="1"/>
        <v>0.44091769797980973</v>
      </c>
      <c r="B59">
        <f t="shared" si="0"/>
        <v>30.340397612223516</v>
      </c>
      <c r="C59"/>
    </row>
    <row r="60" spans="1:3" ht="15.75" x14ac:dyDescent="0.25">
      <c r="A60" s="257">
        <f t="shared" si="1"/>
        <v>0.45634981740910302</v>
      </c>
      <c r="B60">
        <f t="shared" si="0"/>
        <v>31.097866148411669</v>
      </c>
      <c r="C60"/>
    </row>
    <row r="61" spans="1:3" ht="15.75" x14ac:dyDescent="0.25">
      <c r="A61" s="257">
        <f t="shared" si="1"/>
        <v>0.47232206101842161</v>
      </c>
      <c r="B61">
        <f t="shared" si="0"/>
        <v>31.747168285570989</v>
      </c>
      <c r="C61"/>
    </row>
    <row r="62" spans="1:3" ht="15.75" x14ac:dyDescent="0.25">
      <c r="A62" s="257">
        <f t="shared" si="1"/>
        <v>0.48885333315406632</v>
      </c>
      <c r="B62">
        <f t="shared" si="0"/>
        <v>32.292777224355831</v>
      </c>
      <c r="C62"/>
    </row>
    <row r="63" spans="1:3" ht="15.75" x14ac:dyDescent="0.25">
      <c r="A63" s="257">
        <f t="shared" si="1"/>
        <v>0.50596319981445859</v>
      </c>
      <c r="B63">
        <f t="shared" si="0"/>
        <v>32.739610769703042</v>
      </c>
      <c r="C63"/>
    </row>
    <row r="64" spans="1:3" ht="15.75" x14ac:dyDescent="0.25">
      <c r="A64" s="257">
        <f t="shared" si="1"/>
        <v>0.52367191180796457</v>
      </c>
      <c r="B64">
        <f t="shared" si="0"/>
        <v>33.092879015230558</v>
      </c>
      <c r="C64"/>
    </row>
    <row r="65" spans="1:3" ht="15.75" x14ac:dyDescent="0.25">
      <c r="A65" s="257">
        <f t="shared" si="1"/>
        <v>0.54200042872124332</v>
      </c>
      <c r="B65">
        <f t="shared" si="0"/>
        <v>33.357962209305398</v>
      </c>
      <c r="C65"/>
    </row>
    <row r="66" spans="1:3" ht="15.75" x14ac:dyDescent="0.25">
      <c r="A66" s="257">
        <f t="shared" si="1"/>
        <v>0.56097044372648674</v>
      </c>
      <c r="B66">
        <f t="shared" si="0"/>
        <v>33.540313310120929</v>
      </c>
      <c r="C66"/>
    </row>
    <row r="67" spans="1:3" ht="15.75" x14ac:dyDescent="0.25">
      <c r="A67" s="257">
        <f t="shared" si="1"/>
        <v>0.5806044092569137</v>
      </c>
      <c r="B67">
        <f t="shared" si="0"/>
        <v>33.645380756294628</v>
      </c>
      <c r="C67"/>
    </row>
    <row r="68" spans="1:3" ht="15.75" x14ac:dyDescent="0.25">
      <c r="A68" s="257">
        <f t="shared" si="1"/>
        <v>0.60092556358090565</v>
      </c>
      <c r="B68">
        <f t="shared" si="0"/>
        <v>33.678547798570428</v>
      </c>
      <c r="C68"/>
    </row>
    <row r="69" spans="1:3" ht="15.75" x14ac:dyDescent="0.25">
      <c r="A69" s="257">
        <f t="shared" si="1"/>
        <v>0.62195795830623735</v>
      </c>
      <c r="B69">
        <f t="shared" si="0"/>
        <v>33.645085399240017</v>
      </c>
      <c r="C69"/>
    </row>
    <row r="70" spans="1:3" ht="15.75" x14ac:dyDescent="0.25">
      <c r="A70" s="257">
        <f t="shared" si="1"/>
        <v>0.64372648684695566</v>
      </c>
      <c r="B70">
        <f t="shared" si="0"/>
        <v>33.550116241478861</v>
      </c>
      <c r="C70"/>
    </row>
    <row r="71" spans="1:3" ht="15.75" x14ac:dyDescent="0.25">
      <c r="A71" s="257">
        <f t="shared" si="1"/>
        <v>0.66625691388659902</v>
      </c>
      <c r="B71">
        <f t="shared" si="0"/>
        <v>33.398587826316714</v>
      </c>
      <c r="C71"/>
    </row>
    <row r="72" spans="1:3" ht="15.75" x14ac:dyDescent="0.25">
      <c r="A72" s="257">
        <f t="shared" si="1"/>
        <v>0.68957590587262996</v>
      </c>
      <c r="B72">
        <f t="shared" si="0"/>
        <v>33.195252990327411</v>
      </c>
      <c r="C72"/>
    </row>
    <row r="73" spans="1:3" ht="15.75" x14ac:dyDescent="0.25">
      <c r="A73" s="257">
        <f t="shared" si="1"/>
        <v>0.71371106257817196</v>
      </c>
      <c r="B73">
        <f t="shared" si="0"/>
        <v>32.944656467992061</v>
      </c>
      <c r="C73"/>
    </row>
    <row r="74" spans="1:3" ht="15.75" x14ac:dyDescent="0.25">
      <c r="A74" s="257">
        <f t="shared" si="1"/>
        <v>0.73869094976840788</v>
      </c>
      <c r="B74">
        <f t="shared" si="0"/>
        <v>32.651126361463255</v>
      </c>
      <c r="C74"/>
    </row>
    <row r="75" spans="1:3" ht="15.75" x14ac:dyDescent="0.25">
      <c r="A75" s="257">
        <f t="shared" si="1"/>
        <v>0.76454513301030214</v>
      </c>
      <c r="B75">
        <f t="shared" si="0"/>
        <v>32.318769576985034</v>
      </c>
      <c r="C75"/>
    </row>
    <row r="76" spans="1:3" ht="15.75" x14ac:dyDescent="0.25">
      <c r="A76" s="257">
        <f t="shared" si="1"/>
        <v>0.79130421266566264</v>
      </c>
      <c r="B76">
        <f t="shared" si="0"/>
        <v>31.951470449376856</v>
      </c>
      <c r="C76"/>
    </row>
    <row r="77" spans="1:3" ht="15.75" x14ac:dyDescent="0.25">
      <c r="A77" s="257">
        <f t="shared" si="1"/>
        <v>0.81899986010896075</v>
      </c>
      <c r="B77">
        <f t="shared" si="0"/>
        <v>31.552891910074564</v>
      </c>
      <c r="C77"/>
    </row>
    <row r="78" spans="1:3" ht="15.75" x14ac:dyDescent="0.25">
      <c r="A78" s="257">
        <f t="shared" si="1"/>
        <v>0.84766485521277435</v>
      </c>
      <c r="B78">
        <f t="shared" si="0"/>
        <v>31.12647866531681</v>
      </c>
      <c r="C78"/>
    </row>
    <row r="79" spans="1:3" ht="15.75" x14ac:dyDescent="0.25">
      <c r="A79" s="257">
        <f t="shared" si="1"/>
        <v>0.87733312514522144</v>
      </c>
      <c r="B79">
        <f t="shared" si="0"/>
        <v>30.675461943276336</v>
      </c>
      <c r="C79"/>
    </row>
    <row r="80" spans="1:3" ht="15.75" x14ac:dyDescent="0.25">
      <c r="A80" s="257">
        <f t="shared" si="1"/>
        <v>0.90803978452530409</v>
      </c>
      <c r="B80">
        <f t="shared" si="0"/>
        <v>30.202865445587669</v>
      </c>
      <c r="C80"/>
    </row>
    <row r="81" spans="1:3" ht="15.75" x14ac:dyDescent="0.25">
      <c r="A81" s="257">
        <f t="shared" si="1"/>
        <v>0.93982117698368961</v>
      </c>
      <c r="B81">
        <f t="shared" si="0"/>
        <v>29.711512202526645</v>
      </c>
      <c r="C81"/>
    </row>
    <row r="82" spans="1:3" ht="15.75" x14ac:dyDescent="0.25">
      <c r="A82" s="257">
        <f t="shared" si="1"/>
        <v>0.97271491817811873</v>
      </c>
      <c r="B82">
        <f t="shared" si="0"/>
        <v>29.204032084262412</v>
      </c>
      <c r="C82"/>
    </row>
    <row r="83" spans="1:3" ht="15.75" x14ac:dyDescent="0.25">
      <c r="A83" s="257">
        <f t="shared" si="1"/>
        <v>1.0067599403143528</v>
      </c>
      <c r="B83">
        <f t="shared" si="0"/>
        <v>28.682869764940971</v>
      </c>
      <c r="C83"/>
    </row>
    <row r="84" spans="1:3" ht="15.75" x14ac:dyDescent="0.25">
      <c r="A84" s="257">
        <f t="shared" si="1"/>
        <v>1.0419965382253551</v>
      </c>
      <c r="B84">
        <f t="shared" si="0"/>
        <v>28.150292973358429</v>
      </c>
      <c r="C84"/>
    </row>
    <row r="85" spans="1:3" ht="15.75" x14ac:dyDescent="0.25">
      <c r="A85" s="257">
        <f t="shared" si="1"/>
        <v>1.0784664170632425</v>
      </c>
      <c r="B85">
        <f t="shared" si="0"/>
        <v>27.608400894866516</v>
      </c>
      <c r="C85"/>
    </row>
    <row r="86" spans="1:3" ht="15.75" x14ac:dyDescent="0.25">
      <c r="A86" s="257">
        <f t="shared" si="1"/>
        <v>1.1162127416604559</v>
      </c>
      <c r="B86">
        <f>($B$10*$I$1/(A86-$B$14)-$B$13/A86^2)/100</f>
        <v>27.059132614935944</v>
      </c>
      <c r="C86"/>
    </row>
    <row r="87" spans="1:3" ht="15.75" x14ac:dyDescent="0.25">
      <c r="A87"/>
      <c r="B87"/>
      <c r="C87"/>
    </row>
    <row r="88" spans="1:3" ht="15.75" x14ac:dyDescent="0.25">
      <c r="A88"/>
      <c r="B88"/>
      <c r="C88"/>
    </row>
    <row r="94" spans="1:3" x14ac:dyDescent="0.2">
      <c r="B94" s="155"/>
    </row>
    <row r="95" spans="1:3" x14ac:dyDescent="0.2">
      <c r="B95" s="155"/>
    </row>
    <row r="96" spans="1:3" x14ac:dyDescent="0.2">
      <c r="B96" s="155"/>
    </row>
    <row r="97" spans="2:2" x14ac:dyDescent="0.2">
      <c r="B97" s="155"/>
    </row>
    <row r="98" spans="2:2" x14ac:dyDescent="0.2">
      <c r="B98" s="155"/>
    </row>
    <row r="99" spans="2:2" x14ac:dyDescent="0.2">
      <c r="B99" s="155"/>
    </row>
    <row r="100" spans="2:2" x14ac:dyDescent="0.2">
      <c r="B100" s="155"/>
    </row>
    <row r="101" spans="2:2" x14ac:dyDescent="0.2">
      <c r="B101" s="155"/>
    </row>
    <row r="102" spans="2:2" x14ac:dyDescent="0.2">
      <c r="B102" s="155"/>
    </row>
    <row r="103" spans="2:2" x14ac:dyDescent="0.2">
      <c r="B103" s="155"/>
    </row>
    <row r="104" spans="2:2" x14ac:dyDescent="0.2">
      <c r="B104" s="155"/>
    </row>
    <row r="105" spans="2:2" x14ac:dyDescent="0.2">
      <c r="B105" s="155"/>
    </row>
    <row r="106" spans="2:2" x14ac:dyDescent="0.2">
      <c r="B106" s="155"/>
    </row>
    <row r="107" spans="2:2" x14ac:dyDescent="0.2">
      <c r="B107" s="155"/>
    </row>
    <row r="108" spans="2:2" x14ac:dyDescent="0.2">
      <c r="B108" s="155"/>
    </row>
    <row r="109" spans="2:2" x14ac:dyDescent="0.2">
      <c r="B109" s="155"/>
    </row>
    <row r="110" spans="2:2" x14ac:dyDescent="0.2">
      <c r="B110" s="155"/>
    </row>
    <row r="111" spans="2:2" x14ac:dyDescent="0.2">
      <c r="B111" s="155"/>
    </row>
    <row r="112" spans="2:2" x14ac:dyDescent="0.2">
      <c r="B112" s="155"/>
    </row>
    <row r="113" spans="2:2" x14ac:dyDescent="0.2">
      <c r="B113" s="155"/>
    </row>
    <row r="114" spans="2:2" x14ac:dyDescent="0.2">
      <c r="B114" s="155"/>
    </row>
    <row r="115" spans="2:2" x14ac:dyDescent="0.2">
      <c r="B115" s="155"/>
    </row>
    <row r="116" spans="2:2" x14ac:dyDescent="0.2">
      <c r="B116" s="155"/>
    </row>
    <row r="117" spans="2:2" x14ac:dyDescent="0.2">
      <c r="B117" s="155"/>
    </row>
    <row r="118" spans="2:2" x14ac:dyDescent="0.2">
      <c r="B118" s="155"/>
    </row>
    <row r="119" spans="2:2" x14ac:dyDescent="0.2">
      <c r="B119" s="155"/>
    </row>
    <row r="120" spans="2:2" x14ac:dyDescent="0.2">
      <c r="B120" s="155"/>
    </row>
    <row r="121" spans="2:2" x14ac:dyDescent="0.2">
      <c r="B121" s="155"/>
    </row>
    <row r="122" spans="2:2" x14ac:dyDescent="0.2">
      <c r="B122" s="155"/>
    </row>
    <row r="123" spans="2:2" x14ac:dyDescent="0.2">
      <c r="B123" s="155"/>
    </row>
    <row r="124" spans="2:2" x14ac:dyDescent="0.2">
      <c r="B124" s="155"/>
    </row>
    <row r="125" spans="2:2" x14ac:dyDescent="0.2">
      <c r="B125" s="155"/>
    </row>
    <row r="126" spans="2:2" x14ac:dyDescent="0.2">
      <c r="B126" s="155"/>
    </row>
    <row r="127" spans="2:2" x14ac:dyDescent="0.2">
      <c r="B127" s="155"/>
    </row>
    <row r="128" spans="2:2" x14ac:dyDescent="0.2">
      <c r="B128" s="155"/>
    </row>
    <row r="129" spans="2:2" x14ac:dyDescent="0.2">
      <c r="B129" s="155"/>
    </row>
    <row r="130" spans="2:2" x14ac:dyDescent="0.2">
      <c r="B130" s="155"/>
    </row>
    <row r="131" spans="2:2" x14ac:dyDescent="0.2">
      <c r="B131" s="155"/>
    </row>
    <row r="132" spans="2:2" x14ac:dyDescent="0.2">
      <c r="B132" s="155"/>
    </row>
    <row r="133" spans="2:2" x14ac:dyDescent="0.2">
      <c r="B133" s="155"/>
    </row>
    <row r="134" spans="2:2" x14ac:dyDescent="0.2">
      <c r="B134" s="155"/>
    </row>
    <row r="135" spans="2:2" x14ac:dyDescent="0.2">
      <c r="B135" s="155"/>
    </row>
    <row r="136" spans="2:2" x14ac:dyDescent="0.2">
      <c r="B136" s="155"/>
    </row>
    <row r="137" spans="2:2" x14ac:dyDescent="0.2">
      <c r="B137" s="155"/>
    </row>
    <row r="138" spans="2:2" x14ac:dyDescent="0.2">
      <c r="B138" s="155"/>
    </row>
    <row r="139" spans="2:2" x14ac:dyDescent="0.2">
      <c r="B139" s="155"/>
    </row>
    <row r="140" spans="2:2" x14ac:dyDescent="0.2">
      <c r="B140" s="155"/>
    </row>
    <row r="141" spans="2:2" x14ac:dyDescent="0.2">
      <c r="B141" s="155"/>
    </row>
    <row r="142" spans="2:2" x14ac:dyDescent="0.2">
      <c r="B142" s="155"/>
    </row>
    <row r="143" spans="2:2" x14ac:dyDescent="0.2">
      <c r="B143" s="155"/>
    </row>
    <row r="144" spans="2:2" x14ac:dyDescent="0.2">
      <c r="B144" s="155"/>
    </row>
    <row r="145" spans="2:2" x14ac:dyDescent="0.2">
      <c r="B145" s="155"/>
    </row>
    <row r="146" spans="2:2" x14ac:dyDescent="0.2">
      <c r="B146" s="155"/>
    </row>
    <row r="147" spans="2:2" x14ac:dyDescent="0.2">
      <c r="B147" s="155"/>
    </row>
    <row r="148" spans="2:2" x14ac:dyDescent="0.2">
      <c r="B148" s="155"/>
    </row>
    <row r="149" spans="2:2" x14ac:dyDescent="0.2">
      <c r="B149" s="155"/>
    </row>
    <row r="150" spans="2:2" x14ac:dyDescent="0.2">
      <c r="B150" s="155"/>
    </row>
    <row r="151" spans="2:2" x14ac:dyDescent="0.2">
      <c r="B151" s="155"/>
    </row>
    <row r="152" spans="2:2" x14ac:dyDescent="0.2">
      <c r="B152" s="155"/>
    </row>
    <row r="153" spans="2:2" x14ac:dyDescent="0.2">
      <c r="B153" s="155"/>
    </row>
    <row r="154" spans="2:2" x14ac:dyDescent="0.2">
      <c r="B154" s="155"/>
    </row>
  </sheetData>
  <phoneticPr fontId="3" type="noConversion"/>
  <pageMargins left="0.75" right="0.75" top="1" bottom="1" header="0.5" footer="0.5"/>
  <pageSetup orientation="portrait" verticalDpi="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122"/>
  <sheetViews>
    <sheetView workbookViewId="0">
      <selection activeCell="B15" sqref="B15:B16"/>
    </sheetView>
  </sheetViews>
  <sheetFormatPr defaultColWidth="8" defaultRowHeight="12.75" x14ac:dyDescent="0.2"/>
  <cols>
    <col min="1" max="2" width="8" style="2"/>
    <col min="3" max="3" width="10.625" style="2" bestFit="1" customWidth="1"/>
    <col min="4" max="4" width="8" style="2"/>
    <col min="5" max="5" width="10.125" style="2" customWidth="1"/>
    <col min="6" max="16384" width="8" style="2"/>
  </cols>
  <sheetData>
    <row r="1" spans="1:14" ht="18" x14ac:dyDescent="0.25">
      <c r="A1" s="1" t="str">
        <f>' T = Tb'!A1</f>
        <v>Benzene</v>
      </c>
      <c r="E1" s="2" t="s">
        <v>0</v>
      </c>
      <c r="F1" s="2">
        <v>1</v>
      </c>
      <c r="H1" s="3" t="s">
        <v>1</v>
      </c>
      <c r="I1" s="2">
        <f>' T = Tb'!O25</f>
        <v>539.83861157393062</v>
      </c>
      <c r="J1" s="2" t="s">
        <v>2</v>
      </c>
    </row>
    <row r="2" spans="1:14" ht="15.75" x14ac:dyDescent="0.3">
      <c r="A2" s="4" t="s">
        <v>15</v>
      </c>
      <c r="B2" s="5">
        <f>' T = Tb'!B2</f>
        <v>78.114000000000004</v>
      </c>
      <c r="C2" s="2" t="s">
        <v>3</v>
      </c>
      <c r="E2" s="4" t="s">
        <v>4</v>
      </c>
      <c r="F2" s="2">
        <f>' T = Tb'!F2</f>
        <v>-7.0143300000000002</v>
      </c>
      <c r="H2" s="3" t="s">
        <v>16</v>
      </c>
      <c r="I2" s="2">
        <f>1-I1/B3</f>
        <v>3.970646866740668E-2</v>
      </c>
      <c r="M2" s="4"/>
    </row>
    <row r="3" spans="1:14" ht="15.75" x14ac:dyDescent="0.3">
      <c r="A3" s="4" t="s">
        <v>17</v>
      </c>
      <c r="B3" s="5">
        <f>' T = Tb'!B3</f>
        <v>562.16</v>
      </c>
      <c r="C3" s="2" t="s">
        <v>2</v>
      </c>
      <c r="E3" s="4" t="s">
        <v>5</v>
      </c>
      <c r="F3" s="2">
        <f>' T = Tb'!F3</f>
        <v>1.5525599999999999</v>
      </c>
      <c r="H3" s="3" t="s">
        <v>6</v>
      </c>
      <c r="I3" s="144">
        <f>(B4*EXP((F2*I2+F3*I2^1.5+F4*I2^2.5+F5*I2^5)/(1-I2)))</f>
        <v>37.098209498714525</v>
      </c>
      <c r="J3" s="2" t="s">
        <v>7</v>
      </c>
      <c r="M3" s="4"/>
    </row>
    <row r="4" spans="1:14" ht="15.75" x14ac:dyDescent="0.3">
      <c r="A4" s="4" t="s">
        <v>18</v>
      </c>
      <c r="B4" s="5">
        <f>' T = Tb'!B4</f>
        <v>48.98</v>
      </c>
      <c r="C4" s="2" t="s">
        <v>7</v>
      </c>
      <c r="E4" s="4" t="s">
        <v>8</v>
      </c>
      <c r="F4" s="2">
        <f>' T = Tb'!F4</f>
        <v>-1.8479000000000001</v>
      </c>
      <c r="H4" s="3" t="s">
        <v>6</v>
      </c>
      <c r="I4" s="2">
        <f>I3*100</f>
        <v>3709.8209498714523</v>
      </c>
      <c r="J4" s="2" t="s">
        <v>9</v>
      </c>
      <c r="N4" s="6"/>
    </row>
    <row r="5" spans="1:14" ht="16.5" x14ac:dyDescent="0.3">
      <c r="A5" s="4" t="s">
        <v>18</v>
      </c>
      <c r="B5" s="5">
        <f>' T = Tb'!B5</f>
        <v>4898</v>
      </c>
      <c r="C5" s="2" t="s">
        <v>9</v>
      </c>
      <c r="E5" s="4" t="s">
        <v>10</v>
      </c>
      <c r="F5" s="2">
        <f>' T = Tb'!F5</f>
        <v>-3.7130000000000001</v>
      </c>
      <c r="H5" s="4"/>
      <c r="M5" s="23">
        <v>3.3000000000000002E-2</v>
      </c>
      <c r="N5" s="6"/>
    </row>
    <row r="6" spans="1:14" ht="16.5" x14ac:dyDescent="0.3">
      <c r="A6" s="4" t="s">
        <v>19</v>
      </c>
      <c r="B6" s="5">
        <f>' T = Tb'!B6</f>
        <v>256</v>
      </c>
      <c r="C6" s="2" t="s">
        <v>20</v>
      </c>
      <c r="E6" s="4" t="s">
        <v>21</v>
      </c>
      <c r="F6" s="2">
        <f>' T = Tb'!F6</f>
        <v>250</v>
      </c>
      <c r="G6" s="7">
        <f>F6/B3</f>
        <v>0.44471324889711117</v>
      </c>
      <c r="H6" s="2" t="s">
        <v>22</v>
      </c>
      <c r="I6" s="2">
        <v>2.5712194055283128E-3</v>
      </c>
      <c r="M6" s="23">
        <v>0.214</v>
      </c>
    </row>
    <row r="7" spans="1:14" ht="15.75" x14ac:dyDescent="0.3">
      <c r="A7" s="4" t="s">
        <v>19</v>
      </c>
      <c r="B7" s="5">
        <f>' T = Tb'!B7</f>
        <v>0.25600000000000001</v>
      </c>
      <c r="C7" s="8" t="s">
        <v>23</v>
      </c>
      <c r="E7" s="4" t="s">
        <v>24</v>
      </c>
      <c r="F7" s="2">
        <f>' T = Tb'!F7</f>
        <v>562.16</v>
      </c>
      <c r="G7" s="7">
        <f>F7/B3</f>
        <v>1</v>
      </c>
      <c r="H7" s="2" t="s">
        <v>25</v>
      </c>
      <c r="I7" s="2">
        <f>I6/I3</f>
        <v>6.9308450199393235E-5</v>
      </c>
    </row>
    <row r="8" spans="1:14" ht="15.75" x14ac:dyDescent="0.3">
      <c r="A8" s="4" t="s">
        <v>26</v>
      </c>
      <c r="B8" s="5">
        <f>' T = Tb'!B8</f>
        <v>0.26800000000000002</v>
      </c>
      <c r="E8" s="4" t="s">
        <v>27</v>
      </c>
      <c r="F8" s="18">
        <f>' T = Tb'!F8</f>
        <v>353.24</v>
      </c>
      <c r="G8" s="7">
        <f>F8/B3</f>
        <v>0.6283620321616622</v>
      </c>
      <c r="H8" s="2" t="s">
        <v>28</v>
      </c>
    </row>
    <row r="9" spans="1:14" x14ac:dyDescent="0.2">
      <c r="A9" s="9" t="s">
        <v>29</v>
      </c>
      <c r="B9" s="5">
        <f>' T = Tb'!B9</f>
        <v>0.21</v>
      </c>
      <c r="E9" s="4"/>
      <c r="F9" s="2">
        <f>' T = Tb'!F9</f>
        <v>101.325</v>
      </c>
      <c r="K9" s="4"/>
    </row>
    <row r="10" spans="1:14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4" x14ac:dyDescent="0.2">
      <c r="A11" s="10" t="s">
        <v>13</v>
      </c>
      <c r="K11" s="11"/>
    </row>
    <row r="12" spans="1:14" ht="18.75" x14ac:dyDescent="0.3">
      <c r="A12" s="13" t="s">
        <v>31</v>
      </c>
      <c r="B12" s="14">
        <f>27/64*(B10*B3)^2/B5</f>
        <v>1881.7339064250737</v>
      </c>
      <c r="C12" s="15"/>
      <c r="E12" s="16" t="s">
        <v>14</v>
      </c>
      <c r="H12" s="4" t="s">
        <v>32</v>
      </c>
      <c r="I12" s="192">
        <f>(2*B19)-B14-(B10*I1/I4)</f>
        <v>-1.3291804722272076</v>
      </c>
      <c r="J12" s="41">
        <f>-(B18+B15+B16)</f>
        <v>-1.3291804722272076</v>
      </c>
      <c r="K12" s="6"/>
    </row>
    <row r="13" spans="1:14" ht="18.75" x14ac:dyDescent="0.3">
      <c r="A13" s="13" t="s">
        <v>33</v>
      </c>
      <c r="B13" s="156">
        <v>1951.0201091392587</v>
      </c>
      <c r="C13" s="14">
        <f>' T = Tb'!P25</f>
        <v>1946.1553312687608</v>
      </c>
      <c r="D13" s="158"/>
      <c r="E13" s="193">
        <f>ABS(B10*I1*LN((B16-B14)/(B15-B14))+B13*(1/(B16+B19)-1/(B15+B19))-I4*(B16-B15))</f>
        <v>1.1486663424875587E-6</v>
      </c>
      <c r="F13" s="21">
        <f>E13+E15+E16</f>
        <v>3.8201404954918416E-6</v>
      </c>
      <c r="H13" s="4" t="s">
        <v>34</v>
      </c>
      <c r="I13" s="192">
        <f>(B19^2)-(2*B19*B14)-(2*B10*I1*B19/I4)+(B13/I4)</f>
        <v>0.52590681208128465</v>
      </c>
      <c r="J13" s="41">
        <f>B15*B16+B15*B18+B18*B16</f>
        <v>0.52590681208133916</v>
      </c>
      <c r="K13" s="6"/>
      <c r="L13" s="26">
        <f>B13/B12</f>
        <v>1.0368204040314155</v>
      </c>
    </row>
    <row r="14" spans="1:14" ht="18.75" x14ac:dyDescent="0.5">
      <c r="A14" s="147" t="s">
        <v>35</v>
      </c>
      <c r="B14" s="262">
        <f>B10*B3/8/B5</f>
        <v>0.11928554873417722</v>
      </c>
      <c r="C14" s="263" t="s">
        <v>23</v>
      </c>
      <c r="H14" s="4" t="s">
        <v>36</v>
      </c>
      <c r="I14" s="192">
        <f>(-B14*(B19^2))-(B10*I1*(B19^2)/I4)-(B13*B14/I4)</f>
        <v>-6.2733082662157866E-2</v>
      </c>
      <c r="J14" s="41">
        <f>-(B18*B15*B16)</f>
        <v>-6.273308266217259E-2</v>
      </c>
      <c r="K14" s="6"/>
      <c r="L14" s="26">
        <f>B15/B14</f>
        <v>1.9191990919567097</v>
      </c>
      <c r="N14" s="4"/>
    </row>
    <row r="15" spans="1:14" ht="19.5" x14ac:dyDescent="0.5">
      <c r="A15" s="135" t="s">
        <v>37</v>
      </c>
      <c r="B15" s="264">
        <v>0.22893271681419078</v>
      </c>
      <c r="C15" s="263" t="s">
        <v>23</v>
      </c>
      <c r="D15" s="24" t="s">
        <v>38</v>
      </c>
      <c r="E15" s="25">
        <f>100000000*ABS(B15^3+I12*B15^2+I13*B15+I14)</f>
        <v>2.248201624865942E-7</v>
      </c>
      <c r="K15" s="4"/>
      <c r="L15" s="26">
        <f>B16/B17</f>
        <v>0.5944939563817655</v>
      </c>
    </row>
    <row r="16" spans="1:14" ht="19.5" x14ac:dyDescent="0.5">
      <c r="A16" s="135" t="s">
        <v>39</v>
      </c>
      <c r="B16" s="264">
        <v>0.71927521987358511</v>
      </c>
      <c r="C16" s="263" t="s">
        <v>23</v>
      </c>
      <c r="D16" s="24" t="s">
        <v>95</v>
      </c>
      <c r="E16" s="25">
        <f>100000000*ABS(B16^3+I12*B16^2+I13*B16+I14)</f>
        <v>2.4466539905176887E-6</v>
      </c>
      <c r="L16" s="26"/>
    </row>
    <row r="17" spans="1:13" ht="19.5" x14ac:dyDescent="0.5">
      <c r="A17" s="139" t="s">
        <v>41</v>
      </c>
      <c r="B17" s="148">
        <f>B10*I1/I4</f>
        <v>1.2098949234930303</v>
      </c>
      <c r="C17" s="263" t="s">
        <v>23</v>
      </c>
      <c r="D17" s="24" t="s">
        <v>42</v>
      </c>
      <c r="E17" s="44">
        <f>1000000*ABS(B18^3+I12*B18^2+I13*B18+I14)</f>
        <v>6.0368376963992887E-9</v>
      </c>
      <c r="H17" s="12"/>
      <c r="I17" s="4"/>
      <c r="J17" s="17"/>
      <c r="L17" s="25"/>
    </row>
    <row r="18" spans="1:13" ht="19.5" x14ac:dyDescent="0.5">
      <c r="A18" s="135" t="s">
        <v>43</v>
      </c>
      <c r="B18" s="138">
        <f>-I12-B15-B16</f>
        <v>0.38097253553943167</v>
      </c>
      <c r="C18" s="263" t="s">
        <v>23</v>
      </c>
      <c r="D18" s="4"/>
      <c r="E18" s="29"/>
      <c r="H18" s="12"/>
      <c r="I18" s="4"/>
      <c r="J18" s="17"/>
      <c r="L18" s="25"/>
    </row>
    <row r="19" spans="1:13" x14ac:dyDescent="0.2">
      <c r="A19" s="149" t="s">
        <v>132</v>
      </c>
      <c r="B19" s="259">
        <v>0</v>
      </c>
      <c r="C19" s="258">
        <v>1.03</v>
      </c>
      <c r="D19" s="29"/>
      <c r="E19" s="31"/>
      <c r="F19" s="34"/>
      <c r="G19" s="31"/>
      <c r="H19" s="42"/>
      <c r="I19" s="31"/>
      <c r="J19" s="32"/>
      <c r="K19" s="34"/>
      <c r="L19" s="45"/>
      <c r="M19" s="34"/>
    </row>
    <row r="20" spans="1:13" ht="15.75" x14ac:dyDescent="0.25">
      <c r="A20" s="256" t="s">
        <v>44</v>
      </c>
      <c r="B20" s="256" t="s">
        <v>45</v>
      </c>
      <c r="C20" s="256"/>
      <c r="D20" s="21"/>
      <c r="E20" s="31"/>
      <c r="F20" s="34"/>
      <c r="G20" s="34"/>
      <c r="H20" s="34"/>
      <c r="I20" s="31"/>
      <c r="J20" s="32"/>
      <c r="K20" s="33"/>
      <c r="L20" s="34"/>
      <c r="M20" s="34"/>
    </row>
    <row r="21" spans="1:13" ht="15.75" x14ac:dyDescent="0.25">
      <c r="A21" s="257">
        <f>B14+0.00001</f>
        <v>0.11929554873417722</v>
      </c>
      <c r="B21">
        <f>($B$10*$I$1/(A21-$B$14)-$B$13/A21^2)/100</f>
        <v>4487122.6106732022</v>
      </c>
      <c r="C21"/>
      <c r="E21" s="31"/>
      <c r="F21" s="34"/>
      <c r="G21" s="34"/>
      <c r="H21" s="34"/>
      <c r="I21" s="34"/>
      <c r="J21" s="34"/>
      <c r="K21" s="34"/>
      <c r="L21" s="34"/>
      <c r="M21" s="34"/>
    </row>
    <row r="22" spans="1:13" ht="15.75" x14ac:dyDescent="0.25">
      <c r="A22" s="257">
        <f>A21*$C$19</f>
        <v>0.12287441519620254</v>
      </c>
      <c r="B22">
        <f t="shared" ref="B22:B85" si="0">($B$10*$I$1/(A22-$B$14)-$B$13/A22^2)/100</f>
        <v>11214.489464479198</v>
      </c>
      <c r="C22"/>
      <c r="E22" s="194"/>
      <c r="F22" s="34"/>
      <c r="G22" s="34"/>
      <c r="H22" s="34"/>
      <c r="I22" s="34"/>
      <c r="J22" s="34"/>
      <c r="K22" s="34"/>
      <c r="L22" s="34"/>
      <c r="M22" s="34"/>
    </row>
    <row r="23" spans="1:13" ht="15.75" x14ac:dyDescent="0.25">
      <c r="A23" s="257">
        <f t="shared" ref="A23:A86" si="1">A22*$C$19</f>
        <v>0.12656064765208863</v>
      </c>
      <c r="B23">
        <f t="shared" si="0"/>
        <v>4951.6187706603387</v>
      </c>
      <c r="C23"/>
      <c r="E23" s="34"/>
      <c r="F23" s="34"/>
      <c r="G23" s="34"/>
      <c r="H23" s="34"/>
      <c r="I23" s="34"/>
      <c r="J23" s="34"/>
      <c r="K23" s="34"/>
      <c r="L23" s="34"/>
      <c r="M23" s="34"/>
    </row>
    <row r="24" spans="1:13" ht="15.75" x14ac:dyDescent="0.25">
      <c r="A24" s="257">
        <f t="shared" si="1"/>
        <v>0.1303574670816513</v>
      </c>
      <c r="B24">
        <f t="shared" si="0"/>
        <v>2905.8168838577835</v>
      </c>
      <c r="C24"/>
      <c r="E24" s="34"/>
      <c r="F24" s="34"/>
      <c r="G24" s="34"/>
      <c r="H24" s="34"/>
      <c r="I24" s="34"/>
      <c r="J24" s="34"/>
      <c r="K24" s="34"/>
      <c r="L24" s="34"/>
      <c r="M24" s="34"/>
    </row>
    <row r="25" spans="1:13" ht="15.75" x14ac:dyDescent="0.25">
      <c r="A25" s="257">
        <f t="shared" si="1"/>
        <v>0.13426819109410085</v>
      </c>
      <c r="B25">
        <f t="shared" si="0"/>
        <v>1913.5758999913712</v>
      </c>
      <c r="C25"/>
      <c r="E25" s="34"/>
      <c r="F25" s="34"/>
      <c r="G25" s="34"/>
      <c r="H25" s="34"/>
      <c r="I25" s="34"/>
      <c r="J25" s="34"/>
      <c r="K25" s="32"/>
      <c r="L25" s="34"/>
      <c r="M25" s="34"/>
    </row>
    <row r="26" spans="1:13" ht="15.75" x14ac:dyDescent="0.25">
      <c r="A26" s="257">
        <f t="shared" si="1"/>
        <v>0.13829623682692388</v>
      </c>
      <c r="B26">
        <f t="shared" si="0"/>
        <v>1340.9409183186526</v>
      </c>
      <c r="C26"/>
      <c r="E26" s="34"/>
      <c r="F26" s="34"/>
      <c r="G26" s="34"/>
      <c r="H26" s="34"/>
      <c r="I26" s="34"/>
      <c r="J26" s="34"/>
      <c r="K26" s="32"/>
      <c r="L26" s="34"/>
      <c r="M26" s="34"/>
    </row>
    <row r="27" spans="1:13" ht="15.75" x14ac:dyDescent="0.25">
      <c r="A27" s="257">
        <f t="shared" si="1"/>
        <v>0.14244512393173159</v>
      </c>
      <c r="B27">
        <f t="shared" si="0"/>
        <v>976.53421753050134</v>
      </c>
      <c r="C27"/>
      <c r="E27" s="34"/>
      <c r="F27" s="34"/>
      <c r="G27" s="34"/>
      <c r="H27" s="34"/>
      <c r="I27" s="34"/>
      <c r="J27" s="32"/>
      <c r="K27" s="32"/>
      <c r="L27" s="34"/>
      <c r="M27" s="34"/>
    </row>
    <row r="28" spans="1:13" ht="15.75" x14ac:dyDescent="0.25">
      <c r="A28" s="257">
        <f t="shared" si="1"/>
        <v>0.14671847764968354</v>
      </c>
      <c r="B28">
        <f t="shared" si="0"/>
        <v>729.82796858503173</v>
      </c>
      <c r="C28"/>
      <c r="E28" s="34"/>
      <c r="F28" s="34"/>
      <c r="G28" s="34"/>
      <c r="H28" s="34"/>
      <c r="I28" s="34"/>
      <c r="J28" s="34"/>
      <c r="K28" s="34"/>
      <c r="L28" s="34"/>
      <c r="M28" s="34"/>
    </row>
    <row r="29" spans="1:13" ht="15.75" x14ac:dyDescent="0.25">
      <c r="A29" s="257">
        <f t="shared" si="1"/>
        <v>0.15112003197917406</v>
      </c>
      <c r="B29">
        <f t="shared" si="0"/>
        <v>555.63274510399674</v>
      </c>
      <c r="C29"/>
      <c r="D29"/>
      <c r="E29"/>
      <c r="F29"/>
      <c r="G29" s="34"/>
      <c r="H29" s="34"/>
      <c r="I29" s="34"/>
      <c r="J29" s="34"/>
      <c r="K29" s="34"/>
      <c r="L29" s="34"/>
      <c r="M29" s="34"/>
    </row>
    <row r="30" spans="1:13" ht="15.75" x14ac:dyDescent="0.25">
      <c r="A30" s="257">
        <f t="shared" si="1"/>
        <v>0.15565363293854928</v>
      </c>
      <c r="B30">
        <f t="shared" si="0"/>
        <v>428.9116046898684</v>
      </c>
      <c r="C30"/>
      <c r="D30"/>
      <c r="E30"/>
      <c r="F30"/>
      <c r="G30" s="34"/>
      <c r="H30" s="34"/>
      <c r="I30" s="34"/>
      <c r="J30" s="31"/>
      <c r="K30" s="35"/>
      <c r="L30" s="34"/>
      <c r="M30" s="34"/>
    </row>
    <row r="31" spans="1:13" ht="15.75" x14ac:dyDescent="0.25">
      <c r="A31" s="257">
        <f t="shared" si="1"/>
        <v>0.16032324192670577</v>
      </c>
      <c r="B31">
        <f t="shared" si="0"/>
        <v>334.70180294889548</v>
      </c>
      <c r="C31"/>
      <c r="D31"/>
      <c r="E31"/>
      <c r="F31"/>
      <c r="G31" s="34"/>
      <c r="H31" s="34"/>
      <c r="I31" s="34"/>
      <c r="J31" s="31"/>
      <c r="K31" s="35"/>
      <c r="L31" s="34"/>
      <c r="M31" s="34"/>
    </row>
    <row r="32" spans="1:13" ht="15.75" x14ac:dyDescent="0.25">
      <c r="A32" s="257">
        <f t="shared" si="1"/>
        <v>0.16513293918450694</v>
      </c>
      <c r="B32">
        <f t="shared" si="0"/>
        <v>263.5326477383789</v>
      </c>
      <c r="C32"/>
      <c r="D32"/>
      <c r="E32"/>
      <c r="F32"/>
      <c r="G32" s="34"/>
      <c r="H32" s="34"/>
      <c r="I32" s="34"/>
      <c r="J32" s="31"/>
      <c r="K32" s="36"/>
      <c r="L32" s="34"/>
      <c r="M32" s="34"/>
    </row>
    <row r="33" spans="1:13" ht="15.75" x14ac:dyDescent="0.25">
      <c r="A33" s="257">
        <f t="shared" si="1"/>
        <v>0.17008692736004216</v>
      </c>
      <c r="B33">
        <f t="shared" si="0"/>
        <v>209.13415017545455</v>
      </c>
      <c r="C33"/>
      <c r="D33"/>
      <c r="E33"/>
      <c r="F33"/>
      <c r="G33" s="34"/>
      <c r="H33" s="34"/>
      <c r="I33" s="34"/>
      <c r="J33" s="31"/>
      <c r="K33" s="35"/>
      <c r="L33" s="34"/>
      <c r="M33" s="34"/>
    </row>
    <row r="34" spans="1:13" ht="15.75" x14ac:dyDescent="0.25">
      <c r="A34" s="257">
        <f t="shared" si="1"/>
        <v>0.17518953518084343</v>
      </c>
      <c r="B34">
        <f t="shared" si="0"/>
        <v>167.2032189478312</v>
      </c>
      <c r="C34"/>
      <c r="D34"/>
      <c r="E34"/>
      <c r="F34"/>
      <c r="G34" s="34"/>
      <c r="H34" s="34"/>
      <c r="I34" s="34"/>
      <c r="J34" s="34"/>
      <c r="K34" s="34"/>
      <c r="L34" s="34"/>
      <c r="M34" s="34"/>
    </row>
    <row r="35" spans="1:13" ht="15.75" x14ac:dyDescent="0.25">
      <c r="A35" s="257">
        <f t="shared" si="1"/>
        <v>0.18044522123626874</v>
      </c>
      <c r="B35">
        <f t="shared" si="0"/>
        <v>134.69871901770188</v>
      </c>
      <c r="C35"/>
      <c r="D35"/>
      <c r="E35"/>
      <c r="F35"/>
      <c r="G35" s="34"/>
      <c r="H35" s="34"/>
      <c r="I35" s="34"/>
      <c r="J35" s="34"/>
      <c r="K35" s="34"/>
      <c r="L35" s="34"/>
      <c r="M35" s="34"/>
    </row>
    <row r="36" spans="1:13" ht="15.75" x14ac:dyDescent="0.25">
      <c r="A36" s="257">
        <f t="shared" si="1"/>
        <v>0.1858585778733568</v>
      </c>
      <c r="B36">
        <f t="shared" si="0"/>
        <v>109.41862548088022</v>
      </c>
      <c r="C36"/>
      <c r="D36"/>
      <c r="E36"/>
      <c r="F36"/>
      <c r="G36" s="34"/>
      <c r="H36" s="34"/>
      <c r="I36" s="34"/>
      <c r="J36" s="34"/>
      <c r="K36" s="34"/>
      <c r="L36" s="34"/>
      <c r="M36" s="34"/>
    </row>
    <row r="37" spans="1:13" ht="15.75" x14ac:dyDescent="0.25">
      <c r="A37" s="257">
        <f t="shared" si="1"/>
        <v>0.19143433520955752</v>
      </c>
      <c r="B37">
        <f t="shared" si="0"/>
        <v>89.735866872560365</v>
      </c>
      <c r="C37"/>
      <c r="D37"/>
      <c r="E37"/>
      <c r="F37"/>
      <c r="G37" s="34"/>
      <c r="H37" s="34"/>
      <c r="I37" s="34"/>
      <c r="J37" s="34"/>
      <c r="K37" s="34"/>
      <c r="L37" s="34"/>
      <c r="M37" s="34"/>
    </row>
    <row r="38" spans="1:13" ht="15.75" x14ac:dyDescent="0.25">
      <c r="A38" s="257">
        <f t="shared" si="1"/>
        <v>0.19717736526584426</v>
      </c>
      <c r="B38">
        <f t="shared" si="0"/>
        <v>74.427516482629215</v>
      </c>
      <c r="C38"/>
      <c r="D38"/>
      <c r="E38"/>
      <c r="F38"/>
      <c r="G38" s="34"/>
      <c r="H38" s="34"/>
      <c r="I38" s="34"/>
      <c r="J38" s="34"/>
      <c r="K38" s="34"/>
      <c r="L38" s="34"/>
      <c r="M38" s="34"/>
    </row>
    <row r="39" spans="1:13" ht="15.75" x14ac:dyDescent="0.25">
      <c r="A39" s="257">
        <f t="shared" si="1"/>
        <v>0.2030926862238196</v>
      </c>
      <c r="B39">
        <f t="shared" si="0"/>
        <v>62.561026910655713</v>
      </c>
      <c r="C39"/>
      <c r="D39"/>
      <c r="E39"/>
      <c r="F39"/>
      <c r="G39" s="34"/>
    </row>
    <row r="40" spans="1:13" ht="15.75" x14ac:dyDescent="0.25">
      <c r="A40" s="257">
        <f t="shared" si="1"/>
        <v>0.20918546681053418</v>
      </c>
      <c r="B40">
        <f t="shared" si="0"/>
        <v>53.416487562556647</v>
      </c>
      <c r="C40"/>
      <c r="E40" s="34"/>
      <c r="F40" s="34"/>
    </row>
    <row r="41" spans="1:13" ht="15.75" x14ac:dyDescent="0.25">
      <c r="A41" s="257">
        <f t="shared" si="1"/>
        <v>0.21546103081485021</v>
      </c>
      <c r="B41">
        <f t="shared" si="0"/>
        <v>46.432292192514872</v>
      </c>
      <c r="C41"/>
    </row>
    <row r="42" spans="1:13" ht="15.75" x14ac:dyDescent="0.25">
      <c r="A42" s="257">
        <f t="shared" si="1"/>
        <v>0.22192486173929574</v>
      </c>
      <c r="B42">
        <f t="shared" si="0"/>
        <v>41.166408280228062</v>
      </c>
      <c r="C42"/>
    </row>
    <row r="43" spans="1:13" ht="15.75" x14ac:dyDescent="0.25">
      <c r="A43" s="257">
        <f t="shared" si="1"/>
        <v>0.22858260759147461</v>
      </c>
      <c r="B43">
        <f t="shared" si="0"/>
        <v>37.268279393488193</v>
      </c>
      <c r="C43"/>
    </row>
    <row r="44" spans="1:13" ht="15.75" x14ac:dyDescent="0.25">
      <c r="A44" s="257">
        <f t="shared" si="1"/>
        <v>0.23544008581921885</v>
      </c>
      <c r="B44">
        <f t="shared" si="0"/>
        <v>34.458120105523193</v>
      </c>
      <c r="C44"/>
    </row>
    <row r="45" spans="1:13" ht="15.75" x14ac:dyDescent="0.25">
      <c r="A45" s="257">
        <f t="shared" si="1"/>
        <v>0.24250328839379542</v>
      </c>
      <c r="B45">
        <f t="shared" si="0"/>
        <v>32.511443354119471</v>
      </c>
      <c r="C45"/>
    </row>
    <row r="46" spans="1:13" ht="15.75" x14ac:dyDescent="0.25">
      <c r="A46" s="257">
        <f t="shared" si="1"/>
        <v>0.24977838704560928</v>
      </c>
      <c r="B46">
        <f t="shared" si="0"/>
        <v>31.247351557909788</v>
      </c>
      <c r="C46"/>
    </row>
    <row r="47" spans="1:13" ht="15.75" x14ac:dyDescent="0.25">
      <c r="A47" s="257">
        <f t="shared" si="1"/>
        <v>0.25727173865697756</v>
      </c>
      <c r="B47">
        <f t="shared" si="0"/>
        <v>30.519574902022249</v>
      </c>
      <c r="C47"/>
    </row>
    <row r="48" spans="1:13" ht="15.75" x14ac:dyDescent="0.25">
      <c r="A48" s="257">
        <f t="shared" si="1"/>
        <v>0.26498989081668689</v>
      </c>
      <c r="B48">
        <f t="shared" si="0"/>
        <v>30.209541603592697</v>
      </c>
      <c r="C48"/>
    </row>
    <row r="49" spans="1:3" ht="15.75" x14ac:dyDescent="0.25">
      <c r="A49" s="257">
        <f t="shared" si="1"/>
        <v>0.27293958754118752</v>
      </c>
      <c r="B49">
        <f t="shared" si="0"/>
        <v>30.220969483858717</v>
      </c>
      <c r="C49"/>
    </row>
    <row r="50" spans="1:3" ht="15.75" x14ac:dyDescent="0.25">
      <c r="A50" s="257">
        <f t="shared" si="1"/>
        <v>0.28112777516742316</v>
      </c>
      <c r="B50">
        <f t="shared" si="0"/>
        <v>30.475609212893868</v>
      </c>
      <c r="C50"/>
    </row>
    <row r="51" spans="1:3" ht="15.75" x14ac:dyDescent="0.25">
      <c r="A51" s="257">
        <f t="shared" si="1"/>
        <v>0.28956160842244588</v>
      </c>
      <c r="B51">
        <f t="shared" si="0"/>
        <v>30.909868313248481</v>
      </c>
      <c r="C51"/>
    </row>
    <row r="52" spans="1:3" ht="15.75" x14ac:dyDescent="0.25">
      <c r="A52" s="257">
        <f t="shared" si="1"/>
        <v>0.29824845667511929</v>
      </c>
      <c r="B52">
        <f t="shared" si="0"/>
        <v>31.472115060635225</v>
      </c>
      <c r="C52"/>
    </row>
    <row r="53" spans="1:3" ht="15.75" x14ac:dyDescent="0.25">
      <c r="A53" s="257">
        <f t="shared" si="1"/>
        <v>0.30719591037537286</v>
      </c>
      <c r="B53">
        <f t="shared" si="0"/>
        <v>32.120511762035129</v>
      </c>
      <c r="C53"/>
    </row>
    <row r="54" spans="1:3" ht="15.75" x14ac:dyDescent="0.25">
      <c r="A54" s="257">
        <f t="shared" si="1"/>
        <v>0.31641178768663403</v>
      </c>
      <c r="B54">
        <f t="shared" si="0"/>
        <v>32.821263496900173</v>
      </c>
      <c r="C54"/>
    </row>
    <row r="55" spans="1:3" ht="15.75" x14ac:dyDescent="0.25">
      <c r="A55" s="257">
        <f t="shared" si="1"/>
        <v>0.32590414131723305</v>
      </c>
      <c r="B55">
        <f t="shared" si="0"/>
        <v>33.547195315948848</v>
      </c>
      <c r="C55"/>
    </row>
    <row r="56" spans="1:3" ht="15.75" x14ac:dyDescent="0.25">
      <c r="A56" s="257">
        <f t="shared" si="1"/>
        <v>0.33568126555675004</v>
      </c>
      <c r="B56">
        <f t="shared" si="0"/>
        <v>34.276590875086953</v>
      </c>
      <c r="C56"/>
    </row>
    <row r="57" spans="1:3" ht="15.75" x14ac:dyDescent="0.25">
      <c r="A57" s="257">
        <f t="shared" si="1"/>
        <v>0.34575170352345252</v>
      </c>
      <c r="B57">
        <f t="shared" si="0"/>
        <v>34.992240463343094</v>
      </c>
      <c r="C57"/>
    </row>
    <row r="58" spans="1:3" ht="15.75" x14ac:dyDescent="0.25">
      <c r="A58" s="257">
        <f t="shared" si="1"/>
        <v>0.35612425462915609</v>
      </c>
      <c r="B58">
        <f t="shared" si="0"/>
        <v>35.680657715495144</v>
      </c>
      <c r="C58"/>
    </row>
    <row r="59" spans="1:3" ht="15.75" x14ac:dyDescent="0.25">
      <c r="A59" s="257">
        <f t="shared" si="1"/>
        <v>0.3668079822680308</v>
      </c>
      <c r="B59">
        <f t="shared" si="0"/>
        <v>36.331432942984577</v>
      </c>
      <c r="C59"/>
    </row>
    <row r="60" spans="1:3" ht="15.75" x14ac:dyDescent="0.25">
      <c r="A60" s="257">
        <f t="shared" si="1"/>
        <v>0.37781222173607171</v>
      </c>
      <c r="B60">
        <f t="shared" si="0"/>
        <v>36.936697660504272</v>
      </c>
      <c r="C60"/>
    </row>
    <row r="61" spans="1:3" ht="15.75" x14ac:dyDescent="0.25">
      <c r="A61" s="257">
        <f t="shared" si="1"/>
        <v>0.38914658838815386</v>
      </c>
      <c r="B61">
        <f t="shared" si="0"/>
        <v>37.490680030356145</v>
      </c>
      <c r="C61"/>
    </row>
    <row r="62" spans="1:3" ht="15.75" x14ac:dyDescent="0.25">
      <c r="A62" s="257">
        <f t="shared" si="1"/>
        <v>0.40082098603979849</v>
      </c>
      <c r="B62">
        <f t="shared" si="0"/>
        <v>37.989334958182226</v>
      </c>
      <c r="C62"/>
    </row>
    <row r="63" spans="1:3" ht="15.75" x14ac:dyDescent="0.25">
      <c r="A63" s="257">
        <f t="shared" si="1"/>
        <v>0.41284561562099248</v>
      </c>
      <c r="B63">
        <f t="shared" si="0"/>
        <v>38.430035722030716</v>
      </c>
      <c r="C63"/>
    </row>
    <row r="64" spans="1:3" ht="15.75" x14ac:dyDescent="0.25">
      <c r="A64" s="257">
        <f t="shared" si="1"/>
        <v>0.42523098408962229</v>
      </c>
      <c r="B64">
        <f t="shared" si="0"/>
        <v>38.8113165028659</v>
      </c>
      <c r="C64"/>
    </row>
    <row r="65" spans="1:3" ht="15.75" x14ac:dyDescent="0.25">
      <c r="A65" s="257">
        <f t="shared" si="1"/>
        <v>0.43798791361231099</v>
      </c>
      <c r="B65">
        <f t="shared" si="0"/>
        <v>39.132657159282573</v>
      </c>
      <c r="C65"/>
    </row>
    <row r="66" spans="1:3" ht="15.75" x14ac:dyDescent="0.25">
      <c r="A66" s="257">
        <f t="shared" si="1"/>
        <v>0.45112755102068031</v>
      </c>
      <c r="B66">
        <f t="shared" si="0"/>
        <v>39.394303166184272</v>
      </c>
      <c r="C66"/>
    </row>
    <row r="67" spans="1:3" ht="15.75" x14ac:dyDescent="0.25">
      <c r="A67" s="257">
        <f t="shared" si="1"/>
        <v>0.46466137755130071</v>
      </c>
      <c r="B67">
        <f t="shared" si="0"/>
        <v>39.59711490315545</v>
      </c>
      <c r="C67"/>
    </row>
    <row r="68" spans="1:3" ht="15.75" x14ac:dyDescent="0.25">
      <c r="A68" s="257">
        <f t="shared" si="1"/>
        <v>0.47860121887783974</v>
      </c>
      <c r="B68">
        <f t="shared" si="0"/>
        <v>39.742441499527416</v>
      </c>
      <c r="C68"/>
    </row>
    <row r="69" spans="1:3" ht="15.75" x14ac:dyDescent="0.25">
      <c r="A69" s="257">
        <f t="shared" si="1"/>
        <v>0.49295925544417496</v>
      </c>
      <c r="B69">
        <f t="shared" si="0"/>
        <v>39.832015270838255</v>
      </c>
      <c r="C69"/>
    </row>
    <row r="70" spans="1:3" ht="15.75" x14ac:dyDescent="0.25">
      <c r="A70" s="257">
        <f t="shared" si="1"/>
        <v>0.50774803310750027</v>
      </c>
      <c r="B70">
        <f t="shared" si="0"/>
        <v>39.867863455148544</v>
      </c>
      <c r="C70"/>
    </row>
    <row r="71" spans="1:3" ht="15.75" x14ac:dyDescent="0.25">
      <c r="A71" s="257">
        <f t="shared" si="1"/>
        <v>0.52298047410072535</v>
      </c>
      <c r="B71">
        <f t="shared" si="0"/>
        <v>39.852234508413133</v>
      </c>
      <c r="C71"/>
    </row>
    <row r="72" spans="1:3" ht="15.75" x14ac:dyDescent="0.25">
      <c r="A72" s="257">
        <f t="shared" si="1"/>
        <v>0.53866988832374707</v>
      </c>
      <c r="B72">
        <f t="shared" si="0"/>
        <v>39.787536670056042</v>
      </c>
      <c r="C72"/>
    </row>
    <row r="73" spans="1:3" ht="15.75" x14ac:dyDescent="0.25">
      <c r="A73" s="257">
        <f t="shared" si="1"/>
        <v>0.55482998497345948</v>
      </c>
      <c r="B73">
        <f t="shared" si="0"/>
        <v>39.676286882154137</v>
      </c>
      <c r="C73"/>
    </row>
    <row r="74" spans="1:3" ht="15.75" x14ac:dyDescent="0.25">
      <c r="A74" s="257">
        <f t="shared" si="1"/>
        <v>0.57147488452266326</v>
      </c>
      <c r="B74">
        <f t="shared" si="0"/>
        <v>39.521068453335744</v>
      </c>
      <c r="C74"/>
    </row>
    <row r="75" spans="1:3" ht="15.75" x14ac:dyDescent="0.25">
      <c r="A75" s="257">
        <f t="shared" si="1"/>
        <v>0.58861913105834318</v>
      </c>
      <c r="B75">
        <f t="shared" si="0"/>
        <v>39.32449611368542</v>
      </c>
      <c r="C75"/>
    </row>
    <row r="76" spans="1:3" ht="15.75" x14ac:dyDescent="0.25">
      <c r="A76" s="257">
        <f t="shared" si="1"/>
        <v>0.60627770499009348</v>
      </c>
      <c r="B76">
        <f t="shared" si="0"/>
        <v>39.089187319243358</v>
      </c>
      <c r="C76"/>
    </row>
    <row r="77" spans="1:3" ht="15.75" x14ac:dyDescent="0.25">
      <c r="A77" s="257">
        <f t="shared" si="1"/>
        <v>0.62446603613979634</v>
      </c>
      <c r="B77">
        <f t="shared" si="0"/>
        <v>38.817738841832025</v>
      </c>
      <c r="C77"/>
    </row>
    <row r="78" spans="1:3" ht="15.75" x14ac:dyDescent="0.25">
      <c r="A78" s="257">
        <f t="shared" si="1"/>
        <v>0.64320001722399023</v>
      </c>
      <c r="B78">
        <f t="shared" si="0"/>
        <v>38.51270782816453</v>
      </c>
      <c r="C78"/>
    </row>
    <row r="79" spans="1:3" ht="15.75" x14ac:dyDescent="0.25">
      <c r="A79" s="257">
        <f t="shared" si="1"/>
        <v>0.66249601774070999</v>
      </c>
      <c r="B79">
        <f t="shared" si="0"/>
        <v>38.176596636542499</v>
      </c>
      <c r="C79"/>
    </row>
    <row r="80" spans="1:3" ht="15.75" x14ac:dyDescent="0.25">
      <c r="A80" s="257">
        <f t="shared" si="1"/>
        <v>0.68237089827293129</v>
      </c>
      <c r="B80">
        <f t="shared" si="0"/>
        <v>37.811840864034387</v>
      </c>
      <c r="C80"/>
    </row>
    <row r="81" spans="1:3" ht="15.75" x14ac:dyDescent="0.25">
      <c r="A81" s="257">
        <f t="shared" si="1"/>
        <v>0.70284202522111927</v>
      </c>
      <c r="B81">
        <f t="shared" si="0"/>
        <v>37.420800065188466</v>
      </c>
      <c r="C81"/>
    </row>
    <row r="82" spans="1:3" ht="15.75" x14ac:dyDescent="0.25">
      <c r="A82" s="257">
        <f t="shared" si="1"/>
        <v>0.72392728597775291</v>
      </c>
      <c r="B82">
        <f t="shared" si="0"/>
        <v>37.005750737817678</v>
      </c>
      <c r="C82"/>
    </row>
    <row r="83" spans="1:3" ht="15.75" x14ac:dyDescent="0.25">
      <c r="A83" s="257">
        <f t="shared" si="1"/>
        <v>0.74564510455708555</v>
      </c>
      <c r="B83">
        <f t="shared" si="0"/>
        <v>36.568881214445923</v>
      </c>
      <c r="C83"/>
    </row>
    <row r="84" spans="1:3" ht="15.75" x14ac:dyDescent="0.25">
      <c r="A84" s="257">
        <f t="shared" si="1"/>
        <v>0.76801445769379817</v>
      </c>
      <c r="B84">
        <f t="shared" si="0"/>
        <v>36.112288151484549</v>
      </c>
      <c r="C84"/>
    </row>
    <row r="85" spans="1:3" ht="15.75" x14ac:dyDescent="0.25">
      <c r="A85" s="257">
        <f t="shared" si="1"/>
        <v>0.79105489142461216</v>
      </c>
      <c r="B85">
        <f t="shared" si="0"/>
        <v>35.637974353645482</v>
      </c>
      <c r="C85"/>
    </row>
    <row r="86" spans="1:3" ht="15.75" x14ac:dyDescent="0.25">
      <c r="A86" s="257">
        <f t="shared" si="1"/>
        <v>0.81478653816735058</v>
      </c>
      <c r="B86">
        <f>($B$10*$I$1/(A86-$B$14)-$B$13/A86^2)/100</f>
        <v>35.1478477097655</v>
      </c>
      <c r="C86"/>
    </row>
    <row r="87" spans="1:3" ht="15.75" x14ac:dyDescent="0.25">
      <c r="A87"/>
      <c r="B87"/>
      <c r="C87"/>
    </row>
    <row r="88" spans="1:3" ht="15.75" x14ac:dyDescent="0.25">
      <c r="A88"/>
      <c r="B88"/>
      <c r="C88"/>
    </row>
    <row r="94" spans="1:3" x14ac:dyDescent="0.2">
      <c r="A94" s="2">
        <f t="shared" ref="A94:A122" si="2">A93*1.05</f>
        <v>0</v>
      </c>
      <c r="B94" s="155" t="e">
        <f t="shared" ref="B94:B122" si="3">(($B$10*$I$1/(A94-$B$14))-($B$13/(A94+$B$19)^2))/100</f>
        <v>#DIV/0!</v>
      </c>
    </row>
    <row r="95" spans="1:3" x14ac:dyDescent="0.2">
      <c r="A95" s="2">
        <f t="shared" si="2"/>
        <v>0</v>
      </c>
      <c r="B95" s="155" t="e">
        <f t="shared" si="3"/>
        <v>#DIV/0!</v>
      </c>
    </row>
    <row r="96" spans="1:3" x14ac:dyDescent="0.2">
      <c r="A96" s="2">
        <f t="shared" si="2"/>
        <v>0</v>
      </c>
      <c r="B96" s="155" t="e">
        <f t="shared" si="3"/>
        <v>#DIV/0!</v>
      </c>
    </row>
    <row r="97" spans="1:2" x14ac:dyDescent="0.2">
      <c r="A97" s="2">
        <f t="shared" si="2"/>
        <v>0</v>
      </c>
      <c r="B97" s="155" t="e">
        <f t="shared" si="3"/>
        <v>#DIV/0!</v>
      </c>
    </row>
    <row r="98" spans="1:2" x14ac:dyDescent="0.2">
      <c r="A98" s="2">
        <f t="shared" si="2"/>
        <v>0</v>
      </c>
      <c r="B98" s="155" t="e">
        <f t="shared" si="3"/>
        <v>#DIV/0!</v>
      </c>
    </row>
    <row r="99" spans="1:2" x14ac:dyDescent="0.2">
      <c r="A99" s="2">
        <f t="shared" si="2"/>
        <v>0</v>
      </c>
      <c r="B99" s="155" t="e">
        <f t="shared" si="3"/>
        <v>#DIV/0!</v>
      </c>
    </row>
    <row r="100" spans="1:2" x14ac:dyDescent="0.2">
      <c r="A100" s="2">
        <f t="shared" si="2"/>
        <v>0</v>
      </c>
      <c r="B100" s="155" t="e">
        <f t="shared" si="3"/>
        <v>#DIV/0!</v>
      </c>
    </row>
    <row r="101" spans="1:2" x14ac:dyDescent="0.2">
      <c r="A101" s="2">
        <f t="shared" si="2"/>
        <v>0</v>
      </c>
      <c r="B101" s="155" t="e">
        <f t="shared" si="3"/>
        <v>#DIV/0!</v>
      </c>
    </row>
    <row r="102" spans="1:2" x14ac:dyDescent="0.2">
      <c r="A102" s="2">
        <f t="shared" si="2"/>
        <v>0</v>
      </c>
      <c r="B102" s="155" t="e">
        <f t="shared" si="3"/>
        <v>#DIV/0!</v>
      </c>
    </row>
    <row r="103" spans="1:2" x14ac:dyDescent="0.2">
      <c r="A103" s="2">
        <f t="shared" si="2"/>
        <v>0</v>
      </c>
      <c r="B103" s="155" t="e">
        <f t="shared" si="3"/>
        <v>#DIV/0!</v>
      </c>
    </row>
    <row r="104" spans="1:2" x14ac:dyDescent="0.2">
      <c r="A104" s="2">
        <f t="shared" si="2"/>
        <v>0</v>
      </c>
      <c r="B104" s="155" t="e">
        <f t="shared" si="3"/>
        <v>#DIV/0!</v>
      </c>
    </row>
    <row r="105" spans="1:2" x14ac:dyDescent="0.2">
      <c r="A105" s="2">
        <f t="shared" si="2"/>
        <v>0</v>
      </c>
      <c r="B105" s="155" t="e">
        <f t="shared" si="3"/>
        <v>#DIV/0!</v>
      </c>
    </row>
    <row r="106" spans="1:2" x14ac:dyDescent="0.2">
      <c r="A106" s="2">
        <f t="shared" si="2"/>
        <v>0</v>
      </c>
      <c r="B106" s="155" t="e">
        <f t="shared" si="3"/>
        <v>#DIV/0!</v>
      </c>
    </row>
    <row r="107" spans="1:2" x14ac:dyDescent="0.2">
      <c r="A107" s="2">
        <f t="shared" si="2"/>
        <v>0</v>
      </c>
      <c r="B107" s="155" t="e">
        <f t="shared" si="3"/>
        <v>#DIV/0!</v>
      </c>
    </row>
    <row r="108" spans="1:2" x14ac:dyDescent="0.2">
      <c r="A108" s="2">
        <f t="shared" si="2"/>
        <v>0</v>
      </c>
      <c r="B108" s="155" t="e">
        <f t="shared" si="3"/>
        <v>#DIV/0!</v>
      </c>
    </row>
    <row r="109" spans="1:2" x14ac:dyDescent="0.2">
      <c r="A109" s="2">
        <f t="shared" si="2"/>
        <v>0</v>
      </c>
      <c r="B109" s="155" t="e">
        <f t="shared" si="3"/>
        <v>#DIV/0!</v>
      </c>
    </row>
    <row r="110" spans="1:2" x14ac:dyDescent="0.2">
      <c r="A110" s="2">
        <f t="shared" si="2"/>
        <v>0</v>
      </c>
      <c r="B110" s="155" t="e">
        <f t="shared" si="3"/>
        <v>#DIV/0!</v>
      </c>
    </row>
    <row r="111" spans="1:2" x14ac:dyDescent="0.2">
      <c r="A111" s="2">
        <f t="shared" si="2"/>
        <v>0</v>
      </c>
      <c r="B111" s="155" t="e">
        <f t="shared" si="3"/>
        <v>#DIV/0!</v>
      </c>
    </row>
    <row r="112" spans="1:2" x14ac:dyDescent="0.2">
      <c r="A112" s="2">
        <f t="shared" si="2"/>
        <v>0</v>
      </c>
      <c r="B112" s="155" t="e">
        <f t="shared" si="3"/>
        <v>#DIV/0!</v>
      </c>
    </row>
    <row r="113" spans="1:2" x14ac:dyDescent="0.2">
      <c r="A113" s="2">
        <f t="shared" si="2"/>
        <v>0</v>
      </c>
      <c r="B113" s="155" t="e">
        <f t="shared" si="3"/>
        <v>#DIV/0!</v>
      </c>
    </row>
    <row r="114" spans="1:2" x14ac:dyDescent="0.2">
      <c r="A114" s="2">
        <f t="shared" si="2"/>
        <v>0</v>
      </c>
      <c r="B114" s="155" t="e">
        <f t="shared" si="3"/>
        <v>#DIV/0!</v>
      </c>
    </row>
    <row r="115" spans="1:2" x14ac:dyDescent="0.2">
      <c r="A115" s="2">
        <f t="shared" si="2"/>
        <v>0</v>
      </c>
      <c r="B115" s="155" t="e">
        <f t="shared" si="3"/>
        <v>#DIV/0!</v>
      </c>
    </row>
    <row r="116" spans="1:2" x14ac:dyDescent="0.2">
      <c r="A116" s="2">
        <f t="shared" si="2"/>
        <v>0</v>
      </c>
      <c r="B116" s="155" t="e">
        <f t="shared" si="3"/>
        <v>#DIV/0!</v>
      </c>
    </row>
    <row r="117" spans="1:2" x14ac:dyDescent="0.2">
      <c r="A117" s="2">
        <f t="shared" si="2"/>
        <v>0</v>
      </c>
      <c r="B117" s="155" t="e">
        <f t="shared" si="3"/>
        <v>#DIV/0!</v>
      </c>
    </row>
    <row r="118" spans="1:2" x14ac:dyDescent="0.2">
      <c r="A118" s="2">
        <f t="shared" si="2"/>
        <v>0</v>
      </c>
      <c r="B118" s="155" t="e">
        <f t="shared" si="3"/>
        <v>#DIV/0!</v>
      </c>
    </row>
    <row r="119" spans="1:2" x14ac:dyDescent="0.2">
      <c r="A119" s="2">
        <f t="shared" si="2"/>
        <v>0</v>
      </c>
      <c r="B119" s="155" t="e">
        <f t="shared" si="3"/>
        <v>#DIV/0!</v>
      </c>
    </row>
    <row r="120" spans="1:2" x14ac:dyDescent="0.2">
      <c r="A120" s="2">
        <f t="shared" si="2"/>
        <v>0</v>
      </c>
      <c r="B120" s="155" t="e">
        <f t="shared" si="3"/>
        <v>#DIV/0!</v>
      </c>
    </row>
    <row r="121" spans="1:2" x14ac:dyDescent="0.2">
      <c r="A121" s="2">
        <f t="shared" si="2"/>
        <v>0</v>
      </c>
      <c r="B121" s="155" t="e">
        <f t="shared" si="3"/>
        <v>#DIV/0!</v>
      </c>
    </row>
    <row r="122" spans="1:2" x14ac:dyDescent="0.2">
      <c r="A122" s="2">
        <f t="shared" si="2"/>
        <v>0</v>
      </c>
      <c r="B122" s="155" t="e">
        <f t="shared" si="3"/>
        <v>#DIV/0!</v>
      </c>
    </row>
  </sheetData>
  <phoneticPr fontId="3" type="noConversion"/>
  <pageMargins left="0.75" right="0.75" top="1" bottom="1" header="0.5" footer="0.5"/>
  <headerFooter alignWithMargins="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N103"/>
  <sheetViews>
    <sheetView workbookViewId="0">
      <selection activeCell="C12" sqref="C12"/>
    </sheetView>
  </sheetViews>
  <sheetFormatPr defaultColWidth="8" defaultRowHeight="12.75" x14ac:dyDescent="0.2"/>
  <cols>
    <col min="1" max="1" width="8" style="2"/>
    <col min="2" max="2" width="9" style="2" customWidth="1"/>
    <col min="3" max="3" width="10.625" style="2" bestFit="1" customWidth="1"/>
    <col min="4" max="4" width="8" style="2"/>
    <col min="5" max="5" width="11.25" style="2" customWidth="1"/>
    <col min="6" max="16384" width="8" style="2"/>
  </cols>
  <sheetData>
    <row r="1" spans="1:14" ht="18" x14ac:dyDescent="0.25">
      <c r="A1" s="1" t="str">
        <f>' T = Tb'!A1</f>
        <v>Benzene</v>
      </c>
      <c r="E1" s="2" t="s">
        <v>0</v>
      </c>
      <c r="F1" s="2">
        <v>1</v>
      </c>
      <c r="H1" s="3" t="s">
        <v>1</v>
      </c>
      <c r="I1" s="2">
        <f>' T = Tb'!O26</f>
        <v>559.92786115739307</v>
      </c>
      <c r="J1" s="2" t="s">
        <v>2</v>
      </c>
    </row>
    <row r="2" spans="1:14" ht="15.75" x14ac:dyDescent="0.3">
      <c r="A2" s="4" t="s">
        <v>15</v>
      </c>
      <c r="B2" s="5">
        <f>' T = Tb'!B2</f>
        <v>78.114000000000004</v>
      </c>
      <c r="C2" s="2" t="s">
        <v>3</v>
      </c>
      <c r="E2" s="4" t="s">
        <v>4</v>
      </c>
      <c r="F2" s="2">
        <f>' T = Tb'!F2</f>
        <v>-7.0143300000000002</v>
      </c>
      <c r="H2" s="3" t="s">
        <v>16</v>
      </c>
      <c r="I2" s="2">
        <f>1-I1/B3</f>
        <v>3.9706468667406458E-3</v>
      </c>
      <c r="M2" s="4"/>
    </row>
    <row r="3" spans="1:14" ht="15.75" x14ac:dyDescent="0.3">
      <c r="A3" s="4" t="s">
        <v>17</v>
      </c>
      <c r="B3" s="5">
        <f>' T = Tb'!B3</f>
        <v>562.16</v>
      </c>
      <c r="C3" s="2" t="s">
        <v>2</v>
      </c>
      <c r="E3" s="4" t="s">
        <v>5</v>
      </c>
      <c r="F3" s="2">
        <f>' T = Tb'!F3</f>
        <v>1.5525599999999999</v>
      </c>
      <c r="H3" s="3" t="s">
        <v>6</v>
      </c>
      <c r="I3" s="144">
        <f>(B4*EXP((F2*I2+F3*I2^1.5+F4*I2^2.5+F5*I2^5)/(1-I2)))</f>
        <v>47.647861753356409</v>
      </c>
      <c r="J3" s="2" t="s">
        <v>7</v>
      </c>
      <c r="M3" s="4"/>
    </row>
    <row r="4" spans="1:14" ht="15.75" x14ac:dyDescent="0.3">
      <c r="A4" s="4" t="s">
        <v>18</v>
      </c>
      <c r="B4" s="5">
        <f>' T = Tb'!B4</f>
        <v>48.98</v>
      </c>
      <c r="C4" s="2" t="s">
        <v>7</v>
      </c>
      <c r="E4" s="4" t="s">
        <v>8</v>
      </c>
      <c r="F4" s="2">
        <f>' T = Tb'!F4</f>
        <v>-1.8479000000000001</v>
      </c>
      <c r="H4" s="3" t="s">
        <v>6</v>
      </c>
      <c r="I4" s="2">
        <f>I3*100</f>
        <v>4764.786175335641</v>
      </c>
      <c r="J4" s="2" t="s">
        <v>9</v>
      </c>
      <c r="M4" s="4"/>
      <c r="N4" s="6"/>
    </row>
    <row r="5" spans="1:14" ht="15.75" x14ac:dyDescent="0.3">
      <c r="A5" s="4" t="s">
        <v>18</v>
      </c>
      <c r="B5" s="5">
        <f>' T = Tb'!B5</f>
        <v>4898</v>
      </c>
      <c r="C5" s="2" t="s">
        <v>9</v>
      </c>
      <c r="E5" s="4" t="s">
        <v>10</v>
      </c>
      <c r="F5" s="2">
        <f>' T = Tb'!F5</f>
        <v>-3.7130000000000001</v>
      </c>
      <c r="H5" s="4"/>
      <c r="M5" s="4"/>
      <c r="N5" s="6"/>
    </row>
    <row r="6" spans="1:14" ht="15.75" x14ac:dyDescent="0.3">
      <c r="A6" s="4" t="s">
        <v>19</v>
      </c>
      <c r="B6" s="5">
        <f>' T = Tb'!B6</f>
        <v>256</v>
      </c>
      <c r="C6" s="2" t="s">
        <v>20</v>
      </c>
      <c r="E6" s="4" t="s">
        <v>21</v>
      </c>
      <c r="F6" s="2">
        <f>' T = Tb'!F6</f>
        <v>250</v>
      </c>
      <c r="G6" s="7">
        <f>F6/B3</f>
        <v>0.44471324889711117</v>
      </c>
      <c r="H6" s="2" t="s">
        <v>22</v>
      </c>
      <c r="I6" s="2">
        <v>2.5712194055283128E-3</v>
      </c>
    </row>
    <row r="7" spans="1:14" ht="15.75" x14ac:dyDescent="0.3">
      <c r="A7" s="4" t="s">
        <v>19</v>
      </c>
      <c r="B7" s="5">
        <f>' T = Tb'!B7</f>
        <v>0.25600000000000001</v>
      </c>
      <c r="C7" s="8" t="s">
        <v>23</v>
      </c>
      <c r="E7" s="4" t="s">
        <v>24</v>
      </c>
      <c r="F7" s="2">
        <f>' T = Tb'!F7</f>
        <v>562.16</v>
      </c>
      <c r="G7" s="7">
        <f>F7/B3</f>
        <v>1</v>
      </c>
      <c r="H7" s="2" t="s">
        <v>25</v>
      </c>
      <c r="I7" s="2">
        <f>I6/I3</f>
        <v>5.396295470377936E-5</v>
      </c>
    </row>
    <row r="8" spans="1:14" ht="15.75" x14ac:dyDescent="0.3">
      <c r="A8" s="4" t="s">
        <v>26</v>
      </c>
      <c r="B8" s="5">
        <f>' T = Tb'!B8</f>
        <v>0.26800000000000002</v>
      </c>
      <c r="E8" s="4" t="s">
        <v>27</v>
      </c>
      <c r="F8" s="18">
        <f>' T = Tb'!F8</f>
        <v>353.24</v>
      </c>
      <c r="G8" s="7">
        <f>F8/B3</f>
        <v>0.6283620321616622</v>
      </c>
      <c r="H8" s="2" t="s">
        <v>28</v>
      </c>
    </row>
    <row r="9" spans="1:14" x14ac:dyDescent="0.2">
      <c r="A9" s="9" t="s">
        <v>29</v>
      </c>
      <c r="B9" s="5">
        <f>' T = Tb'!B9</f>
        <v>0.21</v>
      </c>
      <c r="E9" s="4"/>
      <c r="F9" s="2">
        <f>' T = Tb'!F9</f>
        <v>101.325</v>
      </c>
      <c r="K9" s="4"/>
    </row>
    <row r="10" spans="1:14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4" x14ac:dyDescent="0.2">
      <c r="A11" s="10" t="s">
        <v>13</v>
      </c>
      <c r="K11" s="11"/>
    </row>
    <row r="12" spans="1:14" ht="18.75" x14ac:dyDescent="0.3">
      <c r="A12" s="13" t="s">
        <v>31</v>
      </c>
      <c r="B12" s="14">
        <f>27/64*(B10*B3)^2/B5</f>
        <v>1881.7339064250737</v>
      </c>
      <c r="C12" s="15">
        <f>3*B14</f>
        <v>0.35785664620253166</v>
      </c>
      <c r="E12" s="16" t="s">
        <v>14</v>
      </c>
      <c r="H12" s="4" t="s">
        <v>32</v>
      </c>
      <c r="I12" s="192">
        <f>(2*B19)-B14-(B10*I1/I4)</f>
        <v>-1.0963547454529181</v>
      </c>
      <c r="J12" s="41">
        <f>-(B18+B15+B16)</f>
        <v>-1.0963547454529181</v>
      </c>
      <c r="K12" s="6"/>
    </row>
    <row r="13" spans="1:14" ht="18.75" x14ac:dyDescent="0.3">
      <c r="A13" s="13" t="s">
        <v>33</v>
      </c>
      <c r="B13" s="269">
        <v>1889.0152580053814</v>
      </c>
      <c r="C13" s="14">
        <f>' T = Tb'!P27</f>
        <v>1881.7339064250737</v>
      </c>
      <c r="E13" s="193">
        <f>ABS(B10*I1*LN((B16-B14)/(B15-B14))+B13*(1/(B16+B19)-1/(B15+B19))-I4*(B16-B15))</f>
        <v>2.3446817749572801E-6</v>
      </c>
      <c r="F13" s="21">
        <f>E13+E15+E16</f>
        <v>2.4669867189075489E-6</v>
      </c>
      <c r="H13" s="4" t="s">
        <v>34</v>
      </c>
      <c r="I13" s="192">
        <f>(B19^2)-(2*B19*B14)-(2*B10*I1*B19/I4)+(B13/I4)</f>
        <v>0.39645331154284491</v>
      </c>
      <c r="J13" s="41">
        <f>B15*B16+B15*B18+B18*B16</f>
        <v>0.39645331154378971</v>
      </c>
      <c r="K13" s="6"/>
      <c r="L13" s="26">
        <f>B13/B12</f>
        <v>1.0038694905562608</v>
      </c>
    </row>
    <row r="14" spans="1:14" ht="18.75" x14ac:dyDescent="0.5">
      <c r="A14" s="147" t="s">
        <v>35</v>
      </c>
      <c r="B14" s="262">
        <f>B10*B3/8/B5</f>
        <v>0.11928554873417722</v>
      </c>
      <c r="C14" s="263" t="s">
        <v>23</v>
      </c>
      <c r="H14" s="4" t="s">
        <v>36</v>
      </c>
      <c r="I14" s="192">
        <f>(-B14*(B19^2))-(B10*I1*(B19^2)/I4)-(B13*B14/I4)</f>
        <v>-4.7291150814869967E-2</v>
      </c>
      <c r="J14" s="41">
        <f>-(B18*B15*B16)</f>
        <v>-4.7291150815190246E-2</v>
      </c>
      <c r="K14" s="6"/>
      <c r="L14" s="26">
        <f>B15/B14</f>
        <v>2.5434051253840502</v>
      </c>
      <c r="N14" s="4"/>
    </row>
    <row r="15" spans="1:14" ht="19.5" x14ac:dyDescent="0.5">
      <c r="A15" s="135" t="s">
        <v>37</v>
      </c>
      <c r="B15" s="264">
        <v>0.30339147603475525</v>
      </c>
      <c r="C15" s="263" t="s">
        <v>23</v>
      </c>
      <c r="D15" s="24" t="s">
        <v>38</v>
      </c>
      <c r="E15" s="25">
        <f>1000000*ABS(B15^3+I12*B15^2+I13*B15+I14)</f>
        <v>3.3625879858334429E-8</v>
      </c>
      <c r="K15" s="4"/>
      <c r="L15" s="26">
        <f>B16/B17</f>
        <v>0.44300873694063647</v>
      </c>
    </row>
    <row r="16" spans="1:14" ht="19.5" x14ac:dyDescent="0.5">
      <c r="A16" s="135" t="s">
        <v>39</v>
      </c>
      <c r="B16" s="264">
        <v>0.43285019074197167</v>
      </c>
      <c r="C16" s="263" t="s">
        <v>23</v>
      </c>
      <c r="D16" s="24" t="s">
        <v>95</v>
      </c>
      <c r="E16" s="25">
        <f>1000000*ABS(B16^3+I12*B16^2+I13*B16+I14)</f>
        <v>8.8679064091934379E-8</v>
      </c>
      <c r="L16" s="26"/>
    </row>
    <row r="17" spans="1:13" ht="19.5" x14ac:dyDescent="0.5">
      <c r="A17" s="139" t="s">
        <v>41</v>
      </c>
      <c r="B17" s="266">
        <f>B10*I1/I4</f>
        <v>0.97706919671874093</v>
      </c>
      <c r="C17" s="263" t="s">
        <v>23</v>
      </c>
      <c r="D17" s="24" t="s">
        <v>42</v>
      </c>
      <c r="E17" s="44">
        <f>1000000*ABS(B18^3+I12*B18^2+I13*B18+I14)</f>
        <v>1.9942381079829374E-8</v>
      </c>
      <c r="H17" s="12"/>
      <c r="I17" s="4"/>
      <c r="J17" s="17"/>
      <c r="L17" s="25"/>
    </row>
    <row r="18" spans="1:13" ht="19.5" x14ac:dyDescent="0.5">
      <c r="A18" s="135" t="s">
        <v>43</v>
      </c>
      <c r="B18" s="138">
        <f>-I12-B15-B16</f>
        <v>0.36011307867619119</v>
      </c>
      <c r="C18" s="263" t="s">
        <v>23</v>
      </c>
      <c r="D18" s="4"/>
      <c r="E18" s="29"/>
      <c r="H18" s="12"/>
      <c r="I18" s="4"/>
      <c r="J18" s="17"/>
      <c r="L18" s="25"/>
    </row>
    <row r="19" spans="1:13" x14ac:dyDescent="0.2">
      <c r="A19" s="149" t="s">
        <v>132</v>
      </c>
      <c r="B19" s="259">
        <v>0</v>
      </c>
      <c r="C19" s="258">
        <v>1.012</v>
      </c>
      <c r="D19" s="29"/>
      <c r="E19" s="31"/>
      <c r="F19" s="34"/>
      <c r="G19" s="31"/>
      <c r="H19" s="42"/>
      <c r="I19" s="31"/>
      <c r="J19" s="32"/>
      <c r="K19" s="34"/>
      <c r="L19" s="45"/>
      <c r="M19" s="34"/>
    </row>
    <row r="20" spans="1:13" ht="15.75" x14ac:dyDescent="0.25">
      <c r="A20" s="256" t="s">
        <v>44</v>
      </c>
      <c r="B20" s="256" t="s">
        <v>45</v>
      </c>
      <c r="C20" s="256"/>
      <c r="D20" s="21"/>
      <c r="E20" s="31"/>
      <c r="F20" s="34"/>
      <c r="G20" s="34"/>
      <c r="H20" s="34"/>
      <c r="I20" s="31"/>
      <c r="J20" s="32"/>
      <c r="K20" s="33"/>
      <c r="L20" s="34"/>
      <c r="M20" s="34"/>
    </row>
    <row r="21" spans="1:13" ht="15.75" x14ac:dyDescent="0.25">
      <c r="A21" s="257">
        <v>0.22</v>
      </c>
      <c r="B21">
        <f>($B$10*$I$1/(A21-$B$14)-$B$13/A21^2)/100</f>
        <v>71.957620225604188</v>
      </c>
      <c r="C21"/>
      <c r="E21" s="31"/>
      <c r="F21" s="34"/>
      <c r="G21" s="34"/>
      <c r="H21" s="34"/>
      <c r="I21" s="34"/>
      <c r="J21" s="34"/>
      <c r="K21" s="34"/>
      <c r="L21" s="34"/>
      <c r="M21" s="34"/>
    </row>
    <row r="22" spans="1:13" ht="15.75" x14ac:dyDescent="0.25">
      <c r="A22" s="257">
        <f>A21*$C$19</f>
        <v>0.22264</v>
      </c>
      <c r="B22">
        <f t="shared" ref="B22:B85" si="0">($B$10*$I$1/(A22-$B$14)-$B$13/A22^2)/100</f>
        <v>69.351359879252854</v>
      </c>
      <c r="C22"/>
      <c r="E22" s="194"/>
      <c r="F22" s="34"/>
      <c r="G22" s="34"/>
      <c r="H22" s="34"/>
      <c r="I22" s="34"/>
      <c r="J22" s="34"/>
      <c r="K22" s="34"/>
      <c r="L22" s="34"/>
      <c r="M22" s="34"/>
    </row>
    <row r="23" spans="1:13" ht="15.75" x14ac:dyDescent="0.25">
      <c r="A23" s="257">
        <f t="shared" ref="A23:A86" si="1">A22*$C$19</f>
        <v>0.22531168000000001</v>
      </c>
      <c r="B23">
        <f t="shared" si="0"/>
        <v>66.985118072439946</v>
      </c>
      <c r="C23"/>
      <c r="E23" s="34"/>
      <c r="F23" s="34"/>
      <c r="G23" s="34"/>
      <c r="H23" s="34"/>
      <c r="I23" s="34"/>
      <c r="J23" s="34"/>
      <c r="K23" s="34"/>
      <c r="L23" s="34"/>
      <c r="M23" s="34"/>
    </row>
    <row r="24" spans="1:13" ht="15.75" x14ac:dyDescent="0.25">
      <c r="A24" s="257">
        <f t="shared" si="1"/>
        <v>0.22801542016000001</v>
      </c>
      <c r="B24">
        <f t="shared" si="0"/>
        <v>64.838749841771715</v>
      </c>
      <c r="C24"/>
      <c r="E24" s="34"/>
      <c r="F24" s="34"/>
      <c r="G24" s="34"/>
      <c r="H24" s="34"/>
      <c r="I24" s="34"/>
      <c r="J24" s="34"/>
      <c r="K24" s="34"/>
      <c r="L24" s="34"/>
      <c r="M24" s="34"/>
    </row>
    <row r="25" spans="1:13" ht="15.75" x14ac:dyDescent="0.25">
      <c r="A25" s="257">
        <f t="shared" si="1"/>
        <v>0.23075160520192001</v>
      </c>
      <c r="B25">
        <f t="shared" si="0"/>
        <v>62.893815877601668</v>
      </c>
      <c r="C25"/>
      <c r="E25" s="34"/>
      <c r="F25" s="34"/>
      <c r="G25" s="34"/>
      <c r="H25" s="34"/>
      <c r="I25" s="34"/>
      <c r="J25" s="34"/>
      <c r="K25" s="32"/>
      <c r="L25" s="34"/>
      <c r="M25" s="34"/>
    </row>
    <row r="26" spans="1:13" ht="15.75" x14ac:dyDescent="0.25">
      <c r="A26" s="257">
        <f t="shared" si="1"/>
        <v>0.23352062446434305</v>
      </c>
      <c r="B26">
        <f t="shared" si="0"/>
        <v>61.133423224027794</v>
      </c>
      <c r="C26"/>
      <c r="E26" s="34"/>
      <c r="F26" s="34"/>
      <c r="G26" s="34"/>
      <c r="H26" s="34"/>
      <c r="I26" s="34"/>
      <c r="J26" s="34"/>
      <c r="K26" s="32"/>
      <c r="L26" s="34"/>
      <c r="M26" s="34"/>
    </row>
    <row r="27" spans="1:13" ht="15.75" x14ac:dyDescent="0.25">
      <c r="A27" s="257">
        <f t="shared" si="1"/>
        <v>0.23632287195791515</v>
      </c>
      <c r="B27">
        <f t="shared" si="0"/>
        <v>59.542082885880589</v>
      </c>
      <c r="C27"/>
      <c r="E27" s="34"/>
      <c r="F27" s="34"/>
      <c r="G27" s="34"/>
      <c r="H27" s="34"/>
      <c r="I27" s="34"/>
      <c r="J27" s="32"/>
      <c r="K27" s="32"/>
      <c r="L27" s="34"/>
      <c r="M27" s="34"/>
    </row>
    <row r="28" spans="1:13" ht="15.75" x14ac:dyDescent="0.25">
      <c r="A28" s="257">
        <f t="shared" si="1"/>
        <v>0.23915874642141013</v>
      </c>
      <c r="B28">
        <f t="shared" si="0"/>
        <v>58.105582306738434</v>
      </c>
      <c r="C28"/>
      <c r="E28" s="34"/>
      <c r="F28" s="34"/>
      <c r="G28" s="34"/>
      <c r="H28" s="34"/>
      <c r="I28" s="34"/>
      <c r="J28" s="34"/>
      <c r="K28" s="34"/>
      <c r="L28" s="34"/>
      <c r="M28" s="34"/>
    </row>
    <row r="29" spans="1:13" ht="15.75" x14ac:dyDescent="0.25">
      <c r="A29" s="257">
        <f t="shared" si="1"/>
        <v>0.24202865137846705</v>
      </c>
      <c r="B29">
        <f t="shared" si="0"/>
        <v>56.810870956784967</v>
      </c>
      <c r="C29"/>
      <c r="D29"/>
      <c r="E29"/>
      <c r="F29"/>
      <c r="G29" s="34"/>
      <c r="H29" s="34"/>
      <c r="I29" s="34"/>
      <c r="J29" s="34"/>
      <c r="K29" s="34"/>
      <c r="L29" s="34"/>
      <c r="M29" s="34"/>
    </row>
    <row r="30" spans="1:13" ht="15.75" x14ac:dyDescent="0.25">
      <c r="A30" s="257">
        <f t="shared" si="1"/>
        <v>0.24493299519500866</v>
      </c>
      <c r="B30">
        <f t="shared" si="0"/>
        <v>55.64595750309207</v>
      </c>
      <c r="C30"/>
      <c r="D30"/>
      <c r="E30"/>
      <c r="F30"/>
      <c r="G30" s="34"/>
      <c r="H30" s="34"/>
      <c r="I30" s="34"/>
      <c r="J30" s="31"/>
      <c r="K30" s="35"/>
      <c r="L30" s="34"/>
      <c r="M30" s="34"/>
    </row>
    <row r="31" spans="1:13" ht="15.75" x14ac:dyDescent="0.25">
      <c r="A31" s="257">
        <f t="shared" si="1"/>
        <v>0.24787219113734876</v>
      </c>
      <c r="B31">
        <f t="shared" si="0"/>
        <v>54.599817234360565</v>
      </c>
      <c r="C31"/>
      <c r="D31"/>
      <c r="E31"/>
      <c r="F31"/>
      <c r="G31" s="34"/>
      <c r="H31" s="34"/>
      <c r="I31" s="34"/>
      <c r="J31" s="31"/>
      <c r="K31" s="35"/>
      <c r="L31" s="34"/>
      <c r="M31" s="34"/>
    </row>
    <row r="32" spans="1:13" ht="15.75" x14ac:dyDescent="0.25">
      <c r="A32" s="257">
        <f t="shared" si="1"/>
        <v>0.25084665743099693</v>
      </c>
      <c r="B32">
        <f t="shared" si="0"/>
        <v>53.662308582793919</v>
      </c>
      <c r="C32"/>
      <c r="D32"/>
      <c r="E32"/>
      <c r="F32"/>
      <c r="G32" s="34"/>
      <c r="H32" s="34"/>
      <c r="I32" s="34"/>
      <c r="J32" s="31"/>
      <c r="K32" s="36"/>
      <c r="L32" s="34"/>
      <c r="M32" s="34"/>
    </row>
    <row r="33" spans="1:13" ht="15.75" x14ac:dyDescent="0.25">
      <c r="A33" s="257">
        <f t="shared" si="1"/>
        <v>0.2538568173201689</v>
      </c>
      <c r="B33">
        <f t="shared" si="0"/>
        <v>52.824097732157099</v>
      </c>
      <c r="C33"/>
      <c r="D33"/>
      <c r="E33"/>
      <c r="F33"/>
      <c r="G33" s="34"/>
      <c r="H33" s="34"/>
      <c r="I33" s="34"/>
      <c r="J33" s="31"/>
      <c r="K33" s="35"/>
      <c r="L33" s="34"/>
      <c r="M33" s="34"/>
    </row>
    <row r="34" spans="1:13" ht="15.75" x14ac:dyDescent="0.25">
      <c r="A34" s="257">
        <f t="shared" si="1"/>
        <v>0.25690309912801096</v>
      </c>
      <c r="B34">
        <f t="shared" si="0"/>
        <v>52.07659042696789</v>
      </c>
      <c r="C34"/>
      <c r="D34"/>
      <c r="E34"/>
      <c r="F34"/>
      <c r="G34" s="34"/>
      <c r="H34" s="34"/>
      <c r="I34" s="34"/>
      <c r="J34" s="34"/>
      <c r="K34" s="34"/>
      <c r="L34" s="34"/>
      <c r="M34" s="34"/>
    </row>
    <row r="35" spans="1:13" ht="15.75" x14ac:dyDescent="0.25">
      <c r="A35" s="257">
        <f t="shared" si="1"/>
        <v>0.25998593631754707</v>
      </c>
      <c r="B35">
        <f t="shared" si="0"/>
        <v>51.411870206305359</v>
      </c>
      <c r="C35"/>
      <c r="D35"/>
      <c r="E35"/>
      <c r="F35"/>
      <c r="G35" s="34"/>
      <c r="H35" s="34"/>
      <c r="I35" s="34"/>
      <c r="J35" s="34"/>
      <c r="K35" s="34"/>
      <c r="L35" s="34"/>
      <c r="M35" s="34"/>
    </row>
    <row r="36" spans="1:13" ht="15.75" x14ac:dyDescent="0.25">
      <c r="A36" s="257">
        <f t="shared" si="1"/>
        <v>0.26310576755335763</v>
      </c>
      <c r="B36">
        <f t="shared" si="0"/>
        <v>50.822642379528588</v>
      </c>
      <c r="C36"/>
      <c r="D36"/>
      <c r="E36"/>
      <c r="F36"/>
      <c r="G36" s="34"/>
      <c r="H36" s="34"/>
      <c r="I36" s="34"/>
      <c r="J36" s="34"/>
      <c r="K36" s="34"/>
      <c r="L36" s="34"/>
      <c r="M36" s="34"/>
    </row>
    <row r="37" spans="1:13" ht="15.75" x14ac:dyDescent="0.25">
      <c r="A37" s="257">
        <f t="shared" si="1"/>
        <v>0.26626303676399793</v>
      </c>
      <c r="B37">
        <f t="shared" si="0"/>
        <v>50.302183142461111</v>
      </c>
      <c r="C37"/>
      <c r="D37"/>
      <c r="E37"/>
      <c r="F37"/>
      <c r="G37" s="34"/>
      <c r="H37" s="34"/>
      <c r="I37" s="34"/>
      <c r="J37" s="34"/>
      <c r="K37" s="34"/>
      <c r="L37" s="34"/>
      <c r="M37" s="34"/>
    </row>
    <row r="38" spans="1:13" ht="15.75" x14ac:dyDescent="0.25">
      <c r="A38" s="257">
        <f t="shared" si="1"/>
        <v>0.2694581932051659</v>
      </c>
      <c r="B38">
        <f t="shared" si="0"/>
        <v>49.844293303143239</v>
      </c>
      <c r="C38"/>
      <c r="D38"/>
      <c r="E38"/>
      <c r="F38"/>
      <c r="G38" s="34"/>
      <c r="H38" s="34"/>
      <c r="I38" s="34"/>
      <c r="J38" s="34"/>
      <c r="K38" s="34"/>
      <c r="L38" s="34"/>
      <c r="M38" s="34"/>
    </row>
    <row r="39" spans="1:13" ht="15.75" x14ac:dyDescent="0.25">
      <c r="A39" s="257">
        <f t="shared" si="1"/>
        <v>0.27269169152362788</v>
      </c>
      <c r="B39">
        <f t="shared" si="0"/>
        <v>49.443256147649151</v>
      </c>
      <c r="C39"/>
      <c r="D39"/>
      <c r="E39"/>
      <c r="F39"/>
      <c r="G39" s="34"/>
    </row>
    <row r="40" spans="1:13" ht="15.75" x14ac:dyDescent="0.25">
      <c r="A40" s="257">
        <f t="shared" si="1"/>
        <v>0.27596399182191139</v>
      </c>
      <c r="B40">
        <f t="shared" si="0"/>
        <v>49.09379902998797</v>
      </c>
      <c r="C40"/>
      <c r="E40" s="34"/>
      <c r="F40" s="34"/>
    </row>
    <row r="41" spans="1:13" ht="15.75" x14ac:dyDescent="0.25">
      <c r="A41" s="257">
        <f t="shared" si="1"/>
        <v>0.27927555972377432</v>
      </c>
      <c r="B41">
        <f t="shared" si="0"/>
        <v>48.791058316879933</v>
      </c>
      <c r="C41"/>
    </row>
    <row r="42" spans="1:13" ht="15.75" x14ac:dyDescent="0.25">
      <c r="A42" s="257">
        <f t="shared" si="1"/>
        <v>0.28262686644045965</v>
      </c>
      <c r="B42">
        <f t="shared" si="0"/>
        <v>48.530547359144329</v>
      </c>
      <c r="C42"/>
    </row>
    <row r="43" spans="1:13" ht="15.75" x14ac:dyDescent="0.25">
      <c r="A43" s="257">
        <f t="shared" si="1"/>
        <v>0.28601838883774516</v>
      </c>
      <c r="B43">
        <f t="shared" si="0"/>
        <v>48.308127197351062</v>
      </c>
      <c r="C43"/>
    </row>
    <row r="44" spans="1:13" ht="15.75" x14ac:dyDescent="0.25">
      <c r="A44" s="257">
        <f t="shared" si="1"/>
        <v>0.28945060950379808</v>
      </c>
      <c r="B44">
        <f t="shared" si="0"/>
        <v>48.119979740953895</v>
      </c>
      <c r="C44"/>
    </row>
    <row r="45" spans="1:13" ht="15.75" x14ac:dyDescent="0.25">
      <c r="A45" s="257">
        <f t="shared" si="1"/>
        <v>0.29292401681784369</v>
      </c>
      <c r="B45">
        <f t="shared" si="0"/>
        <v>47.962583187911953</v>
      </c>
      <c r="C45"/>
    </row>
    <row r="46" spans="1:13" ht="15.75" x14ac:dyDescent="0.25">
      <c r="A46" s="257">
        <f t="shared" si="1"/>
        <v>0.29643910501965781</v>
      </c>
      <c r="B46">
        <f t="shared" si="0"/>
        <v>47.832689476316006</v>
      </c>
      <c r="C46"/>
    </row>
    <row r="47" spans="1:13" ht="15.75" x14ac:dyDescent="0.25">
      <c r="A47" s="257">
        <f t="shared" si="1"/>
        <v>0.29999637427989373</v>
      </c>
      <c r="B47">
        <f t="shared" si="0"/>
        <v>47.727303581192352</v>
      </c>
      <c r="C47"/>
    </row>
    <row r="48" spans="1:13" ht="15.75" x14ac:dyDescent="0.25">
      <c r="A48" s="257">
        <f t="shared" si="1"/>
        <v>0.30359633077125248</v>
      </c>
      <c r="B48">
        <f t="shared" si="0"/>
        <v>47.643664488818757</v>
      </c>
      <c r="C48"/>
    </row>
    <row r="49" spans="1:3" ht="15.75" x14ac:dyDescent="0.25">
      <c r="A49" s="257">
        <f t="shared" si="1"/>
        <v>0.30723948674050749</v>
      </c>
      <c r="B49">
        <f t="shared" si="0"/>
        <v>47.579227697875538</v>
      </c>
      <c r="C49"/>
    </row>
    <row r="50" spans="1:3" ht="15.75" x14ac:dyDescent="0.25">
      <c r="A50" s="257">
        <f t="shared" si="1"/>
        <v>0.31092636058139361</v>
      </c>
      <c r="B50">
        <f t="shared" si="0"/>
        <v>47.531649111835542</v>
      </c>
      <c r="C50"/>
    </row>
    <row r="51" spans="1:3" ht="15.75" x14ac:dyDescent="0.25">
      <c r="A51" s="257">
        <f t="shared" si="1"/>
        <v>0.31465747690837031</v>
      </c>
      <c r="B51">
        <f t="shared" si="0"/>
        <v>47.498770200408693</v>
      </c>
      <c r="C51"/>
    </row>
    <row r="52" spans="1:3" ht="15.75" x14ac:dyDescent="0.25">
      <c r="A52" s="257">
        <f t="shared" si="1"/>
        <v>0.31843336663127075</v>
      </c>
      <c r="B52">
        <f t="shared" si="0"/>
        <v>47.478604319795849</v>
      </c>
      <c r="C52"/>
    </row>
    <row r="53" spans="1:3" ht="15.75" x14ac:dyDescent="0.25">
      <c r="A53" s="257">
        <f t="shared" si="1"/>
        <v>0.32225456703084598</v>
      </c>
      <c r="B53">
        <f t="shared" si="0"/>
        <v>47.46932409216064</v>
      </c>
      <c r="C53"/>
    </row>
    <row r="54" spans="1:3" ht="15.75" x14ac:dyDescent="0.25">
      <c r="A54" s="257">
        <f t="shared" si="1"/>
        <v>0.32612162183521615</v>
      </c>
      <c r="B54">
        <f t="shared" si="0"/>
        <v>47.469249754237168</v>
      </c>
      <c r="C54"/>
    </row>
    <row r="55" spans="1:3" ht="15.75" x14ac:dyDescent="0.25">
      <c r="A55" s="257">
        <f t="shared" si="1"/>
        <v>0.33003508129723874</v>
      </c>
      <c r="B55">
        <f t="shared" si="0"/>
        <v>47.476838393498873</v>
      </c>
      <c r="C55"/>
    </row>
    <row r="56" spans="1:3" ht="15.75" x14ac:dyDescent="0.25">
      <c r="A56" s="257">
        <f t="shared" si="1"/>
        <v>0.33399550227280561</v>
      </c>
      <c r="B56">
        <f t="shared" si="0"/>
        <v>47.490673997932028</v>
      </c>
      <c r="C56"/>
    </row>
    <row r="57" spans="1:3" ht="15.75" x14ac:dyDescent="0.25">
      <c r="A57" s="257">
        <f t="shared" si="1"/>
        <v>0.33800344830007928</v>
      </c>
      <c r="B57">
        <f t="shared" si="0"/>
        <v>47.509458252288752</v>
      </c>
      <c r="C57"/>
    </row>
    <row r="58" spans="1:3" ht="15.75" x14ac:dyDescent="0.25">
      <c r="A58" s="257">
        <f t="shared" si="1"/>
        <v>0.34205948967968025</v>
      </c>
      <c r="B58">
        <f t="shared" si="0"/>
        <v>47.532002019826798</v>
      </c>
      <c r="C58"/>
    </row>
    <row r="59" spans="1:3" ht="15.75" x14ac:dyDescent="0.25">
      <c r="A59" s="257">
        <f t="shared" si="1"/>
        <v>0.34616420355583644</v>
      </c>
      <c r="B59">
        <f t="shared" si="0"/>
        <v>47.557217454059668</v>
      </c>
      <c r="C59"/>
    </row>
    <row r="60" spans="1:3" ht="15.75" x14ac:dyDescent="0.25">
      <c r="A60" s="257">
        <f t="shared" si="1"/>
        <v>0.35031817399850645</v>
      </c>
      <c r="B60">
        <f t="shared" si="0"/>
        <v>47.58411069000087</v>
      </c>
      <c r="C60"/>
    </row>
    <row r="61" spans="1:3" ht="15.75" x14ac:dyDescent="0.25">
      <c r="A61" s="257">
        <f t="shared" si="1"/>
        <v>0.35452199208648855</v>
      </c>
      <c r="B61">
        <f t="shared" si="0"/>
        <v>47.611775068862244</v>
      </c>
      <c r="C61"/>
    </row>
    <row r="62" spans="1:3" ht="15.75" x14ac:dyDescent="0.25">
      <c r="A62" s="257">
        <f t="shared" si="1"/>
        <v>0.3587762559915264</v>
      </c>
      <c r="B62">
        <f t="shared" si="0"/>
        <v>47.639384854197758</v>
      </c>
      <c r="C62"/>
    </row>
    <row r="63" spans="1:3" ht="15.75" x14ac:dyDescent="0.25">
      <c r="A63" s="257">
        <f t="shared" si="1"/>
        <v>0.3630815710634247</v>
      </c>
      <c r="B63">
        <f t="shared" si="0"/>
        <v>47.666189401133309</v>
      </c>
      <c r="C63"/>
    </row>
    <row r="64" spans="1:3" ht="15.75" x14ac:dyDescent="0.25">
      <c r="A64" s="257">
        <f t="shared" si="1"/>
        <v>0.3674385499161858</v>
      </c>
      <c r="B64">
        <f t="shared" si="0"/>
        <v>47.691507743615006</v>
      </c>
      <c r="C64"/>
    </row>
    <row r="65" spans="1:3" ht="15.75" x14ac:dyDescent="0.25">
      <c r="A65" s="257">
        <f t="shared" si="1"/>
        <v>0.37184781251518001</v>
      </c>
      <c r="B65">
        <f t="shared" si="0"/>
        <v>47.714723567595065</v>
      </c>
      <c r="C65"/>
    </row>
    <row r="66" spans="1:3" ht="15.75" x14ac:dyDescent="0.25">
      <c r="A66" s="257">
        <f t="shared" si="1"/>
        <v>0.37630998626536216</v>
      </c>
      <c r="B66">
        <f t="shared" si="0"/>
        <v>47.735280540775875</v>
      </c>
      <c r="C66"/>
    </row>
    <row r="67" spans="1:3" ht="15.75" x14ac:dyDescent="0.25">
      <c r="A67" s="257">
        <f t="shared" si="1"/>
        <v>0.3808257061005465</v>
      </c>
      <c r="B67">
        <f t="shared" si="0"/>
        <v>47.752677971987033</v>
      </c>
      <c r="C67"/>
    </row>
    <row r="68" spans="1:3" ht="15.75" x14ac:dyDescent="0.25">
      <c r="A68" s="257">
        <f t="shared" si="1"/>
        <v>0.38539561457375304</v>
      </c>
      <c r="B68">
        <f t="shared" si="0"/>
        <v>47.766466775495886</v>
      </c>
      <c r="C68"/>
    </row>
    <row r="69" spans="1:3" ht="15.75" x14ac:dyDescent="0.25">
      <c r="A69" s="257">
        <f t="shared" si="1"/>
        <v>0.39002036194863809</v>
      </c>
      <c r="B69">
        <f t="shared" si="0"/>
        <v>47.776245717577041</v>
      </c>
      <c r="C69"/>
    </row>
    <row r="70" spans="1:3" ht="15.75" x14ac:dyDescent="0.25">
      <c r="A70" s="257">
        <f t="shared" si="1"/>
        <v>0.39470060629202175</v>
      </c>
      <c r="B70">
        <f t="shared" si="0"/>
        <v>47.781657924507854</v>
      </c>
      <c r="C70"/>
    </row>
    <row r="71" spans="1:3" ht="15.75" x14ac:dyDescent="0.25">
      <c r="A71" s="257">
        <f t="shared" si="1"/>
        <v>0.39943701356752603</v>
      </c>
      <c r="B71">
        <f t="shared" si="0"/>
        <v>47.782387632833746</v>
      </c>
      <c r="C71"/>
    </row>
    <row r="72" spans="1:3" ht="15.75" x14ac:dyDescent="0.25">
      <c r="A72" s="257">
        <f t="shared" si="1"/>
        <v>0.40423025773033633</v>
      </c>
      <c r="B72">
        <f t="shared" si="0"/>
        <v>47.778157164276564</v>
      </c>
      <c r="C72"/>
    </row>
    <row r="73" spans="1:3" ht="15.75" x14ac:dyDescent="0.25">
      <c r="A73" s="257">
        <f t="shared" si="1"/>
        <v>0.40908102082310038</v>
      </c>
      <c r="B73">
        <f t="shared" si="0"/>
        <v>47.768724109052712</v>
      </c>
      <c r="C73"/>
    </row>
    <row r="74" spans="1:3" ht="15.75" x14ac:dyDescent="0.25">
      <c r="A74" s="257">
        <f t="shared" si="1"/>
        <v>0.41398999307297757</v>
      </c>
      <c r="B74">
        <f t="shared" si="0"/>
        <v>47.753878702643249</v>
      </c>
      <c r="C74"/>
    </row>
    <row r="75" spans="1:3" ht="15.75" x14ac:dyDescent="0.25">
      <c r="A75" s="257">
        <f t="shared" si="1"/>
        <v>0.41895787298985332</v>
      </c>
      <c r="B75">
        <f t="shared" si="0"/>
        <v>47.733441382219972</v>
      </c>
      <c r="C75"/>
    </row>
    <row r="76" spans="1:3" ht="15.75" x14ac:dyDescent="0.25">
      <c r="A76" s="257">
        <f t="shared" si="1"/>
        <v>0.42398536746573157</v>
      </c>
      <c r="B76">
        <f t="shared" si="0"/>
        <v>47.707260509997724</v>
      </c>
      <c r="C76"/>
    </row>
    <row r="77" spans="1:3" ht="15.75" x14ac:dyDescent="0.25">
      <c r="A77" s="257">
        <f t="shared" si="1"/>
        <v>0.42907319187532034</v>
      </c>
      <c r="B77">
        <f t="shared" si="0"/>
        <v>47.675210251757072</v>
      </c>
      <c r="C77"/>
    </row>
    <row r="78" spans="1:3" ht="15.75" x14ac:dyDescent="0.25">
      <c r="A78" s="257">
        <f t="shared" si="1"/>
        <v>0.43422207017782416</v>
      </c>
      <c r="B78">
        <f t="shared" si="0"/>
        <v>47.637188599674573</v>
      </c>
      <c r="C78"/>
    </row>
    <row r="79" spans="1:3" ht="15.75" x14ac:dyDescent="0.25">
      <c r="A79" s="257">
        <f t="shared" si="1"/>
        <v>0.43943273501995805</v>
      </c>
      <c r="B79">
        <f t="shared" si="0"/>
        <v>47.593115529416679</v>
      </c>
      <c r="C79"/>
    </row>
    <row r="80" spans="1:3" ht="15.75" x14ac:dyDescent="0.25">
      <c r="A80" s="257">
        <f t="shared" si="1"/>
        <v>0.44470592784019758</v>
      </c>
      <c r="B80">
        <f t="shared" si="0"/>
        <v>47.542931282204592</v>
      </c>
      <c r="C80"/>
    </row>
    <row r="81" spans="1:3" ht="15.75" x14ac:dyDescent="0.25">
      <c r="A81" s="257">
        <f t="shared" si="1"/>
        <v>0.45004239897427994</v>
      </c>
      <c r="B81">
        <f t="shared" si="0"/>
        <v>47.486594763247012</v>
      </c>
      <c r="C81"/>
    </row>
    <row r="82" spans="1:3" ht="15.75" x14ac:dyDescent="0.25">
      <c r="A82" s="257">
        <f t="shared" si="1"/>
        <v>0.45544290776197133</v>
      </c>
      <c r="B82">
        <f t="shared" si="0"/>
        <v>47.424082048572494</v>
      </c>
      <c r="C82"/>
    </row>
    <row r="83" spans="1:3" ht="15.75" x14ac:dyDescent="0.25">
      <c r="A83" s="257">
        <f t="shared" si="1"/>
        <v>0.460908222655115</v>
      </c>
      <c r="B83">
        <f t="shared" si="0"/>
        <v>47.355384992875095</v>
      </c>
      <c r="C83"/>
    </row>
    <row r="84" spans="1:3" ht="15.75" x14ac:dyDescent="0.25">
      <c r="A84" s="257">
        <f t="shared" si="1"/>
        <v>0.4664391213269764</v>
      </c>
      <c r="B84">
        <f t="shared" si="0"/>
        <v>47.280509931524833</v>
      </c>
      <c r="C84"/>
    </row>
    <row r="85" spans="1:3" ht="15.75" x14ac:dyDescent="0.25">
      <c r="A85" s="257">
        <f t="shared" si="1"/>
        <v>0.47203639078290011</v>
      </c>
      <c r="B85">
        <f t="shared" si="0"/>
        <v>47.19947647038758</v>
      </c>
      <c r="C85"/>
    </row>
    <row r="86" spans="1:3" ht="15.75" x14ac:dyDescent="0.25">
      <c r="A86" s="257">
        <f t="shared" si="1"/>
        <v>0.47770082747229492</v>
      </c>
      <c r="B86">
        <f>($B$10*$I$1/(A86-$B$14)-$B$13/A86^2)/100</f>
        <v>47.112316357554988</v>
      </c>
      <c r="C86"/>
    </row>
    <row r="87" spans="1:3" ht="15.75" x14ac:dyDescent="0.25">
      <c r="A87"/>
      <c r="B87"/>
      <c r="C87"/>
    </row>
    <row r="88" spans="1:3" ht="15.75" x14ac:dyDescent="0.25">
      <c r="A88"/>
      <c r="B88"/>
      <c r="C88"/>
    </row>
    <row r="94" spans="1:3" x14ac:dyDescent="0.2">
      <c r="B94" s="155"/>
    </row>
    <row r="95" spans="1:3" x14ac:dyDescent="0.2">
      <c r="B95" s="155"/>
    </row>
    <row r="96" spans="1:3" x14ac:dyDescent="0.2">
      <c r="B96" s="155"/>
    </row>
    <row r="97" spans="2:2" x14ac:dyDescent="0.2">
      <c r="B97" s="155"/>
    </row>
    <row r="98" spans="2:2" x14ac:dyDescent="0.2">
      <c r="B98" s="155"/>
    </row>
    <row r="99" spans="2:2" x14ac:dyDescent="0.2">
      <c r="B99" s="155"/>
    </row>
    <row r="100" spans="2:2" x14ac:dyDescent="0.2">
      <c r="B100" s="155"/>
    </row>
    <row r="101" spans="2:2" x14ac:dyDescent="0.2">
      <c r="B101" s="155"/>
    </row>
    <row r="102" spans="2:2" x14ac:dyDescent="0.2">
      <c r="B102" s="155"/>
    </row>
    <row r="103" spans="2:2" x14ac:dyDescent="0.2">
      <c r="B103" s="155"/>
    </row>
  </sheetData>
  <phoneticPr fontId="25" type="noConversion"/>
  <pageMargins left="0.75" right="0.75" top="1" bottom="1" header="0.5" footer="0.5"/>
  <pageSetup paperSize="9" orientation="portrait" horizontalDpi="4294967294" verticalDpi="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N116"/>
  <sheetViews>
    <sheetView zoomScale="75" workbookViewId="0">
      <selection activeCell="B17" sqref="B17"/>
    </sheetView>
  </sheetViews>
  <sheetFormatPr defaultColWidth="8" defaultRowHeight="12.75" x14ac:dyDescent="0.2"/>
  <cols>
    <col min="1" max="4" width="8.125" style="2" bestFit="1" customWidth="1"/>
    <col min="5" max="5" width="10.5" style="2" customWidth="1"/>
    <col min="6" max="7" width="8.125" style="2" bestFit="1" customWidth="1"/>
    <col min="8" max="8" width="8" style="2"/>
    <col min="9" max="9" width="10.875" style="2" bestFit="1" customWidth="1"/>
    <col min="10" max="16384" width="8" style="2"/>
  </cols>
  <sheetData>
    <row r="1" spans="1:14" ht="18" x14ac:dyDescent="0.25">
      <c r="A1" s="1" t="str">
        <f>' T = Tb'!A1</f>
        <v>Benzene</v>
      </c>
      <c r="B1" s="2">
        <v>0.5</v>
      </c>
      <c r="E1" s="2" t="s">
        <v>0</v>
      </c>
      <c r="F1" s="2">
        <v>1</v>
      </c>
      <c r="H1" s="3" t="s">
        <v>1</v>
      </c>
      <c r="I1" s="2">
        <f>B3</f>
        <v>562.16</v>
      </c>
      <c r="J1" s="2" t="s">
        <v>2</v>
      </c>
    </row>
    <row r="2" spans="1:14" ht="15.75" x14ac:dyDescent="0.3">
      <c r="A2" s="4" t="s">
        <v>15</v>
      </c>
      <c r="B2" s="5">
        <f>' T = Tb'!B2</f>
        <v>78.114000000000004</v>
      </c>
      <c r="C2" s="2" t="s">
        <v>3</v>
      </c>
      <c r="E2" s="4" t="s">
        <v>4</v>
      </c>
      <c r="F2" s="2">
        <f>' T = Tb'!F2</f>
        <v>-7.0143300000000002</v>
      </c>
      <c r="H2" s="3" t="s">
        <v>16</v>
      </c>
      <c r="I2" s="2">
        <f>1-I1/B3</f>
        <v>0</v>
      </c>
      <c r="M2" s="4"/>
    </row>
    <row r="3" spans="1:14" ht="15.75" x14ac:dyDescent="0.3">
      <c r="A3" s="4" t="s">
        <v>17</v>
      </c>
      <c r="B3" s="5">
        <f>' T = Tb'!B3</f>
        <v>562.16</v>
      </c>
      <c r="C3" s="2" t="s">
        <v>2</v>
      </c>
      <c r="E3" s="4" t="s">
        <v>5</v>
      </c>
      <c r="F3" s="2">
        <f>' T = Tb'!F3</f>
        <v>1.5525599999999999</v>
      </c>
      <c r="H3" s="3" t="s">
        <v>6</v>
      </c>
      <c r="I3" s="144">
        <f>(B4*EXP((F2*I2+F3*I2^1.5+F4*I2^2.5+F5*I2^5)/(1-I2)))</f>
        <v>48.98</v>
      </c>
      <c r="J3" s="2" t="s">
        <v>7</v>
      </c>
      <c r="M3" s="4"/>
    </row>
    <row r="4" spans="1:14" ht="15.75" x14ac:dyDescent="0.3">
      <c r="A4" s="4" t="s">
        <v>18</v>
      </c>
      <c r="B4" s="5">
        <f>' T = Tb'!B4</f>
        <v>48.98</v>
      </c>
      <c r="C4" s="2" t="s">
        <v>7</v>
      </c>
      <c r="E4" s="4" t="s">
        <v>8</v>
      </c>
      <c r="F4" s="2">
        <f>' T = Tb'!F4</f>
        <v>-1.8479000000000001</v>
      </c>
      <c r="H4" s="3" t="s">
        <v>6</v>
      </c>
      <c r="I4" s="2">
        <f>I3*100</f>
        <v>4898</v>
      </c>
      <c r="J4" s="2" t="s">
        <v>9</v>
      </c>
      <c r="M4" s="4"/>
      <c r="N4" s="6"/>
    </row>
    <row r="5" spans="1:14" ht="15.75" x14ac:dyDescent="0.3">
      <c r="A5" s="4" t="s">
        <v>18</v>
      </c>
      <c r="B5" s="5">
        <f>' T = Tb'!B5</f>
        <v>4898</v>
      </c>
      <c r="C5" s="2" t="s">
        <v>9</v>
      </c>
      <c r="E5" s="4" t="s">
        <v>10</v>
      </c>
      <c r="F5" s="2">
        <f>' T = Tb'!F5</f>
        <v>-3.7130000000000001</v>
      </c>
      <c r="H5" s="4"/>
      <c r="M5" s="4"/>
      <c r="N5" s="6"/>
    </row>
    <row r="6" spans="1:14" ht="15.75" x14ac:dyDescent="0.3">
      <c r="A6" s="4" t="s">
        <v>19</v>
      </c>
      <c r="B6" s="5">
        <f>' T = Tb'!B6</f>
        <v>256</v>
      </c>
      <c r="C6" s="2" t="s">
        <v>20</v>
      </c>
      <c r="E6" s="4" t="s">
        <v>21</v>
      </c>
      <c r="F6" s="2">
        <f>' T = Tb'!F6</f>
        <v>250</v>
      </c>
      <c r="G6" s="7">
        <f>F6/B3</f>
        <v>0.44471324889711117</v>
      </c>
      <c r="H6" s="2" t="s">
        <v>22</v>
      </c>
      <c r="I6" s="2">
        <v>2.5712194055283128E-3</v>
      </c>
    </row>
    <row r="7" spans="1:14" ht="15.75" x14ac:dyDescent="0.3">
      <c r="A7" s="4" t="s">
        <v>19</v>
      </c>
      <c r="B7" s="5">
        <f>' T = Tb'!B7</f>
        <v>0.25600000000000001</v>
      </c>
      <c r="C7" s="8" t="s">
        <v>23</v>
      </c>
      <c r="D7" s="2">
        <f>C8*B10*B3/B5</f>
        <v>0.35785664620253166</v>
      </c>
      <c r="E7" s="4" t="s">
        <v>24</v>
      </c>
      <c r="F7" s="2">
        <f>' T = Tb'!F7</f>
        <v>562.16</v>
      </c>
      <c r="G7" s="7">
        <f>F7/B3</f>
        <v>1</v>
      </c>
      <c r="H7" s="2" t="s">
        <v>25</v>
      </c>
      <c r="I7" s="2">
        <f>I6/I3</f>
        <v>5.2495292068769152E-5</v>
      </c>
    </row>
    <row r="8" spans="1:14" ht="15.75" x14ac:dyDescent="0.3">
      <c r="A8" s="4" t="s">
        <v>26</v>
      </c>
      <c r="B8" s="5">
        <f>' T = Tb'!B8</f>
        <v>0.26800000000000002</v>
      </c>
      <c r="C8" s="2">
        <f>3/8</f>
        <v>0.375</v>
      </c>
      <c r="E8" s="4" t="s">
        <v>27</v>
      </c>
      <c r="F8" s="18">
        <f>' T = Tb'!F8</f>
        <v>353.24</v>
      </c>
      <c r="G8" s="7">
        <f>F8/B3</f>
        <v>0.6283620321616622</v>
      </c>
      <c r="H8" s="2" t="s">
        <v>28</v>
      </c>
    </row>
    <row r="9" spans="1:14" x14ac:dyDescent="0.2">
      <c r="A9" s="9" t="s">
        <v>29</v>
      </c>
      <c r="B9" s="5">
        <f>' T = Tb'!B9</f>
        <v>0.21</v>
      </c>
      <c r="E9" s="4"/>
      <c r="F9" s="2">
        <f>' T = Tb'!F9</f>
        <v>101.325</v>
      </c>
      <c r="K9" s="4"/>
    </row>
    <row r="10" spans="1:14" ht="22.5" x14ac:dyDescent="0.35">
      <c r="A10" s="2" t="s">
        <v>11</v>
      </c>
      <c r="B10" s="2">
        <v>8.3145100000000003</v>
      </c>
      <c r="C10" s="2" t="s">
        <v>12</v>
      </c>
      <c r="H10" s="1" t="s">
        <v>30</v>
      </c>
    </row>
    <row r="11" spans="1:14" x14ac:dyDescent="0.2">
      <c r="A11" s="10" t="s">
        <v>13</v>
      </c>
      <c r="K11" s="11"/>
    </row>
    <row r="12" spans="1:14" ht="18.75" x14ac:dyDescent="0.3">
      <c r="A12" s="13" t="s">
        <v>31</v>
      </c>
      <c r="B12" s="14">
        <f>27/64*(B10*B3)^2/B5</f>
        <v>1881.7339064250737</v>
      </c>
      <c r="C12" s="15"/>
      <c r="E12" s="16" t="s">
        <v>14</v>
      </c>
      <c r="H12" s="4" t="s">
        <v>32</v>
      </c>
      <c r="I12" s="192">
        <f>(2*B19)-B14-(B10*I1/I4)</f>
        <v>-1.073569938607595</v>
      </c>
      <c r="J12" s="41">
        <f>-(B18+B15+B16)</f>
        <v>-1.073569938607595</v>
      </c>
      <c r="K12" s="6"/>
    </row>
    <row r="13" spans="1:14" ht="18.75" x14ac:dyDescent="0.3">
      <c r="A13" s="13" t="s">
        <v>33</v>
      </c>
      <c r="B13" s="156">
        <f>B12</f>
        <v>1881.7339064250737</v>
      </c>
      <c r="C13" s="12">
        <f>' T = Tb'!P26</f>
        <v>1888.0789023287093</v>
      </c>
      <c r="E13" s="193">
        <f>ABS(B10*I1*LN((B16-B14)/(B15-B14))+B13*(1/(B16+B19)-1/(B15+B19))-I4*(B16-B15))</f>
        <v>0</v>
      </c>
      <c r="F13" s="21">
        <f>E13+E15+E16</f>
        <v>1.3877787807814457E-11</v>
      </c>
      <c r="H13" s="4" t="s">
        <v>34</v>
      </c>
      <c r="I13" s="192">
        <f>(B19^2)-(2*B19*B14)-(2*B10*I1*B19/I4)+(B13/I4)</f>
        <v>0.38418413769397175</v>
      </c>
      <c r="J13" s="41">
        <f>B15*B16+B15*B18+B18*B16</f>
        <v>0.38418413769397175</v>
      </c>
      <c r="K13" s="6"/>
      <c r="L13" s="26">
        <f>B13/B12</f>
        <v>1</v>
      </c>
    </row>
    <row r="14" spans="1:14" ht="15.75" x14ac:dyDescent="0.3">
      <c r="A14" s="154" t="s">
        <v>35</v>
      </c>
      <c r="B14" s="262">
        <f>B10*B3/8/B5</f>
        <v>0.11928554873417722</v>
      </c>
      <c r="C14" s="8" t="s">
        <v>23</v>
      </c>
      <c r="H14" s="4" t="s">
        <v>36</v>
      </c>
      <c r="I14" s="192">
        <f>(-B14*(B19^2))-(B10*I1*(B19^2)/I4)-(B13*B14/I4)</f>
        <v>-4.5827615679792121E-2</v>
      </c>
      <c r="J14" s="41">
        <f>-(B18*B15*B16)</f>
        <v>-4.5827615679792114E-2</v>
      </c>
      <c r="K14" s="6"/>
      <c r="L14" s="26">
        <f>B15/B14</f>
        <v>3</v>
      </c>
      <c r="N14" s="4"/>
    </row>
    <row r="15" spans="1:14" ht="16.5" x14ac:dyDescent="0.3">
      <c r="A15" s="22" t="s">
        <v>37</v>
      </c>
      <c r="B15" s="244">
        <f>D7</f>
        <v>0.35785664620253166</v>
      </c>
      <c r="C15" s="7">
        <f>'T21'!B15</f>
        <v>0.30339147603475525</v>
      </c>
      <c r="D15" s="24" t="s">
        <v>38</v>
      </c>
      <c r="E15" s="39">
        <f>1000000*ABS(B15^3+I12*B15^2+I13*B15+I14)</f>
        <v>6.9388939039072284E-12</v>
      </c>
      <c r="K15" s="4"/>
      <c r="L15" s="26">
        <f>B16/B17</f>
        <v>0.375</v>
      </c>
    </row>
    <row r="16" spans="1:14" ht="16.5" x14ac:dyDescent="0.3">
      <c r="A16" s="22" t="s">
        <v>39</v>
      </c>
      <c r="B16" s="244">
        <f>D7</f>
        <v>0.35785664620253166</v>
      </c>
      <c r="C16" s="7">
        <f>'T21'!B16</f>
        <v>0.43285019074197167</v>
      </c>
      <c r="D16" s="24" t="s">
        <v>95</v>
      </c>
      <c r="E16" s="39">
        <f>1000000*ABS(B16^3+I12*B16^2+I13*B16+I14)</f>
        <v>6.9388939039072284E-12</v>
      </c>
      <c r="L16" s="26"/>
    </row>
    <row r="17" spans="1:13" ht="16.5" x14ac:dyDescent="0.3">
      <c r="A17" s="27" t="s">
        <v>41</v>
      </c>
      <c r="B17" s="28">
        <f>B10*I1/I4</f>
        <v>0.95428438987341779</v>
      </c>
      <c r="D17" s="24" t="s">
        <v>42</v>
      </c>
      <c r="E17" s="44">
        <f>1000000*ABS(B18^3+I12*B18^2+I13*B18+I14)</f>
        <v>6.9388939039072284E-12</v>
      </c>
      <c r="H17" s="12"/>
      <c r="I17" s="4"/>
      <c r="J17" s="17"/>
      <c r="L17" s="25"/>
    </row>
    <row r="18" spans="1:13" ht="15.75" x14ac:dyDescent="0.25">
      <c r="A18" s="22" t="s">
        <v>43</v>
      </c>
      <c r="B18" s="26">
        <f>-I12-B15-B16</f>
        <v>0.35785664620253166</v>
      </c>
      <c r="C18" s="4"/>
      <c r="D18" s="4"/>
      <c r="E18" s="29"/>
      <c r="H18" s="12"/>
      <c r="I18" s="4"/>
      <c r="J18" s="17"/>
      <c r="L18" s="25"/>
    </row>
    <row r="19" spans="1:13" x14ac:dyDescent="0.2">
      <c r="A19" s="149" t="s">
        <v>132</v>
      </c>
      <c r="B19" s="150">
        <v>0</v>
      </c>
      <c r="C19" s="15"/>
      <c r="D19" s="2">
        <v>0.72299999999999998</v>
      </c>
      <c r="E19" s="31"/>
      <c r="F19" s="34"/>
      <c r="G19" s="31"/>
      <c r="H19" s="42"/>
      <c r="I19" s="31"/>
      <c r="J19" s="32"/>
      <c r="K19" s="34"/>
      <c r="L19" s="45"/>
      <c r="M19" s="34"/>
    </row>
    <row r="20" spans="1:13" x14ac:dyDescent="0.2">
      <c r="A20" s="5" t="s">
        <v>44</v>
      </c>
      <c r="B20" s="5" t="s">
        <v>45</v>
      </c>
      <c r="D20" s="21">
        <v>0.19408193793110431</v>
      </c>
      <c r="E20" s="31"/>
      <c r="F20" s="34"/>
      <c r="G20" s="34"/>
      <c r="H20" s="34"/>
      <c r="I20" s="31"/>
      <c r="J20" s="32"/>
      <c r="K20" s="33"/>
      <c r="L20" s="34"/>
    </row>
    <row r="21" spans="1:13" x14ac:dyDescent="0.2">
      <c r="A21" s="2">
        <f>B14*1.01</f>
        <v>0.12047840422151899</v>
      </c>
      <c r="B21" s="151">
        <f t="shared" ref="B21:B84" si="0">(($B$10*$I$1/(A21-$B$14))-($B$13/(A21+$B$19)^2))/100</f>
        <v>37887.597686501365</v>
      </c>
      <c r="D21" s="2">
        <v>1.2001285409756097</v>
      </c>
      <c r="E21" s="31"/>
      <c r="F21" s="34"/>
      <c r="G21" s="34"/>
      <c r="H21" s="34"/>
      <c r="I21" s="34"/>
      <c r="J21" s="34"/>
      <c r="K21" s="34"/>
      <c r="L21" s="34"/>
    </row>
    <row r="22" spans="1:13" x14ac:dyDescent="0.2">
      <c r="A22" s="2">
        <f t="shared" ref="A22:A34" si="1">A21*1.05</f>
        <v>0.12650232443259496</v>
      </c>
      <c r="B22" s="151">
        <f t="shared" si="0"/>
        <v>5300.8191005915069</v>
      </c>
      <c r="D22" s="2">
        <v>2.9838580230817174E-2</v>
      </c>
      <c r="E22" s="194"/>
      <c r="F22" s="34"/>
      <c r="G22" s="34"/>
      <c r="H22" s="34"/>
      <c r="I22" s="34"/>
      <c r="J22" s="34"/>
      <c r="K22" s="34"/>
      <c r="L22" s="34"/>
    </row>
    <row r="23" spans="1:13" x14ac:dyDescent="0.2">
      <c r="A23" s="2">
        <f t="shared" si="1"/>
        <v>0.13282744065422472</v>
      </c>
      <c r="B23" s="151">
        <f t="shared" si="0"/>
        <v>2385.0211514109019</v>
      </c>
      <c r="E23" s="34"/>
      <c r="F23" s="34"/>
      <c r="G23" s="34"/>
      <c r="H23" s="34"/>
      <c r="I23" s="34"/>
      <c r="J23" s="34"/>
      <c r="K23" s="34"/>
      <c r="L23" s="34"/>
    </row>
    <row r="24" spans="1:13" x14ac:dyDescent="0.2">
      <c r="A24" s="2">
        <f t="shared" si="1"/>
        <v>0.13946881268693595</v>
      </c>
      <c r="B24" s="151">
        <f t="shared" si="0"/>
        <v>1348.4267683156963</v>
      </c>
      <c r="E24" s="34"/>
      <c r="F24" s="34"/>
      <c r="G24" s="34"/>
      <c r="H24" s="34"/>
      <c r="I24" s="34"/>
      <c r="J24" s="34"/>
      <c r="K24" s="34"/>
      <c r="L24" s="34"/>
    </row>
    <row r="25" spans="1:13" x14ac:dyDescent="0.2">
      <c r="A25" s="2">
        <f t="shared" si="1"/>
        <v>0.14644225332128274</v>
      </c>
      <c r="B25" s="151">
        <f t="shared" si="0"/>
        <v>843.69710046041689</v>
      </c>
      <c r="E25" s="34"/>
      <c r="F25" s="34"/>
      <c r="G25" s="34"/>
      <c r="H25" s="34"/>
      <c r="I25" s="34"/>
      <c r="J25" s="34"/>
      <c r="K25" s="32"/>
      <c r="L25" s="34"/>
    </row>
    <row r="26" spans="1:13" x14ac:dyDescent="0.2">
      <c r="A26" s="2">
        <f t="shared" si="1"/>
        <v>0.15376436598734688</v>
      </c>
      <c r="B26" s="151">
        <f t="shared" si="0"/>
        <v>559.76102002698576</v>
      </c>
      <c r="E26" s="34"/>
      <c r="F26" s="34"/>
      <c r="G26" s="34"/>
      <c r="H26" s="34"/>
      <c r="I26" s="34"/>
      <c r="J26" s="34"/>
      <c r="K26" s="32"/>
      <c r="L26" s="34"/>
    </row>
    <row r="27" spans="1:13" x14ac:dyDescent="0.2">
      <c r="A27" s="2">
        <f t="shared" si="1"/>
        <v>0.16145258428671425</v>
      </c>
      <c r="B27" s="151">
        <f t="shared" si="0"/>
        <v>386.58362791028497</v>
      </c>
      <c r="E27" s="34"/>
      <c r="F27" s="34"/>
      <c r="G27" s="34"/>
      <c r="H27" s="34"/>
      <c r="I27" s="34"/>
      <c r="J27" s="32"/>
      <c r="K27" s="32"/>
      <c r="L27" s="34"/>
    </row>
    <row r="28" spans="1:13" x14ac:dyDescent="0.2">
      <c r="A28" s="2">
        <f t="shared" si="1"/>
        <v>0.16952521350104996</v>
      </c>
      <c r="B28" s="151">
        <f t="shared" si="0"/>
        <v>275.58624726769546</v>
      </c>
      <c r="E28" s="34"/>
      <c r="F28" s="34"/>
      <c r="G28" s="34"/>
      <c r="H28" s="34"/>
      <c r="I28" s="34"/>
      <c r="J28" s="34"/>
      <c r="K28" s="34"/>
      <c r="L28" s="34"/>
    </row>
    <row r="29" spans="1:13" ht="15.75" x14ac:dyDescent="0.25">
      <c r="A29" s="2">
        <f t="shared" si="1"/>
        <v>0.17800147417610246</v>
      </c>
      <c r="B29" s="151">
        <f t="shared" si="0"/>
        <v>202.15379265691067</v>
      </c>
      <c r="D29"/>
      <c r="E29"/>
      <c r="F29"/>
      <c r="G29" s="34"/>
      <c r="H29" s="34"/>
      <c r="I29" s="34"/>
      <c r="J29" s="34"/>
      <c r="K29" s="34"/>
      <c r="L29" s="34"/>
    </row>
    <row r="30" spans="1:13" ht="15.75" x14ac:dyDescent="0.25">
      <c r="A30" s="2">
        <f t="shared" si="1"/>
        <v>0.18690154788490759</v>
      </c>
      <c r="B30" s="151">
        <f t="shared" si="0"/>
        <v>152.587140093427</v>
      </c>
      <c r="D30"/>
      <c r="E30"/>
      <c r="F30"/>
      <c r="G30" s="34"/>
      <c r="H30" s="34"/>
      <c r="I30" s="34"/>
      <c r="J30" s="31"/>
      <c r="K30" s="35"/>
      <c r="L30" s="34"/>
    </row>
    <row r="31" spans="1:13" ht="15.75" x14ac:dyDescent="0.25">
      <c r="A31" s="2">
        <f t="shared" si="1"/>
        <v>0.19624662527915299</v>
      </c>
      <c r="B31" s="151">
        <f t="shared" si="0"/>
        <v>118.73062633755529</v>
      </c>
      <c r="D31"/>
      <c r="E31"/>
      <c r="F31"/>
      <c r="G31" s="34"/>
      <c r="H31" s="34"/>
      <c r="I31" s="34"/>
      <c r="J31" s="31"/>
      <c r="K31" s="35"/>
      <c r="L31" s="34"/>
    </row>
    <row r="32" spans="1:13" ht="15.75" x14ac:dyDescent="0.25">
      <c r="A32" s="2">
        <f t="shared" si="1"/>
        <v>0.20605895654311066</v>
      </c>
      <c r="B32" s="151">
        <f t="shared" si="0"/>
        <v>95.479107774686199</v>
      </c>
      <c r="D32"/>
      <c r="E32"/>
      <c r="F32"/>
      <c r="G32" s="34"/>
      <c r="H32" s="34"/>
      <c r="I32" s="34"/>
      <c r="J32" s="31"/>
      <c r="K32" s="36"/>
      <c r="L32" s="34"/>
    </row>
    <row r="33" spans="1:12" ht="15.75" x14ac:dyDescent="0.25">
      <c r="A33" s="2">
        <f t="shared" si="1"/>
        <v>0.2163619043702662</v>
      </c>
      <c r="B33" s="151">
        <f t="shared" si="0"/>
        <v>79.512659137376616</v>
      </c>
      <c r="D33"/>
      <c r="E33"/>
      <c r="F33"/>
      <c r="G33" s="34"/>
      <c r="H33" s="34"/>
      <c r="I33" s="34"/>
      <c r="J33" s="31"/>
      <c r="K33" s="35"/>
      <c r="L33" s="34"/>
    </row>
    <row r="34" spans="1:12" ht="15.75" x14ac:dyDescent="0.25">
      <c r="A34" s="2">
        <f t="shared" si="1"/>
        <v>0.22717999958877952</v>
      </c>
      <c r="B34" s="151">
        <f t="shared" si="0"/>
        <v>68.607881467236879</v>
      </c>
      <c r="D34"/>
      <c r="E34"/>
      <c r="F34"/>
      <c r="G34" s="34"/>
      <c r="H34" s="34"/>
      <c r="I34" s="34"/>
      <c r="J34" s="34"/>
      <c r="K34" s="34"/>
      <c r="L34" s="34"/>
    </row>
    <row r="35" spans="1:12" ht="15.75" x14ac:dyDescent="0.25">
      <c r="A35" s="2">
        <f t="shared" ref="A35:A45" si="2">A34*1.02</f>
        <v>0.23172359958055511</v>
      </c>
      <c r="B35" s="151">
        <f t="shared" si="0"/>
        <v>65.259894926199848</v>
      </c>
      <c r="D35"/>
      <c r="E35"/>
      <c r="F35"/>
      <c r="G35" s="34"/>
      <c r="H35" s="34"/>
      <c r="I35" s="34"/>
      <c r="J35" s="34"/>
      <c r="K35" s="34"/>
      <c r="L35" s="34"/>
    </row>
    <row r="36" spans="1:12" ht="15.75" x14ac:dyDescent="0.25">
      <c r="A36" s="2">
        <f t="shared" si="2"/>
        <v>0.23635807157216621</v>
      </c>
      <c r="B36" s="151">
        <f t="shared" si="0"/>
        <v>62.411869902535251</v>
      </c>
      <c r="D36"/>
      <c r="E36"/>
      <c r="F36"/>
      <c r="G36" s="34"/>
    </row>
    <row r="37" spans="1:12" ht="15.75" x14ac:dyDescent="0.25">
      <c r="A37" s="2">
        <f t="shared" si="2"/>
        <v>0.24108523300360954</v>
      </c>
      <c r="B37" s="151">
        <f t="shared" si="0"/>
        <v>59.996433251859273</v>
      </c>
      <c r="D37"/>
      <c r="E37"/>
      <c r="F37"/>
    </row>
    <row r="38" spans="1:12" ht="15.75" x14ac:dyDescent="0.25">
      <c r="A38" s="2">
        <f t="shared" si="2"/>
        <v>0.24590693766368174</v>
      </c>
      <c r="B38" s="151">
        <f t="shared" si="0"/>
        <v>57.955094840277887</v>
      </c>
      <c r="D38"/>
      <c r="E38"/>
      <c r="F38"/>
    </row>
    <row r="39" spans="1:12" ht="15.75" x14ac:dyDescent="0.25">
      <c r="A39" s="2">
        <f t="shared" si="2"/>
        <v>0.25082507641695539</v>
      </c>
      <c r="B39" s="151">
        <f t="shared" si="0"/>
        <v>56.23698593664583</v>
      </c>
      <c r="D39"/>
      <c r="E39"/>
      <c r="F39"/>
    </row>
    <row r="40" spans="1:12" x14ac:dyDescent="0.2">
      <c r="A40" s="2">
        <f t="shared" si="2"/>
        <v>0.2558415779452945</v>
      </c>
      <c r="B40" s="151">
        <f t="shared" si="0"/>
        <v>54.797797817839779</v>
      </c>
    </row>
    <row r="41" spans="1:12" x14ac:dyDescent="0.2">
      <c r="A41" s="2">
        <f t="shared" si="2"/>
        <v>0.26095840950420041</v>
      </c>
      <c r="B41" s="151">
        <f t="shared" si="0"/>
        <v>53.598884962328633</v>
      </c>
    </row>
    <row r="42" spans="1:12" x14ac:dyDescent="0.2">
      <c r="A42" s="2">
        <f t="shared" si="2"/>
        <v>0.26617757769428441</v>
      </c>
      <c r="B42" s="151">
        <f t="shared" si="0"/>
        <v>52.606504246405969</v>
      </c>
    </row>
    <row r="43" spans="1:12" x14ac:dyDescent="0.2">
      <c r="A43" s="2">
        <f t="shared" si="2"/>
        <v>0.2715011292481701</v>
      </c>
      <c r="B43" s="151">
        <f t="shared" si="0"/>
        <v>51.791167070845916</v>
      </c>
    </row>
    <row r="44" spans="1:12" x14ac:dyDescent="0.2">
      <c r="A44" s="2">
        <f t="shared" si="2"/>
        <v>0.27693115183313349</v>
      </c>
      <c r="B44" s="151">
        <f t="shared" si="0"/>
        <v>51.127085692158396</v>
      </c>
    </row>
    <row r="45" spans="1:12" x14ac:dyDescent="0.2">
      <c r="A45" s="2">
        <f t="shared" si="2"/>
        <v>0.28246977486979619</v>
      </c>
      <c r="B45" s="151">
        <f t="shared" si="0"/>
        <v>50.591698480152154</v>
      </c>
    </row>
    <row r="46" spans="1:12" x14ac:dyDescent="0.2">
      <c r="A46" s="2">
        <f t="shared" ref="A46:A77" si="3">A45*1.05</f>
        <v>0.29659326361328603</v>
      </c>
      <c r="B46" s="151">
        <f t="shared" si="0"/>
        <v>49.702057027211595</v>
      </c>
    </row>
    <row r="47" spans="1:12" x14ac:dyDescent="0.2">
      <c r="A47" s="2">
        <f t="shared" si="3"/>
        <v>0.31142292679395034</v>
      </c>
      <c r="B47" s="151">
        <f t="shared" si="0"/>
        <v>49.243151696985585</v>
      </c>
    </row>
    <row r="48" spans="1:12" x14ac:dyDescent="0.2">
      <c r="A48" s="2">
        <f t="shared" si="3"/>
        <v>0.32699407313364787</v>
      </c>
      <c r="B48" s="151">
        <f t="shared" si="0"/>
        <v>49.044830756866652</v>
      </c>
    </row>
    <row r="49" spans="1:2" x14ac:dyDescent="0.2">
      <c r="A49" s="2">
        <f t="shared" si="3"/>
        <v>0.34334377679033029</v>
      </c>
      <c r="B49" s="151">
        <f t="shared" si="0"/>
        <v>48.985668385598366</v>
      </c>
    </row>
    <row r="50" spans="1:2" x14ac:dyDescent="0.2">
      <c r="A50" s="2">
        <f t="shared" si="3"/>
        <v>0.3605109656298468</v>
      </c>
      <c r="B50" s="151">
        <f t="shared" si="0"/>
        <v>48.979970784164308</v>
      </c>
    </row>
    <row r="51" spans="1:2" x14ac:dyDescent="0.2">
      <c r="A51" s="2">
        <f t="shared" si="3"/>
        <v>0.37853651391133913</v>
      </c>
      <c r="B51" s="151">
        <f t="shared" si="0"/>
        <v>48.968339260025132</v>
      </c>
    </row>
    <row r="52" spans="1:2" x14ac:dyDescent="0.2">
      <c r="A52" s="2">
        <f t="shared" si="3"/>
        <v>0.39746333960690611</v>
      </c>
      <c r="B52" s="151">
        <f t="shared" si="0"/>
        <v>48.910751888851316</v>
      </c>
    </row>
    <row r="53" spans="1:2" x14ac:dyDescent="0.2">
      <c r="A53" s="2">
        <f t="shared" si="3"/>
        <v>0.41733650658725141</v>
      </c>
      <c r="B53" s="151">
        <f t="shared" si="0"/>
        <v>48.781452086492067</v>
      </c>
    </row>
    <row r="54" spans="1:2" x14ac:dyDescent="0.2">
      <c r="A54" s="2">
        <f t="shared" si="3"/>
        <v>0.43820333191661398</v>
      </c>
      <c r="B54" s="151">
        <f t="shared" si="0"/>
        <v>48.56514856755939</v>
      </c>
    </row>
    <row r="55" spans="1:2" x14ac:dyDescent="0.2">
      <c r="A55" s="2">
        <f t="shared" si="3"/>
        <v>0.46011349851244471</v>
      </c>
      <c r="B55" s="151">
        <f t="shared" si="0"/>
        <v>48.254176726280967</v>
      </c>
    </row>
    <row r="56" spans="1:2" x14ac:dyDescent="0.2">
      <c r="A56" s="2">
        <f t="shared" si="3"/>
        <v>0.48311917343806698</v>
      </c>
      <c r="B56" s="151">
        <f t="shared" si="0"/>
        <v>47.846371099429831</v>
      </c>
    </row>
    <row r="57" spans="1:2" x14ac:dyDescent="0.2">
      <c r="A57" s="2">
        <f t="shared" si="3"/>
        <v>0.50727513210997033</v>
      </c>
      <c r="B57" s="151">
        <f t="shared" si="0"/>
        <v>47.343467767511832</v>
      </c>
    </row>
    <row r="58" spans="1:2" x14ac:dyDescent="0.2">
      <c r="A58" s="2">
        <f t="shared" si="3"/>
        <v>0.53263888871546883</v>
      </c>
      <c r="B58" s="151">
        <f t="shared" si="0"/>
        <v>46.749904261761841</v>
      </c>
    </row>
    <row r="59" spans="1:2" x14ac:dyDescent="0.2">
      <c r="A59" s="2">
        <f t="shared" si="3"/>
        <v>0.55927083315124226</v>
      </c>
      <c r="B59" s="151">
        <f t="shared" si="0"/>
        <v>46.071919257890734</v>
      </c>
    </row>
    <row r="60" spans="1:2" x14ac:dyDescent="0.2">
      <c r="A60" s="2">
        <f t="shared" si="3"/>
        <v>0.58723437480880436</v>
      </c>
      <c r="B60" s="151">
        <f t="shared" si="0"/>
        <v>45.31687935379221</v>
      </c>
    </row>
    <row r="61" spans="1:2" x14ac:dyDescent="0.2">
      <c r="A61" s="2">
        <f t="shared" si="3"/>
        <v>0.61659609354924461</v>
      </c>
      <c r="B61" s="151">
        <f t="shared" si="0"/>
        <v>44.492778441644447</v>
      </c>
    </row>
    <row r="62" spans="1:2" x14ac:dyDescent="0.2">
      <c r="A62" s="2">
        <f t="shared" si="3"/>
        <v>0.64742589822670682</v>
      </c>
      <c r="B62" s="151">
        <f t="shared" si="0"/>
        <v>43.607868569413512</v>
      </c>
    </row>
    <row r="63" spans="1:2" x14ac:dyDescent="0.2">
      <c r="A63" s="2">
        <f t="shared" si="3"/>
        <v>0.67979719313804221</v>
      </c>
      <c r="B63" s="151">
        <f t="shared" si="0"/>
        <v>42.670391106947029</v>
      </c>
    </row>
    <row r="64" spans="1:2" x14ac:dyDescent="0.2">
      <c r="A64" s="2">
        <f t="shared" si="3"/>
        <v>0.71378705279494437</v>
      </c>
      <c r="B64" s="151">
        <f t="shared" si="0"/>
        <v>41.688384441563031</v>
      </c>
    </row>
    <row r="65" spans="1:2" x14ac:dyDescent="0.2">
      <c r="A65" s="2">
        <f t="shared" si="3"/>
        <v>0.74947640543469163</v>
      </c>
      <c r="B65" s="151">
        <f t="shared" si="0"/>
        <v>40.669550001706298</v>
      </c>
    </row>
    <row r="66" spans="1:2" x14ac:dyDescent="0.2">
      <c r="A66" s="2">
        <f t="shared" si="3"/>
        <v>0.78695022570642625</v>
      </c>
      <c r="B66" s="151">
        <f t="shared" si="0"/>
        <v>39.62116262661138</v>
      </c>
    </row>
    <row r="67" spans="1:2" x14ac:dyDescent="0.2">
      <c r="A67" s="2">
        <f t="shared" si="3"/>
        <v>0.82629773699174758</v>
      </c>
      <c r="B67" s="151">
        <f t="shared" si="0"/>
        <v>38.55001451241624</v>
      </c>
    </row>
    <row r="68" spans="1:2" x14ac:dyDescent="0.2">
      <c r="A68" s="2">
        <f t="shared" si="3"/>
        <v>0.86761262384133497</v>
      </c>
      <c r="B68" s="151">
        <f t="shared" si="0"/>
        <v>37.462384423656701</v>
      </c>
    </row>
    <row r="69" spans="1:2" x14ac:dyDescent="0.2">
      <c r="A69" s="2">
        <f t="shared" si="3"/>
        <v>0.91099325503340178</v>
      </c>
      <c r="B69" s="151">
        <f t="shared" si="0"/>
        <v>36.364025749081684</v>
      </c>
    </row>
    <row r="70" spans="1:2" x14ac:dyDescent="0.2">
      <c r="A70" s="2">
        <f t="shared" si="3"/>
        <v>0.95654291778507194</v>
      </c>
      <c r="B70" s="151">
        <f t="shared" si="0"/>
        <v>35.260168439499232</v>
      </c>
    </row>
    <row r="71" spans="1:2" x14ac:dyDescent="0.2">
      <c r="A71" s="2">
        <f t="shared" si="3"/>
        <v>1.0043700636743256</v>
      </c>
      <c r="B71" s="151">
        <f t="shared" si="0"/>
        <v>34.155530995137262</v>
      </c>
    </row>
    <row r="72" spans="1:2" x14ac:dyDescent="0.2">
      <c r="A72" s="2">
        <f t="shared" si="3"/>
        <v>1.0545885668580419</v>
      </c>
      <c r="B72" s="151">
        <f t="shared" si="0"/>
        <v>33.054339547484744</v>
      </c>
    </row>
    <row r="73" spans="1:2" x14ac:dyDescent="0.2">
      <c r="A73" s="2">
        <f t="shared" si="3"/>
        <v>1.107317995200944</v>
      </c>
      <c r="B73" s="151">
        <f t="shared" si="0"/>
        <v>31.960351763672293</v>
      </c>
    </row>
    <row r="74" spans="1:2" x14ac:dyDescent="0.2">
      <c r="A74" s="2">
        <f t="shared" si="3"/>
        <v>1.1626838949609912</v>
      </c>
      <c r="B74" s="151">
        <f t="shared" si="0"/>
        <v>30.876883834135132</v>
      </c>
    </row>
    <row r="75" spans="1:2" x14ac:dyDescent="0.2">
      <c r="A75" s="2">
        <f t="shared" si="3"/>
        <v>1.2208180897090408</v>
      </c>
      <c r="B75" s="151">
        <f t="shared" si="0"/>
        <v>29.806839220158437</v>
      </c>
    </row>
    <row r="76" spans="1:2" x14ac:dyDescent="0.2">
      <c r="A76" s="2">
        <f t="shared" si="3"/>
        <v>1.2818589941944929</v>
      </c>
      <c r="B76" s="151">
        <f t="shared" si="0"/>
        <v>28.752738162713577</v>
      </c>
    </row>
    <row r="77" spans="1:2" x14ac:dyDescent="0.2">
      <c r="A77" s="2">
        <f t="shared" si="3"/>
        <v>1.3459519439042176</v>
      </c>
      <c r="B77" s="151">
        <f t="shared" si="0"/>
        <v>27.716747207633954</v>
      </c>
    </row>
    <row r="78" spans="1:2" x14ac:dyDescent="0.2">
      <c r="A78" s="2">
        <f t="shared" ref="A78:A116" si="4">A77*1.05</f>
        <v>1.4132495410994286</v>
      </c>
      <c r="B78" s="151">
        <f t="shared" si="0"/>
        <v>26.700708200051285</v>
      </c>
    </row>
    <row r="79" spans="1:2" x14ac:dyDescent="0.2">
      <c r="A79" s="2">
        <f t="shared" si="4"/>
        <v>1.4839120181544001</v>
      </c>
      <c r="B79" s="151">
        <f t="shared" si="0"/>
        <v>25.706166355092911</v>
      </c>
    </row>
    <row r="80" spans="1:2" x14ac:dyDescent="0.2">
      <c r="A80" s="2">
        <f t="shared" si="4"/>
        <v>1.5581076190621201</v>
      </c>
      <c r="B80" s="151">
        <f t="shared" si="0"/>
        <v>24.734397131477291</v>
      </c>
    </row>
    <row r="81" spans="1:2" x14ac:dyDescent="0.2">
      <c r="A81" s="2">
        <f t="shared" si="4"/>
        <v>1.6360130000152262</v>
      </c>
      <c r="B81" s="151">
        <f t="shared" si="0"/>
        <v>23.78643172715876</v>
      </c>
    </row>
    <row r="82" spans="1:2" x14ac:dyDescent="0.2">
      <c r="A82" s="2">
        <f t="shared" si="4"/>
        <v>1.7178136500159875</v>
      </c>
      <c r="B82" s="151">
        <f t="shared" si="0"/>
        <v>22.863081087315422</v>
      </c>
    </row>
    <row r="83" spans="1:2" x14ac:dyDescent="0.2">
      <c r="A83" s="2">
        <f t="shared" si="4"/>
        <v>1.803704332516787</v>
      </c>
      <c r="B83" s="151">
        <f t="shared" si="0"/>
        <v>21.964958369273756</v>
      </c>
    </row>
    <row r="84" spans="1:2" x14ac:dyDescent="0.2">
      <c r="A84" s="2">
        <f t="shared" si="4"/>
        <v>1.8938895491426264</v>
      </c>
      <c r="B84" s="151">
        <f t="shared" si="0"/>
        <v>21.092499849996472</v>
      </c>
    </row>
    <row r="85" spans="1:2" x14ac:dyDescent="0.2">
      <c r="A85" s="2">
        <f t="shared" si="4"/>
        <v>1.9885840265997579</v>
      </c>
      <c r="B85" s="151">
        <f t="shared" ref="B85:B116" si="5">(($B$10*$I$1/(A85-$B$14))-($B$13/(A85+$B$19)^2))/100</f>
        <v>20.245984292352524</v>
      </c>
    </row>
    <row r="86" spans="1:2" x14ac:dyDescent="0.2">
      <c r="A86" s="2">
        <f t="shared" si="4"/>
        <v>2.0880132279297459</v>
      </c>
      <c r="B86" s="151">
        <f t="shared" si="5"/>
        <v>19.42555080878067</v>
      </c>
    </row>
    <row r="87" spans="1:2" x14ac:dyDescent="0.2">
      <c r="A87" s="2">
        <f t="shared" si="4"/>
        <v>2.1924138893262333</v>
      </c>
      <c r="B87" s="151">
        <f t="shared" si="5"/>
        <v>18.631215276926643</v>
      </c>
    </row>
    <row r="88" spans="1:2" x14ac:dyDescent="0.2">
      <c r="A88" s="2">
        <f t="shared" si="4"/>
        <v>2.3020345837925449</v>
      </c>
      <c r="B88" s="151">
        <f t="shared" si="5"/>
        <v>17.862885372789094</v>
      </c>
    </row>
    <row r="89" spans="1:2" x14ac:dyDescent="0.2">
      <c r="A89" s="2">
        <f t="shared" si="4"/>
        <v>2.4171363129821724</v>
      </c>
      <c r="B89" s="151">
        <f t="shared" si="5"/>
        <v>17.120374293970457</v>
      </c>
    </row>
    <row r="90" spans="1:2" x14ac:dyDescent="0.2">
      <c r="A90" s="2">
        <f t="shared" si="4"/>
        <v>2.5379931286312809</v>
      </c>
      <c r="B90" s="151">
        <f t="shared" si="5"/>
        <v>16.403413249685329</v>
      </c>
    </row>
    <row r="91" spans="1:2" x14ac:dyDescent="0.2">
      <c r="A91" s="2">
        <f t="shared" si="4"/>
        <v>2.664892785062845</v>
      </c>
      <c r="B91" s="151">
        <f t="shared" si="5"/>
        <v>15.711662795936554</v>
      </c>
    </row>
    <row r="92" spans="1:2" x14ac:dyDescent="0.2">
      <c r="A92" s="2">
        <f t="shared" si="4"/>
        <v>2.7981374243159873</v>
      </c>
      <c r="B92" s="151">
        <f t="shared" si="5"/>
        <v>15.044723094287157</v>
      </c>
    </row>
    <row r="93" spans="1:2" x14ac:dyDescent="0.2">
      <c r="A93" s="2">
        <f t="shared" si="4"/>
        <v>2.9380442955317867</v>
      </c>
      <c r="B93" s="151">
        <f t="shared" si="5"/>
        <v>14.402143171378052</v>
      </c>
    </row>
    <row r="94" spans="1:2" x14ac:dyDescent="0.2">
      <c r="A94" s="2">
        <f t="shared" si="4"/>
        <v>3.084946510308376</v>
      </c>
      <c r="B94" s="151">
        <f t="shared" si="5"/>
        <v>13.783429254116307</v>
      </c>
    </row>
    <row r="95" spans="1:2" x14ac:dyDescent="0.2">
      <c r="A95" s="2">
        <f t="shared" si="4"/>
        <v>3.2391938358237948</v>
      </c>
      <c r="B95" s="151">
        <f t="shared" si="5"/>
        <v>13.188052252562347</v>
      </c>
    </row>
    <row r="96" spans="1:2" x14ac:dyDescent="0.2">
      <c r="A96" s="2">
        <f t="shared" si="4"/>
        <v>3.4011535276149849</v>
      </c>
      <c r="B96" s="151">
        <f t="shared" si="5"/>
        <v>12.615454459192451</v>
      </c>
    </row>
    <row r="97" spans="1:2" x14ac:dyDescent="0.2">
      <c r="A97" s="2">
        <f t="shared" si="4"/>
        <v>3.5712112039957344</v>
      </c>
      <c r="B97" s="151">
        <f t="shared" si="5"/>
        <v>12.065055529573224</v>
      </c>
    </row>
    <row r="98" spans="1:2" x14ac:dyDescent="0.2">
      <c r="A98" s="2">
        <f t="shared" si="4"/>
        <v>3.7497717641955215</v>
      </c>
      <c r="B98" s="151">
        <f t="shared" si="5"/>
        <v>11.536257805688177</v>
      </c>
    </row>
    <row r="99" spans="1:2" x14ac:dyDescent="0.2">
      <c r="A99" s="2">
        <f t="shared" si="4"/>
        <v>3.9372603524052976</v>
      </c>
      <c r="B99" s="151">
        <f t="shared" si="5"/>
        <v>11.028451039302329</v>
      </c>
    </row>
    <row r="100" spans="1:2" x14ac:dyDescent="0.2">
      <c r="A100" s="2">
        <f t="shared" si="4"/>
        <v>4.1341233700255628</v>
      </c>
      <c r="B100" s="151">
        <f t="shared" si="5"/>
        <v>10.541016568914888</v>
      </c>
    </row>
    <row r="101" spans="1:2" x14ac:dyDescent="0.2">
      <c r="A101" s="2">
        <f t="shared" si="4"/>
        <v>4.3408295385268412</v>
      </c>
      <c r="B101" s="151">
        <f t="shared" si="5"/>
        <v>10.073331000088968</v>
      </c>
    </row>
    <row r="102" spans="1:2" x14ac:dyDescent="0.2">
      <c r="A102" s="2">
        <f t="shared" si="4"/>
        <v>4.5578710154531832</v>
      </c>
      <c r="B102" s="151">
        <f t="shared" si="5"/>
        <v>9.6247694353019817</v>
      </c>
    </row>
    <row r="103" spans="1:2" x14ac:dyDescent="0.2">
      <c r="A103" s="2">
        <f t="shared" si="4"/>
        <v>4.7857645662258426</v>
      </c>
      <c r="B103" s="151">
        <f t="shared" si="5"/>
        <v>9.1947082959601669</v>
      </c>
    </row>
    <row r="104" spans="1:2" x14ac:dyDescent="0.2">
      <c r="A104" s="2">
        <f t="shared" si="4"/>
        <v>5.0250527945371353</v>
      </c>
      <c r="B104" s="151">
        <f t="shared" si="5"/>
        <v>8.7825277758849989</v>
      </c>
    </row>
    <row r="105" spans="1:2" x14ac:dyDescent="0.2">
      <c r="A105" s="2">
        <f t="shared" si="4"/>
        <v>5.2763054342639926</v>
      </c>
      <c r="B105" s="151">
        <f t="shared" si="5"/>
        <v>8.3876139624204491</v>
      </c>
    </row>
    <row r="106" spans="1:2" x14ac:dyDescent="0.2">
      <c r="A106" s="2">
        <f t="shared" si="4"/>
        <v>5.5401207059771922</v>
      </c>
      <c r="B106" s="151">
        <f t="shared" si="5"/>
        <v>8.0093606583345895</v>
      </c>
    </row>
    <row r="107" spans="1:2" x14ac:dyDescent="0.2">
      <c r="A107" s="2">
        <f t="shared" si="4"/>
        <v>5.8171267412760521</v>
      </c>
      <c r="B107" s="151">
        <f t="shared" si="5"/>
        <v>7.6471709348987567</v>
      </c>
    </row>
    <row r="108" spans="1:2" x14ac:dyDescent="0.2">
      <c r="A108" s="2">
        <f t="shared" si="4"/>
        <v>6.1079830783398545</v>
      </c>
      <c r="B108" s="151">
        <f t="shared" si="5"/>
        <v>7.3004584439213325</v>
      </c>
    </row>
    <row r="109" spans="1:2" x14ac:dyDescent="0.2">
      <c r="A109" s="2">
        <f t="shared" si="4"/>
        <v>6.4133822322568479</v>
      </c>
      <c r="B109" s="151">
        <f t="shared" si="5"/>
        <v>6.9686485140869259</v>
      </c>
    </row>
    <row r="110" spans="1:2" x14ac:dyDescent="0.2">
      <c r="A110" s="2">
        <f t="shared" si="4"/>
        <v>6.734051343869691</v>
      </c>
      <c r="B110" s="151">
        <f t="shared" si="5"/>
        <v>6.6511790547001235</v>
      </c>
    </row>
    <row r="111" spans="1:2" x14ac:dyDescent="0.2">
      <c r="A111" s="2">
        <f t="shared" si="4"/>
        <v>7.0707539110631759</v>
      </c>
      <c r="B111" s="151">
        <f t="shared" si="5"/>
        <v>6.3475012878485551</v>
      </c>
    </row>
    <row r="112" spans="1:2" x14ac:dyDescent="0.2">
      <c r="A112" s="2">
        <f t="shared" si="4"/>
        <v>7.4242916066163351</v>
      </c>
      <c r="B112" s="151">
        <f t="shared" si="5"/>
        <v>6.0570803280752488</v>
      </c>
    </row>
    <row r="113" spans="1:2" x14ac:dyDescent="0.2">
      <c r="A113" s="2">
        <f t="shared" si="4"/>
        <v>7.7955061869471525</v>
      </c>
      <c r="B113" s="151">
        <f t="shared" si="5"/>
        <v>5.7793956268766475</v>
      </c>
    </row>
    <row r="114" spans="1:2" x14ac:dyDescent="0.2">
      <c r="A114" s="2">
        <f t="shared" si="4"/>
        <v>8.1852814962945111</v>
      </c>
      <c r="B114" s="151">
        <f t="shared" si="5"/>
        <v>5.5139412977113889</v>
      </c>
    </row>
    <row r="115" spans="1:2" x14ac:dyDescent="0.2">
      <c r="A115" s="2">
        <f t="shared" si="4"/>
        <v>8.5945455711092364</v>
      </c>
      <c r="B115" s="151">
        <f t="shared" si="5"/>
        <v>5.2602263357074692</v>
      </c>
    </row>
    <row r="116" spans="1:2" x14ac:dyDescent="0.2">
      <c r="A116" s="2">
        <f t="shared" si="4"/>
        <v>9.0242728496646993</v>
      </c>
      <c r="B116" s="151">
        <f t="shared" si="5"/>
        <v>5.0177747448828836</v>
      </c>
    </row>
  </sheetData>
  <phoneticPr fontId="3" type="noConversion"/>
  <pageMargins left="0.75" right="0.75" top="1" bottom="1" header="0.5" footer="0.5"/>
  <headerFooter alignWithMargins="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N141"/>
  <sheetViews>
    <sheetView zoomScale="75" workbookViewId="0">
      <selection activeCell="B14" sqref="B14"/>
    </sheetView>
  </sheetViews>
  <sheetFormatPr defaultColWidth="8" defaultRowHeight="12.75" x14ac:dyDescent="0.2"/>
  <cols>
    <col min="1" max="1" width="8" style="2"/>
    <col min="2" max="2" width="9.75" style="2" customWidth="1"/>
    <col min="3" max="16384" width="8" style="2"/>
  </cols>
  <sheetData>
    <row r="1" spans="1:14" ht="18" x14ac:dyDescent="0.25">
      <c r="A1" s="1" t="str">
        <f>' T = Tb'!A1</f>
        <v>Benzene</v>
      </c>
      <c r="E1" s="2" t="s">
        <v>0</v>
      </c>
      <c r="F1" s="2">
        <v>1</v>
      </c>
      <c r="H1" s="3" t="s">
        <v>1</v>
      </c>
      <c r="I1" s="2">
        <f>1.5*B3</f>
        <v>843.24</v>
      </c>
      <c r="J1" s="2" t="s">
        <v>2</v>
      </c>
    </row>
    <row r="2" spans="1:14" x14ac:dyDescent="0.2">
      <c r="A2" s="4" t="s">
        <v>15</v>
      </c>
      <c r="B2" s="5">
        <f>' T = Tb'!B2</f>
        <v>78.114000000000004</v>
      </c>
      <c r="C2" s="2" t="s">
        <v>3</v>
      </c>
      <c r="E2" s="4"/>
      <c r="H2" s="3"/>
      <c r="M2" s="4"/>
    </row>
    <row r="3" spans="1:14" ht="15.75" x14ac:dyDescent="0.3">
      <c r="A3" s="4" t="s">
        <v>17</v>
      </c>
      <c r="B3" s="5">
        <f>' T = Tb'!B3</f>
        <v>562.16</v>
      </c>
      <c r="C3" s="2" t="s">
        <v>2</v>
      </c>
      <c r="E3" s="4"/>
      <c r="H3" s="3"/>
      <c r="M3" s="4"/>
    </row>
    <row r="4" spans="1:14" ht="15.75" x14ac:dyDescent="0.3">
      <c r="A4" s="4" t="s">
        <v>18</v>
      </c>
      <c r="B4" s="5">
        <f>' T = Tb'!B4</f>
        <v>48.98</v>
      </c>
      <c r="C4" s="2" t="s">
        <v>7</v>
      </c>
      <c r="E4" s="4"/>
      <c r="H4" s="3"/>
      <c r="M4" s="4"/>
      <c r="N4" s="6"/>
    </row>
    <row r="5" spans="1:14" ht="15.75" x14ac:dyDescent="0.3">
      <c r="A5" s="4" t="s">
        <v>18</v>
      </c>
      <c r="B5" s="5">
        <f>' T = Tb'!B5</f>
        <v>4898</v>
      </c>
      <c r="C5" s="2" t="s">
        <v>9</v>
      </c>
      <c r="E5" s="4"/>
      <c r="H5" s="4"/>
      <c r="M5" s="4"/>
      <c r="N5" s="6"/>
    </row>
    <row r="6" spans="1:14" ht="15.75" x14ac:dyDescent="0.3">
      <c r="A6" s="4" t="s">
        <v>19</v>
      </c>
      <c r="B6" s="5">
        <f>' T = Tb'!B6</f>
        <v>256</v>
      </c>
      <c r="C6" s="2" t="s">
        <v>20</v>
      </c>
      <c r="E6" s="4"/>
      <c r="G6" s="7"/>
    </row>
    <row r="7" spans="1:14" ht="15.75" x14ac:dyDescent="0.3">
      <c r="A7" s="4" t="s">
        <v>19</v>
      </c>
      <c r="B7" s="5">
        <f>' T = Tb'!B7</f>
        <v>0.25600000000000001</v>
      </c>
      <c r="C7" s="8" t="s">
        <v>23</v>
      </c>
      <c r="D7" s="2">
        <f>B8*B10*B3/B5</f>
        <v>0.25574821648607599</v>
      </c>
      <c r="E7" s="4"/>
      <c r="G7" s="7"/>
    </row>
    <row r="8" spans="1:14" ht="15.75" x14ac:dyDescent="0.3">
      <c r="A8" s="4" t="s">
        <v>26</v>
      </c>
      <c r="B8" s="5">
        <f>' T = Tb'!B8</f>
        <v>0.26800000000000002</v>
      </c>
      <c r="E8" s="4"/>
      <c r="G8" s="7"/>
    </row>
    <row r="9" spans="1:14" x14ac:dyDescent="0.2">
      <c r="A9" s="9" t="s">
        <v>29</v>
      </c>
      <c r="B9" s="5">
        <f>' T = Tb'!B9</f>
        <v>0.21</v>
      </c>
      <c r="E9" s="4"/>
      <c r="K9" s="4"/>
    </row>
    <row r="10" spans="1:14" ht="18" x14ac:dyDescent="0.25">
      <c r="A10" s="2" t="s">
        <v>11</v>
      </c>
      <c r="B10" s="2">
        <v>8.3145100000000003</v>
      </c>
      <c r="C10" s="2" t="s">
        <v>12</v>
      </c>
      <c r="H10" s="1"/>
    </row>
    <row r="11" spans="1:14" x14ac:dyDescent="0.2">
      <c r="A11" s="10" t="s">
        <v>13</v>
      </c>
      <c r="K11" s="11"/>
    </row>
    <row r="12" spans="1:14" ht="18" x14ac:dyDescent="0.25">
      <c r="A12" s="13" t="s">
        <v>31</v>
      </c>
      <c r="B12" s="14">
        <f>27/64*(B10*B3)^2/B5</f>
        <v>1881.7339064250737</v>
      </c>
      <c r="C12" s="15"/>
      <c r="E12" s="16"/>
      <c r="H12" s="4"/>
      <c r="I12" s="17"/>
      <c r="J12" s="17"/>
      <c r="K12" s="6"/>
    </row>
    <row r="13" spans="1:14" ht="18" x14ac:dyDescent="0.25">
      <c r="A13" s="13" t="s">
        <v>33</v>
      </c>
      <c r="B13" s="133">
        <f>'a = a(T)'!K48</f>
        <v>1221.9728579684768</v>
      </c>
      <c r="C13" s="12"/>
      <c r="E13" s="20"/>
      <c r="F13" s="21"/>
      <c r="H13" s="4"/>
      <c r="I13" s="17"/>
      <c r="J13" s="17"/>
      <c r="K13" s="6"/>
      <c r="L13" s="26"/>
    </row>
    <row r="14" spans="1:14" ht="13.5" x14ac:dyDescent="0.25">
      <c r="A14" s="154" t="s">
        <v>35</v>
      </c>
      <c r="B14" s="262">
        <f>B10*B3/8/B5</f>
        <v>0.11928554873417722</v>
      </c>
      <c r="C14" s="8"/>
      <c r="H14" s="4"/>
      <c r="I14" s="17"/>
      <c r="J14" s="17"/>
      <c r="K14" s="6"/>
      <c r="L14" s="26"/>
      <c r="N14" s="4"/>
    </row>
    <row r="15" spans="1:14" ht="15.75" x14ac:dyDescent="0.25">
      <c r="A15" s="22" t="s">
        <v>37</v>
      </c>
      <c r="B15" s="23">
        <v>0.1575</v>
      </c>
      <c r="C15" s="7"/>
      <c r="D15" s="24"/>
      <c r="E15" s="39"/>
      <c r="K15" s="4"/>
      <c r="L15" s="26"/>
    </row>
    <row r="16" spans="1:14" ht="15.75" x14ac:dyDescent="0.25">
      <c r="A16" s="22" t="s">
        <v>39</v>
      </c>
      <c r="B16" s="23">
        <v>0</v>
      </c>
      <c r="C16" s="12"/>
      <c r="D16" s="24"/>
      <c r="E16" s="39"/>
      <c r="L16" s="26"/>
    </row>
    <row r="17" spans="1:13" ht="15.75" x14ac:dyDescent="0.25">
      <c r="A17" s="27" t="s">
        <v>41</v>
      </c>
      <c r="B17" s="40"/>
      <c r="D17" s="24"/>
      <c r="E17" s="44"/>
      <c r="H17" s="12"/>
      <c r="I17" s="4"/>
      <c r="J17" s="17"/>
      <c r="L17" s="25"/>
    </row>
    <row r="18" spans="1:13" ht="15.75" x14ac:dyDescent="0.25">
      <c r="A18" s="22" t="s">
        <v>43</v>
      </c>
      <c r="B18" s="26">
        <f>-I12-B15-B16</f>
        <v>-0.1575</v>
      </c>
      <c r="C18" s="4"/>
      <c r="D18" s="4"/>
      <c r="E18" s="29"/>
      <c r="H18" s="12"/>
      <c r="I18" s="4"/>
      <c r="J18" s="17"/>
      <c r="L18" s="25"/>
    </row>
    <row r="19" spans="1:13" x14ac:dyDescent="0.2">
      <c r="A19" s="149" t="s">
        <v>132</v>
      </c>
      <c r="B19" s="150">
        <f>(((3*B7/(8*B8))-B7))</f>
        <v>0.10220895522388057</v>
      </c>
      <c r="C19" s="15"/>
      <c r="E19" s="31"/>
      <c r="F19" s="34"/>
      <c r="G19" s="31"/>
      <c r="H19" s="42"/>
      <c r="I19" s="31"/>
      <c r="J19" s="32"/>
      <c r="K19" s="34"/>
      <c r="L19" s="45"/>
      <c r="M19" s="34"/>
    </row>
    <row r="20" spans="1:13" x14ac:dyDescent="0.2">
      <c r="A20" s="5" t="s">
        <v>44</v>
      </c>
      <c r="B20" s="5" t="s">
        <v>45</v>
      </c>
      <c r="C20" s="158" t="s">
        <v>155</v>
      </c>
      <c r="E20" s="31"/>
      <c r="F20" s="34"/>
      <c r="G20" s="34"/>
      <c r="H20" s="34"/>
      <c r="I20" s="31"/>
      <c r="J20" s="32"/>
      <c r="K20" s="33"/>
      <c r="L20" s="34"/>
    </row>
    <row r="21" spans="1:13" x14ac:dyDescent="0.2">
      <c r="A21" s="2">
        <v>0.02</v>
      </c>
      <c r="B21" s="155">
        <f>(($B$10*$I$1/(A21-$B$14))-($B$13/(A21+$B$19)^2))/100</f>
        <v>-1524.350400608465</v>
      </c>
      <c r="C21" s="2">
        <f>$B$10*$B$3*1.5/A21/100</f>
        <v>3505.5637062000001</v>
      </c>
      <c r="E21" s="31"/>
      <c r="F21" s="34"/>
      <c r="G21" s="34"/>
      <c r="H21" s="34"/>
      <c r="I21" s="34"/>
      <c r="J21" s="34"/>
      <c r="K21" s="34"/>
      <c r="L21" s="34"/>
    </row>
    <row r="22" spans="1:13" x14ac:dyDescent="0.2">
      <c r="A22" s="2">
        <f>A21*1.1</f>
        <v>2.2000000000000002E-2</v>
      </c>
      <c r="B22" s="155">
        <f t="shared" ref="B22:B84" si="0">(($B$10*$I$1/(A22-$B$14))-($B$13/(A22+$B$19)^2))/100</f>
        <v>-1512.7308496156561</v>
      </c>
      <c r="C22" s="2">
        <f t="shared" ref="C22:C85" si="1">$B$10*$B$3*1.5/A22/100</f>
        <v>3186.8760965454544</v>
      </c>
      <c r="E22" s="34"/>
      <c r="F22" s="34"/>
      <c r="G22" s="34"/>
      <c r="H22" s="34"/>
      <c r="I22" s="34"/>
      <c r="J22" s="34"/>
      <c r="K22" s="34"/>
      <c r="L22" s="34"/>
    </row>
    <row r="23" spans="1:13" x14ac:dyDescent="0.2">
      <c r="A23" s="2">
        <f t="shared" ref="A23:A86" si="2">A22*1.1</f>
        <v>2.4200000000000003E-2</v>
      </c>
      <c r="B23" s="155">
        <f t="shared" si="0"/>
        <v>-1502.0754539609979</v>
      </c>
      <c r="C23" s="2">
        <f t="shared" si="1"/>
        <v>2897.1600877685951</v>
      </c>
      <c r="E23" s="34"/>
      <c r="F23" s="34"/>
      <c r="G23" s="34"/>
      <c r="H23" s="34"/>
      <c r="I23" s="34"/>
      <c r="J23" s="34"/>
      <c r="K23" s="34"/>
      <c r="L23" s="34"/>
    </row>
    <row r="24" spans="1:13" x14ac:dyDescent="0.2">
      <c r="A24" s="2">
        <f t="shared" si="2"/>
        <v>2.6620000000000005E-2</v>
      </c>
      <c r="B24" s="155">
        <f t="shared" si="0"/>
        <v>-1492.8713472831132</v>
      </c>
      <c r="C24" s="2">
        <f t="shared" si="1"/>
        <v>2633.7818979714498</v>
      </c>
      <c r="E24" s="34"/>
      <c r="F24" s="34"/>
      <c r="G24" s="34"/>
      <c r="H24" s="34"/>
      <c r="I24" s="34"/>
      <c r="J24" s="34"/>
      <c r="K24" s="34"/>
      <c r="L24" s="34"/>
    </row>
    <row r="25" spans="1:13" x14ac:dyDescent="0.2">
      <c r="A25" s="2">
        <f t="shared" si="2"/>
        <v>2.9282000000000006E-2</v>
      </c>
      <c r="B25" s="155">
        <f t="shared" si="0"/>
        <v>-1485.7399210904246</v>
      </c>
      <c r="C25" s="2">
        <f t="shared" si="1"/>
        <v>2394.347179974045</v>
      </c>
      <c r="E25" s="34"/>
      <c r="F25" s="34"/>
      <c r="G25" s="34"/>
      <c r="H25" s="34"/>
      <c r="I25" s="34"/>
      <c r="J25" s="34"/>
      <c r="K25" s="32"/>
      <c r="L25" s="34"/>
    </row>
    <row r="26" spans="1:13" x14ac:dyDescent="0.2">
      <c r="A26" s="2">
        <f t="shared" si="2"/>
        <v>3.2210200000000008E-2</v>
      </c>
      <c r="B26" s="155">
        <f t="shared" si="0"/>
        <v>-1481.4791309822717</v>
      </c>
      <c r="C26" s="2">
        <f t="shared" si="1"/>
        <v>2176.6792545218591</v>
      </c>
      <c r="E26" s="34"/>
      <c r="F26" s="34"/>
      <c r="G26" s="34"/>
      <c r="H26" s="34"/>
      <c r="I26" s="34"/>
      <c r="J26" s="34"/>
      <c r="K26" s="32"/>
      <c r="L26" s="34"/>
    </row>
    <row r="27" spans="1:13" x14ac:dyDescent="0.2">
      <c r="A27" s="2">
        <f t="shared" si="2"/>
        <v>3.5431220000000013E-2</v>
      </c>
      <c r="B27" s="155">
        <f t="shared" si="0"/>
        <v>-1481.1249364311818</v>
      </c>
      <c r="C27" s="2">
        <f t="shared" si="1"/>
        <v>1978.7993222925988</v>
      </c>
      <c r="E27" s="34"/>
      <c r="F27" s="34"/>
      <c r="G27" s="34"/>
      <c r="H27" s="34"/>
      <c r="I27" s="34"/>
      <c r="J27" s="32"/>
      <c r="K27" s="32"/>
      <c r="L27" s="34"/>
    </row>
    <row r="28" spans="1:13" x14ac:dyDescent="0.2">
      <c r="A28" s="2">
        <f t="shared" si="2"/>
        <v>3.8974342000000016E-2</v>
      </c>
      <c r="B28" s="155">
        <f t="shared" si="0"/>
        <v>-1486.0435227546761</v>
      </c>
      <c r="C28" s="2">
        <f t="shared" si="1"/>
        <v>1798.9084748114535</v>
      </c>
      <c r="E28" s="34"/>
      <c r="F28" s="34"/>
      <c r="G28" s="34"/>
      <c r="H28" s="34"/>
      <c r="I28" s="34"/>
      <c r="J28" s="34"/>
      <c r="K28" s="34"/>
      <c r="L28" s="34"/>
    </row>
    <row r="29" spans="1:13" x14ac:dyDescent="0.2">
      <c r="A29" s="2">
        <f t="shared" si="2"/>
        <v>4.2871776200000024E-2</v>
      </c>
      <c r="B29" s="155">
        <f t="shared" si="0"/>
        <v>-1498.0747186074213</v>
      </c>
      <c r="C29" s="2">
        <f t="shared" si="1"/>
        <v>1635.3713407376847</v>
      </c>
      <c r="E29" s="34"/>
      <c r="F29" s="34"/>
      <c r="G29" s="34"/>
      <c r="H29" s="34"/>
      <c r="I29" s="34"/>
      <c r="J29" s="34"/>
      <c r="K29" s="34"/>
      <c r="L29" s="34"/>
    </row>
    <row r="30" spans="1:13" x14ac:dyDescent="0.2">
      <c r="A30" s="2">
        <f t="shared" si="2"/>
        <v>4.715895382000003E-2</v>
      </c>
      <c r="B30" s="155">
        <f t="shared" si="0"/>
        <v>-1519.763878446284</v>
      </c>
      <c r="C30" s="2">
        <f t="shared" si="1"/>
        <v>1486.7012188524407</v>
      </c>
      <c r="E30" s="34"/>
      <c r="F30" s="34"/>
      <c r="G30" s="34"/>
      <c r="H30" s="34"/>
      <c r="I30" s="34"/>
      <c r="J30" s="31"/>
      <c r="K30" s="35"/>
      <c r="L30" s="34"/>
    </row>
    <row r="31" spans="1:13" x14ac:dyDescent="0.2">
      <c r="A31" s="2">
        <f t="shared" si="2"/>
        <v>5.1874849202000035E-2</v>
      </c>
      <c r="B31" s="155">
        <f t="shared" si="0"/>
        <v>-1554.7536973375295</v>
      </c>
      <c r="C31" s="2">
        <f t="shared" si="1"/>
        <v>1351.5465625931276</v>
      </c>
      <c r="E31" s="34"/>
      <c r="F31" s="34"/>
      <c r="G31" s="34"/>
      <c r="H31" s="34"/>
      <c r="I31" s="34"/>
      <c r="J31" s="31"/>
      <c r="K31" s="35"/>
      <c r="L31" s="34"/>
    </row>
    <row r="32" spans="1:13" x14ac:dyDescent="0.2">
      <c r="A32" s="2">
        <f t="shared" si="2"/>
        <v>5.7062334122200041E-2</v>
      </c>
      <c r="B32" s="155">
        <f t="shared" si="0"/>
        <v>-1608.4813679475615</v>
      </c>
      <c r="C32" s="2">
        <f t="shared" si="1"/>
        <v>1228.6786932664797</v>
      </c>
      <c r="E32" s="34"/>
      <c r="F32" s="34"/>
      <c r="G32" s="34"/>
      <c r="H32" s="34"/>
      <c r="I32" s="34"/>
      <c r="J32" s="31"/>
      <c r="K32" s="36"/>
      <c r="L32" s="34"/>
    </row>
    <row r="33" spans="1:12" x14ac:dyDescent="0.2">
      <c r="A33" s="2">
        <f t="shared" si="2"/>
        <v>6.2768567534420047E-2</v>
      </c>
      <c r="B33" s="155">
        <f t="shared" si="0"/>
        <v>-1689.4991622877767</v>
      </c>
      <c r="C33" s="2">
        <f t="shared" si="1"/>
        <v>1116.9806302422542</v>
      </c>
      <c r="E33" s="34"/>
      <c r="F33" s="34"/>
      <c r="G33" s="34"/>
      <c r="H33" s="34"/>
      <c r="I33" s="34"/>
      <c r="J33" s="31"/>
      <c r="K33" s="35"/>
      <c r="L33" s="34"/>
    </row>
    <row r="34" spans="1:12" x14ac:dyDescent="0.2">
      <c r="A34" s="2">
        <f t="shared" si="2"/>
        <v>6.9045424287862062E-2</v>
      </c>
      <c r="B34" s="155">
        <f t="shared" si="0"/>
        <v>-1812.1800204094789</v>
      </c>
      <c r="C34" s="2">
        <f t="shared" si="1"/>
        <v>1015.4369365838674</v>
      </c>
      <c r="E34" s="34"/>
      <c r="F34" s="34"/>
      <c r="G34" s="34"/>
      <c r="H34" s="34"/>
      <c r="I34" s="34"/>
      <c r="J34" s="34"/>
      <c r="K34" s="34"/>
      <c r="L34" s="34"/>
    </row>
    <row r="35" spans="1:12" x14ac:dyDescent="0.2">
      <c r="A35" s="2">
        <f t="shared" si="2"/>
        <v>7.5949966716648276E-2</v>
      </c>
      <c r="B35" s="155">
        <f t="shared" si="0"/>
        <v>-2002.8558279960562</v>
      </c>
      <c r="C35" s="2">
        <f t="shared" si="1"/>
        <v>923.12448780351565</v>
      </c>
      <c r="E35" s="34"/>
      <c r="F35" s="34"/>
      <c r="G35" s="34"/>
      <c r="H35" s="34"/>
      <c r="I35" s="34"/>
      <c r="J35" s="34"/>
      <c r="K35" s="34"/>
      <c r="L35" s="34"/>
    </row>
    <row r="36" spans="1:12" x14ac:dyDescent="0.2">
      <c r="A36" s="2">
        <f t="shared" si="2"/>
        <v>8.3544963388313104E-2</v>
      </c>
      <c r="B36" s="155">
        <f t="shared" si="0"/>
        <v>-2315.8197714423768</v>
      </c>
      <c r="C36" s="2">
        <f t="shared" si="1"/>
        <v>839.20407982137783</v>
      </c>
    </row>
    <row r="37" spans="1:12" x14ac:dyDescent="0.2">
      <c r="A37" s="2">
        <f t="shared" si="2"/>
        <v>9.1899459727144417E-2</v>
      </c>
      <c r="B37" s="155">
        <f t="shared" si="0"/>
        <v>-2884.424720909572</v>
      </c>
      <c r="C37" s="2">
        <f t="shared" si="1"/>
        <v>762.91279983761615</v>
      </c>
    </row>
    <row r="38" spans="1:12" x14ac:dyDescent="0.2">
      <c r="A38" s="2">
        <f t="shared" si="2"/>
        <v>0.10108940569985887</v>
      </c>
      <c r="B38" s="155">
        <f t="shared" si="0"/>
        <v>-4148.7451984217123</v>
      </c>
      <c r="C38" s="2">
        <f t="shared" si="1"/>
        <v>693.55709076146911</v>
      </c>
    </row>
    <row r="39" spans="1:12" x14ac:dyDescent="0.2">
      <c r="A39" s="2">
        <f t="shared" si="2"/>
        <v>0.11119834626984477</v>
      </c>
      <c r="B39" s="155">
        <f t="shared" si="0"/>
        <v>-8937.7238263663403</v>
      </c>
      <c r="C39" s="2">
        <f t="shared" si="1"/>
        <v>630.50644614679015</v>
      </c>
    </row>
    <row r="40" spans="1:12" x14ac:dyDescent="0.2">
      <c r="A40" s="2">
        <f t="shared" si="2"/>
        <v>0.12231818089682926</v>
      </c>
      <c r="B40" s="155">
        <f t="shared" si="0"/>
        <v>22876.555791478324</v>
      </c>
      <c r="C40" s="2">
        <f t="shared" si="1"/>
        <v>573.18767831526372</v>
      </c>
    </row>
    <row r="41" spans="1:12" x14ac:dyDescent="0.2">
      <c r="A41" s="2">
        <f t="shared" si="2"/>
        <v>0.13454999898651221</v>
      </c>
      <c r="B41" s="155">
        <f t="shared" si="0"/>
        <v>4375.1122590528284</v>
      </c>
      <c r="C41" s="2">
        <f t="shared" si="1"/>
        <v>521.07970755933059</v>
      </c>
    </row>
    <row r="42" spans="1:12" x14ac:dyDescent="0.2">
      <c r="A42" s="2">
        <f t="shared" si="2"/>
        <v>0.14800499888516344</v>
      </c>
      <c r="B42" s="155">
        <f t="shared" si="0"/>
        <v>2246.065655215702</v>
      </c>
      <c r="C42" s="2">
        <f t="shared" si="1"/>
        <v>473.70882505393683</v>
      </c>
    </row>
    <row r="43" spans="1:12" x14ac:dyDescent="0.2">
      <c r="A43" s="2">
        <f t="shared" si="2"/>
        <v>0.16280549877367981</v>
      </c>
      <c r="B43" s="155">
        <f t="shared" si="0"/>
        <v>1437.0253235590797</v>
      </c>
      <c r="C43" s="2">
        <f t="shared" si="1"/>
        <v>430.64438641266975</v>
      </c>
    </row>
    <row r="44" spans="1:12" x14ac:dyDescent="0.2">
      <c r="A44" s="2">
        <f t="shared" si="2"/>
        <v>0.1790860486510478</v>
      </c>
      <c r="B44" s="155">
        <f t="shared" si="0"/>
        <v>1017.9874514607762</v>
      </c>
      <c r="C44" s="2">
        <f t="shared" si="1"/>
        <v>391.49489673879071</v>
      </c>
    </row>
    <row r="45" spans="1:12" x14ac:dyDescent="0.2">
      <c r="A45" s="2">
        <f t="shared" si="2"/>
        <v>0.19699465351615258</v>
      </c>
      <c r="B45" s="155">
        <f t="shared" si="0"/>
        <v>765.72877032026747</v>
      </c>
      <c r="C45" s="2">
        <f t="shared" si="1"/>
        <v>355.90445158071884</v>
      </c>
    </row>
    <row r="46" spans="1:12" x14ac:dyDescent="0.2">
      <c r="A46" s="2">
        <f t="shared" si="2"/>
        <v>0.21669411886776785</v>
      </c>
      <c r="B46" s="155">
        <f t="shared" si="0"/>
        <v>599.60930852299032</v>
      </c>
      <c r="C46" s="2">
        <f t="shared" si="1"/>
        <v>323.54950143701706</v>
      </c>
    </row>
    <row r="47" spans="1:12" x14ac:dyDescent="0.2">
      <c r="A47" s="2">
        <f t="shared" si="2"/>
        <v>0.23836353075454464</v>
      </c>
      <c r="B47" s="155">
        <f t="shared" si="0"/>
        <v>483.43261718629793</v>
      </c>
      <c r="C47" s="2">
        <f t="shared" si="1"/>
        <v>294.13591039728823</v>
      </c>
    </row>
    <row r="48" spans="1:12" x14ac:dyDescent="0.2">
      <c r="A48" s="2">
        <f t="shared" si="2"/>
        <v>0.26219988382999915</v>
      </c>
      <c r="B48" s="155">
        <f t="shared" si="0"/>
        <v>398.56219306283293</v>
      </c>
      <c r="C48" s="2">
        <f t="shared" si="1"/>
        <v>267.39628217935291</v>
      </c>
    </row>
    <row r="49" spans="1:3" x14ac:dyDescent="0.2">
      <c r="A49" s="2">
        <f t="shared" si="2"/>
        <v>0.28841987221299908</v>
      </c>
      <c r="B49" s="155">
        <f t="shared" si="0"/>
        <v>334.44849216540041</v>
      </c>
      <c r="C49" s="2">
        <f t="shared" si="1"/>
        <v>243.08752925395714</v>
      </c>
    </row>
    <row r="50" spans="1:3" x14ac:dyDescent="0.2">
      <c r="A50" s="2">
        <f t="shared" si="2"/>
        <v>0.31726185943429902</v>
      </c>
      <c r="B50" s="155">
        <f t="shared" si="0"/>
        <v>284.69198343453525</v>
      </c>
      <c r="C50" s="2">
        <f t="shared" si="1"/>
        <v>220.98866295814284</v>
      </c>
    </row>
    <row r="51" spans="1:3" x14ac:dyDescent="0.2">
      <c r="A51" s="2">
        <f t="shared" si="2"/>
        <v>0.34898804537772893</v>
      </c>
      <c r="B51" s="155">
        <f t="shared" si="0"/>
        <v>245.20185182581855</v>
      </c>
      <c r="C51" s="2">
        <f t="shared" si="1"/>
        <v>200.89878450740261</v>
      </c>
    </row>
    <row r="52" spans="1:3" x14ac:dyDescent="0.2">
      <c r="A52" s="2">
        <f t="shared" si="2"/>
        <v>0.38388684991550187</v>
      </c>
      <c r="B52" s="155">
        <f t="shared" si="0"/>
        <v>213.25434577382021</v>
      </c>
      <c r="C52" s="2">
        <f t="shared" si="1"/>
        <v>182.63525864309327</v>
      </c>
    </row>
    <row r="53" spans="1:3" x14ac:dyDescent="0.2">
      <c r="A53" s="2">
        <f t="shared" si="2"/>
        <v>0.42227553490705211</v>
      </c>
      <c r="B53" s="155">
        <f t="shared" si="0"/>
        <v>186.97618012325773</v>
      </c>
      <c r="C53" s="2">
        <f t="shared" si="1"/>
        <v>166.03205331190293</v>
      </c>
    </row>
    <row r="54" spans="1:3" x14ac:dyDescent="0.2">
      <c r="A54" s="2">
        <f t="shared" si="2"/>
        <v>0.46450308839775734</v>
      </c>
      <c r="B54" s="155">
        <f t="shared" si="0"/>
        <v>165.04459994339734</v>
      </c>
      <c r="C54" s="2">
        <f t="shared" si="1"/>
        <v>150.93823028354811</v>
      </c>
    </row>
    <row r="55" spans="1:3" x14ac:dyDescent="0.2">
      <c r="A55" s="2">
        <f t="shared" si="2"/>
        <v>0.51095339723753308</v>
      </c>
      <c r="B55" s="155">
        <f t="shared" si="0"/>
        <v>146.50493007985403</v>
      </c>
      <c r="C55" s="2">
        <f t="shared" si="1"/>
        <v>137.21657298504374</v>
      </c>
    </row>
    <row r="56" spans="1:3" x14ac:dyDescent="0.2">
      <c r="A56" s="2">
        <f t="shared" si="2"/>
        <v>0.56204873696128643</v>
      </c>
      <c r="B56" s="155">
        <f t="shared" si="0"/>
        <v>130.65520363441613</v>
      </c>
      <c r="C56" s="2">
        <f t="shared" si="1"/>
        <v>124.74233907731248</v>
      </c>
    </row>
    <row r="57" spans="1:3" x14ac:dyDescent="0.2">
      <c r="A57" s="2">
        <f t="shared" si="2"/>
        <v>0.61825361065741513</v>
      </c>
      <c r="B57" s="155">
        <f t="shared" si="0"/>
        <v>116.97080008819421</v>
      </c>
      <c r="C57" s="2">
        <f t="shared" si="1"/>
        <v>113.40212643392042</v>
      </c>
    </row>
    <row r="58" spans="1:3" x14ac:dyDescent="0.2">
      <c r="A58" s="2">
        <f t="shared" si="2"/>
        <v>0.68007897172315668</v>
      </c>
      <c r="B58" s="155">
        <f t="shared" si="0"/>
        <v>105.05385789253465</v>
      </c>
      <c r="C58" s="2">
        <f t="shared" si="1"/>
        <v>103.09284221265493</v>
      </c>
    </row>
    <row r="59" spans="1:3" x14ac:dyDescent="0.2">
      <c r="A59" s="2">
        <f t="shared" si="2"/>
        <v>0.74808686889547238</v>
      </c>
      <c r="B59" s="155">
        <f t="shared" si="0"/>
        <v>94.598530994879809</v>
      </c>
      <c r="C59" s="2">
        <f t="shared" si="1"/>
        <v>93.720765647868106</v>
      </c>
    </row>
    <row r="60" spans="1:3" x14ac:dyDescent="0.2">
      <c r="A60" s="2">
        <f t="shared" si="2"/>
        <v>0.82289555578501972</v>
      </c>
      <c r="B60" s="155">
        <f t="shared" si="0"/>
        <v>85.366664384990344</v>
      </c>
      <c r="C60" s="2">
        <f t="shared" si="1"/>
        <v>85.200696043516459</v>
      </c>
    </row>
    <row r="61" spans="1:3" x14ac:dyDescent="0.2">
      <c r="A61" s="2">
        <f t="shared" si="2"/>
        <v>0.90518511136352175</v>
      </c>
      <c r="B61" s="155">
        <f t="shared" si="0"/>
        <v>77.170487743139802</v>
      </c>
      <c r="C61" s="2">
        <f t="shared" si="1"/>
        <v>77.455178221378588</v>
      </c>
    </row>
    <row r="62" spans="1:3" x14ac:dyDescent="0.2">
      <c r="A62" s="2">
        <f t="shared" si="2"/>
        <v>0.99570362249987399</v>
      </c>
      <c r="B62" s="155">
        <f t="shared" si="0"/>
        <v>69.860134691093904</v>
      </c>
      <c r="C62" s="2">
        <f t="shared" si="1"/>
        <v>70.413798383071438</v>
      </c>
    </row>
    <row r="63" spans="1:3" x14ac:dyDescent="0.2">
      <c r="A63" s="2">
        <f t="shared" si="2"/>
        <v>1.0952739847498614</v>
      </c>
      <c r="B63" s="155">
        <f t="shared" si="0"/>
        <v>63.314538747908244</v>
      </c>
      <c r="C63" s="2">
        <f t="shared" si="1"/>
        <v>64.012543984610403</v>
      </c>
    </row>
    <row r="64" spans="1:3" x14ac:dyDescent="0.2">
      <c r="A64" s="2">
        <f t="shared" si="2"/>
        <v>1.2048013832248476</v>
      </c>
      <c r="B64" s="155">
        <f t="shared" si="0"/>
        <v>57.434727368116882</v>
      </c>
      <c r="C64" s="2">
        <f t="shared" si="1"/>
        <v>58.193221804191261</v>
      </c>
    </row>
    <row r="65" spans="1:3" x14ac:dyDescent="0.2">
      <c r="A65" s="2">
        <f t="shared" si="2"/>
        <v>1.3252815215473326</v>
      </c>
      <c r="B65" s="155">
        <f t="shared" si="0"/>
        <v>52.138840347243615</v>
      </c>
      <c r="C65" s="2">
        <f t="shared" si="1"/>
        <v>52.902928912901146</v>
      </c>
    </row>
    <row r="66" spans="1:3" x14ac:dyDescent="0.2">
      <c r="A66" s="2">
        <f t="shared" si="2"/>
        <v>1.457809673702066</v>
      </c>
      <c r="B66" s="155">
        <f t="shared" si="0"/>
        <v>47.358401076283208</v>
      </c>
      <c r="C66" s="2">
        <f t="shared" si="1"/>
        <v>48.093571739001035</v>
      </c>
    </row>
    <row r="67" spans="1:3" x14ac:dyDescent="0.2">
      <c r="A67" s="2">
        <f t="shared" si="2"/>
        <v>1.6035906410722727</v>
      </c>
      <c r="B67" s="155">
        <f t="shared" si="0"/>
        <v>43.035505959818785</v>
      </c>
      <c r="C67" s="2">
        <f t="shared" si="1"/>
        <v>43.721428853637299</v>
      </c>
    </row>
    <row r="68" spans="1:3" x14ac:dyDescent="0.2">
      <c r="A68" s="2">
        <f t="shared" si="2"/>
        <v>1.7639497051795001</v>
      </c>
      <c r="B68" s="155">
        <f t="shared" si="0"/>
        <v>39.120691599307413</v>
      </c>
      <c r="C68" s="2">
        <f t="shared" si="1"/>
        <v>39.746753503306635</v>
      </c>
    </row>
    <row r="69" spans="1:3" x14ac:dyDescent="0.2">
      <c r="A69" s="2">
        <f t="shared" si="2"/>
        <v>1.9403446756974503</v>
      </c>
      <c r="B69" s="155">
        <f t="shared" si="0"/>
        <v>35.571305351523364</v>
      </c>
      <c r="C69" s="2">
        <f t="shared" si="1"/>
        <v>36.133412275733306</v>
      </c>
    </row>
    <row r="70" spans="1:3" x14ac:dyDescent="0.2">
      <c r="A70" s="2">
        <f t="shared" si="2"/>
        <v>2.1343791432671955</v>
      </c>
      <c r="B70" s="155">
        <f t="shared" si="0"/>
        <v>32.350251721573237</v>
      </c>
      <c r="C70" s="2">
        <f t="shared" si="1"/>
        <v>32.848556614303</v>
      </c>
    </row>
    <row r="71" spans="1:3" x14ac:dyDescent="0.2">
      <c r="A71" s="2">
        <f t="shared" si="2"/>
        <v>2.347817057593915</v>
      </c>
      <c r="B71" s="155">
        <f t="shared" si="0"/>
        <v>29.425020691375018</v>
      </c>
      <c r="C71" s="2">
        <f t="shared" si="1"/>
        <v>29.862324194820907</v>
      </c>
    </row>
    <row r="72" spans="1:3" x14ac:dyDescent="0.2">
      <c r="A72" s="2">
        <f t="shared" si="2"/>
        <v>2.5825987633533067</v>
      </c>
      <c r="B72" s="155">
        <f t="shared" si="0"/>
        <v>26.766928478448257</v>
      </c>
      <c r="C72" s="2">
        <f t="shared" si="1"/>
        <v>27.147567449837187</v>
      </c>
    </row>
    <row r="73" spans="1:3" x14ac:dyDescent="0.2">
      <c r="A73" s="2">
        <f t="shared" si="2"/>
        <v>2.8408586396886375</v>
      </c>
      <c r="B73" s="155">
        <f t="shared" si="0"/>
        <v>24.350519050693649</v>
      </c>
      <c r="C73" s="2">
        <f t="shared" si="1"/>
        <v>24.679606772579259</v>
      </c>
    </row>
    <row r="74" spans="1:3" x14ac:dyDescent="0.2">
      <c r="A74" s="2">
        <f t="shared" si="2"/>
        <v>3.1249445036575016</v>
      </c>
      <c r="B74" s="155">
        <f t="shared" si="0"/>
        <v>22.153087841054102</v>
      </c>
      <c r="C74" s="2">
        <f t="shared" si="1"/>
        <v>22.436006156890233</v>
      </c>
    </row>
    <row r="75" spans="1:3" x14ac:dyDescent="0.2">
      <c r="A75" s="2">
        <f t="shared" si="2"/>
        <v>3.4374389540232522</v>
      </c>
      <c r="B75" s="155">
        <f t="shared" si="0"/>
        <v>20.154298806874987</v>
      </c>
      <c r="C75" s="2">
        <f t="shared" si="1"/>
        <v>20.396369233536571</v>
      </c>
    </row>
    <row r="76" spans="1:3" x14ac:dyDescent="0.2">
      <c r="A76" s="2">
        <f t="shared" si="2"/>
        <v>3.7811828494255777</v>
      </c>
      <c r="B76" s="155">
        <f t="shared" si="0"/>
        <v>18.335873181532534</v>
      </c>
      <c r="C76" s="2">
        <f t="shared" si="1"/>
        <v>18.54215384866961</v>
      </c>
    </row>
    <row r="77" spans="1:3" x14ac:dyDescent="0.2">
      <c r="A77" s="2">
        <f t="shared" si="2"/>
        <v>4.1593011343681354</v>
      </c>
      <c r="B77" s="155">
        <f t="shared" si="0"/>
        <v>16.681333630388188</v>
      </c>
      <c r="C77" s="2">
        <f t="shared" si="1"/>
        <v>16.856503498790556</v>
      </c>
    </row>
    <row r="78" spans="1:3" x14ac:dyDescent="0.2">
      <c r="A78" s="2">
        <f t="shared" si="2"/>
        <v>4.5752312478049495</v>
      </c>
      <c r="B78" s="155">
        <f t="shared" si="0"/>
        <v>15.175791527934569</v>
      </c>
      <c r="C78" s="2">
        <f t="shared" si="1"/>
        <v>15.324094089809593</v>
      </c>
    </row>
    <row r="79" spans="1:3" x14ac:dyDescent="0.2">
      <c r="A79" s="2">
        <f t="shared" si="2"/>
        <v>5.0327543725854449</v>
      </c>
      <c r="B79" s="155">
        <f t="shared" si="0"/>
        <v>13.805768068109341</v>
      </c>
      <c r="C79" s="2">
        <f t="shared" si="1"/>
        <v>13.930994627099631</v>
      </c>
    </row>
    <row r="80" spans="1:3" x14ac:dyDescent="0.2">
      <c r="A80" s="2">
        <f t="shared" si="2"/>
        <v>5.5360298098439902</v>
      </c>
      <c r="B80" s="155">
        <f t="shared" si="0"/>
        <v>12.559042162838518</v>
      </c>
      <c r="C80" s="2">
        <f t="shared" si="1"/>
        <v>12.664540570090571</v>
      </c>
    </row>
    <row r="81" spans="1:3" x14ac:dyDescent="0.2">
      <c r="A81" s="2">
        <f t="shared" si="2"/>
        <v>6.0896327908283894</v>
      </c>
      <c r="B81" s="155">
        <f t="shared" si="0"/>
        <v>11.424519765655848</v>
      </c>
      <c r="C81" s="2">
        <f t="shared" si="1"/>
        <v>11.513218700082337</v>
      </c>
    </row>
    <row r="82" spans="1:3" x14ac:dyDescent="0.2">
      <c r="A82" s="2">
        <f t="shared" si="2"/>
        <v>6.698596069911229</v>
      </c>
      <c r="B82" s="155">
        <f t="shared" si="0"/>
        <v>10.392120519479834</v>
      </c>
      <c r="C82" s="2">
        <f t="shared" si="1"/>
        <v>10.466562454620306</v>
      </c>
    </row>
    <row r="83" spans="1:3" x14ac:dyDescent="0.2">
      <c r="A83" s="2">
        <f t="shared" si="2"/>
        <v>7.3684556769023528</v>
      </c>
      <c r="B83" s="155">
        <f t="shared" si="0"/>
        <v>9.4526785759840557</v>
      </c>
      <c r="C83" s="2">
        <f t="shared" si="1"/>
        <v>9.5150567769275476</v>
      </c>
    </row>
    <row r="84" spans="1:3" x14ac:dyDescent="0.2">
      <c r="A84" s="2">
        <f t="shared" si="2"/>
        <v>8.1053012445925887</v>
      </c>
      <c r="B84" s="155">
        <f t="shared" si="0"/>
        <v>8.5978551474097067</v>
      </c>
      <c r="C84" s="2">
        <f t="shared" si="1"/>
        <v>8.6500516153886799</v>
      </c>
    </row>
    <row r="85" spans="1:3" x14ac:dyDescent="0.2">
      <c r="A85" s="2">
        <f t="shared" si="2"/>
        <v>8.9158313690518476</v>
      </c>
      <c r="B85" s="155">
        <f t="shared" ref="B85:B136" si="3">(($B$10*$I$1/(A85-$B$14))-($B$13/(A85+$B$19)^2))/100</f>
        <v>7.8200608891941306</v>
      </c>
      <c r="C85" s="2">
        <f t="shared" si="1"/>
        <v>7.8636832867169826</v>
      </c>
    </row>
    <row r="86" spans="1:3" x14ac:dyDescent="0.2">
      <c r="A86" s="2">
        <f t="shared" si="2"/>
        <v>9.8074145059570323</v>
      </c>
      <c r="B86" s="155">
        <f t="shared" si="3"/>
        <v>7.1123866176340345</v>
      </c>
      <c r="C86" s="2">
        <f t="shared" ref="C86:C136" si="4">$B$10*$B$3*1.5/A86/100</f>
        <v>7.1488029879245287</v>
      </c>
    </row>
    <row r="87" spans="1:3" x14ac:dyDescent="0.2">
      <c r="A87" s="2">
        <f t="shared" ref="A87:A136" si="5">A86*1.1</f>
        <v>10.788155956552737</v>
      </c>
      <c r="B87" s="155">
        <f t="shared" si="3"/>
        <v>6.4685411740716576</v>
      </c>
      <c r="C87" s="2">
        <f t="shared" si="4"/>
        <v>6.4989118072041165</v>
      </c>
    </row>
    <row r="88" spans="1:3" x14ac:dyDescent="0.2">
      <c r="A88" s="2">
        <f t="shared" si="5"/>
        <v>11.866971552208012</v>
      </c>
      <c r="B88" s="155">
        <f t="shared" si="3"/>
        <v>5.8827954805723106</v>
      </c>
      <c r="C88" s="2">
        <f t="shared" si="4"/>
        <v>5.9081016429128326</v>
      </c>
    </row>
    <row r="89" spans="1:3" x14ac:dyDescent="0.2">
      <c r="A89" s="2">
        <f t="shared" si="5"/>
        <v>13.053668707428814</v>
      </c>
      <c r="B89" s="155">
        <f t="shared" si="3"/>
        <v>5.3499320103024619</v>
      </c>
      <c r="C89" s="2">
        <f t="shared" si="4"/>
        <v>5.3710014935571202</v>
      </c>
    </row>
    <row r="90" spans="1:3" x14ac:dyDescent="0.2">
      <c r="A90" s="2">
        <f t="shared" si="5"/>
        <v>14.359035578171698</v>
      </c>
      <c r="B90" s="155">
        <f t="shared" si="3"/>
        <v>4.8651990326920771</v>
      </c>
      <c r="C90" s="2">
        <f t="shared" si="4"/>
        <v>4.8827286305064721</v>
      </c>
    </row>
    <row r="91" spans="1:3" x14ac:dyDescent="0.2">
      <c r="A91" s="2">
        <f t="shared" si="5"/>
        <v>15.794939135988869</v>
      </c>
      <c r="B91" s="155">
        <f t="shared" si="3"/>
        <v>4.4242690993406448</v>
      </c>
      <c r="C91" s="2">
        <f t="shared" si="4"/>
        <v>4.4388442095513376</v>
      </c>
    </row>
    <row r="92" spans="1:3" x14ac:dyDescent="0.2">
      <c r="A92" s="2">
        <f t="shared" si="5"/>
        <v>17.374433049587758</v>
      </c>
      <c r="B92" s="155">
        <f t="shared" si="3"/>
        <v>4.0232013192433564</v>
      </c>
      <c r="C92" s="2">
        <f t="shared" si="4"/>
        <v>4.0353129177739433</v>
      </c>
    </row>
    <row r="93" spans="1:3" x14ac:dyDescent="0.2">
      <c r="A93" s="2">
        <f t="shared" si="5"/>
        <v>19.111876354546535</v>
      </c>
      <c r="B93" s="155">
        <f t="shared" si="3"/>
        <v>3.6584070370461448</v>
      </c>
      <c r="C93" s="2">
        <f t="shared" si="4"/>
        <v>3.6684662888854023</v>
      </c>
    </row>
    <row r="94" spans="1:3" x14ac:dyDescent="0.2">
      <c r="A94" s="2">
        <f t="shared" si="5"/>
        <v>21.023063990001191</v>
      </c>
      <c r="B94" s="155">
        <f t="shared" si="3"/>
        <v>3.3266185799881769</v>
      </c>
      <c r="C94" s="2">
        <f t="shared" si="4"/>
        <v>3.3349693535321836</v>
      </c>
    </row>
    <row r="95" spans="1:3" x14ac:dyDescent="0.2">
      <c r="A95" s="2">
        <f t="shared" si="5"/>
        <v>23.125370389001311</v>
      </c>
      <c r="B95" s="155">
        <f t="shared" si="3"/>
        <v>3.0248607811627046</v>
      </c>
      <c r="C95" s="2">
        <f t="shared" si="4"/>
        <v>3.0317903213928941</v>
      </c>
    </row>
    <row r="96" spans="1:3" x14ac:dyDescent="0.2">
      <c r="A96" s="2">
        <f t="shared" si="5"/>
        <v>25.437907427901443</v>
      </c>
      <c r="B96" s="155">
        <f t="shared" si="3"/>
        <v>2.7504250211068837</v>
      </c>
      <c r="C96" s="2">
        <f t="shared" si="4"/>
        <v>2.7561730194480858</v>
      </c>
    </row>
    <row r="97" spans="1:3" x14ac:dyDescent="0.2">
      <c r="A97" s="2">
        <f t="shared" si="5"/>
        <v>27.98169817069159</v>
      </c>
      <c r="B97" s="155">
        <f t="shared" si="3"/>
        <v>2.5008455582935984</v>
      </c>
      <c r="C97" s="2">
        <f t="shared" si="4"/>
        <v>2.5056118358618957</v>
      </c>
    </row>
    <row r="98" spans="1:3" x14ac:dyDescent="0.2">
      <c r="A98" s="2">
        <f t="shared" si="5"/>
        <v>30.779867987760753</v>
      </c>
      <c r="B98" s="155">
        <f t="shared" si="3"/>
        <v>2.2738779431650893</v>
      </c>
      <c r="C98" s="2">
        <f t="shared" si="4"/>
        <v>2.2778289416926323</v>
      </c>
    </row>
    <row r="99" spans="1:3" x14ac:dyDescent="0.2">
      <c r="A99" s="2">
        <f t="shared" si="5"/>
        <v>33.857854786536834</v>
      </c>
      <c r="B99" s="155">
        <f t="shared" si="3"/>
        <v>2.0674793309043351</v>
      </c>
      <c r="C99" s="2">
        <f t="shared" si="4"/>
        <v>2.0707535833569382</v>
      </c>
    </row>
    <row r="100" spans="1:3" x14ac:dyDescent="0.2">
      <c r="A100" s="2">
        <f t="shared" si="5"/>
        <v>37.243640265190521</v>
      </c>
      <c r="B100" s="155">
        <f t="shared" si="3"/>
        <v>1.8797905259213501</v>
      </c>
      <c r="C100" s="2">
        <f t="shared" si="4"/>
        <v>1.8825032575972163</v>
      </c>
    </row>
    <row r="101" spans="1:3" x14ac:dyDescent="0.2">
      <c r="A101" s="2">
        <f t="shared" si="5"/>
        <v>40.968004291709576</v>
      </c>
      <c r="B101" s="155">
        <f t="shared" si="3"/>
        <v>1.7091196065887484</v>
      </c>
      <c r="C101" s="2">
        <f t="shared" si="4"/>
        <v>1.7113665978156509</v>
      </c>
    </row>
    <row r="102" spans="1:3" x14ac:dyDescent="0.2">
      <c r="A102" s="2">
        <f t="shared" si="5"/>
        <v>45.064804720880538</v>
      </c>
      <c r="B102" s="155">
        <f t="shared" si="3"/>
        <v>1.5539269925088517</v>
      </c>
      <c r="C102" s="2">
        <f t="shared" si="4"/>
        <v>1.5557878161960459</v>
      </c>
    </row>
    <row r="103" spans="1:3" x14ac:dyDescent="0.2">
      <c r="A103" s="2">
        <f t="shared" si="5"/>
        <v>49.571285192968595</v>
      </c>
      <c r="B103" s="155">
        <f t="shared" si="3"/>
        <v>1.4128118288471732</v>
      </c>
      <c r="C103" s="2">
        <f t="shared" si="4"/>
        <v>1.4143525601782236</v>
      </c>
    </row>
    <row r="104" spans="1:3" x14ac:dyDescent="0.2">
      <c r="A104" s="2">
        <f t="shared" si="5"/>
        <v>54.528413712265461</v>
      </c>
      <c r="B104" s="155">
        <f t="shared" si="3"/>
        <v>1.2844995732640561</v>
      </c>
      <c r="C104" s="2">
        <f t="shared" si="4"/>
        <v>1.2857750547074758</v>
      </c>
    </row>
    <row r="105" spans="1:3" x14ac:dyDescent="0.2">
      <c r="A105" s="2">
        <f t="shared" si="5"/>
        <v>59.981255083492009</v>
      </c>
      <c r="B105" s="155">
        <f t="shared" si="3"/>
        <v>1.1678306809025534</v>
      </c>
      <c r="C105" s="2">
        <f t="shared" si="4"/>
        <v>1.1688864133704326</v>
      </c>
    </row>
    <row r="106" spans="1:3" x14ac:dyDescent="0.2">
      <c r="A106" s="2">
        <f t="shared" si="5"/>
        <v>65.97938059184122</v>
      </c>
      <c r="B106" s="155">
        <f t="shared" si="3"/>
        <v>1.0617502918907895</v>
      </c>
      <c r="C106" s="2">
        <f t="shared" si="4"/>
        <v>1.0626240121549386</v>
      </c>
    </row>
    <row r="107" spans="1:3" x14ac:dyDescent="0.2">
      <c r="A107" s="2">
        <f t="shared" si="5"/>
        <v>72.577318651025351</v>
      </c>
      <c r="B107" s="155">
        <f t="shared" si="3"/>
        <v>0.96529883400577976</v>
      </c>
      <c r="C107" s="2">
        <f t="shared" si="4"/>
        <v>0.96602182923176216</v>
      </c>
    </row>
    <row r="108" spans="1:3" x14ac:dyDescent="0.2">
      <c r="A108" s="2">
        <f t="shared" si="5"/>
        <v>79.835050516127893</v>
      </c>
      <c r="B108" s="155">
        <f t="shared" si="3"/>
        <v>0.87760346061537897</v>
      </c>
      <c r="C108" s="2">
        <f t="shared" si="4"/>
        <v>0.87820166293796564</v>
      </c>
    </row>
    <row r="109" spans="1:3" x14ac:dyDescent="0.2">
      <c r="A109" s="2">
        <f t="shared" si="5"/>
        <v>87.818555567740688</v>
      </c>
      <c r="B109" s="155">
        <f t="shared" si="3"/>
        <v>0.79787025084171137</v>
      </c>
      <c r="C109" s="2">
        <f t="shared" si="4"/>
        <v>0.79836514812542314</v>
      </c>
    </row>
    <row r="110" spans="1:3" x14ac:dyDescent="0.2">
      <c r="A110" s="2">
        <f t="shared" si="5"/>
        <v>96.600411124514764</v>
      </c>
      <c r="B110" s="155">
        <f t="shared" si="3"/>
        <v>0.72537710513655129</v>
      </c>
      <c r="C110" s="2">
        <f t="shared" si="4"/>
        <v>0.72578649829583919</v>
      </c>
    </row>
    <row r="111" spans="1:3" x14ac:dyDescent="0.2">
      <c r="A111" s="2">
        <f t="shared" si="5"/>
        <v>106.26045223696624</v>
      </c>
      <c r="B111" s="155">
        <f t="shared" si="3"/>
        <v>0.65946727518079618</v>
      </c>
      <c r="C111" s="2">
        <f t="shared" si="4"/>
        <v>0.65980590754167201</v>
      </c>
    </row>
    <row r="112" spans="1:3" x14ac:dyDescent="0.2">
      <c r="A112" s="2">
        <f t="shared" si="5"/>
        <v>116.88649746066288</v>
      </c>
      <c r="B112" s="155">
        <f t="shared" si="3"/>
        <v>0.59954347226318205</v>
      </c>
      <c r="C112" s="2">
        <f t="shared" si="4"/>
        <v>0.5998235523106108</v>
      </c>
    </row>
    <row r="113" spans="1:3" x14ac:dyDescent="0.2">
      <c r="A113" s="2">
        <f t="shared" si="5"/>
        <v>128.57514720672918</v>
      </c>
      <c r="B113" s="155">
        <f t="shared" si="3"/>
        <v>0.54506250309893722</v>
      </c>
      <c r="C113" s="2">
        <f t="shared" si="4"/>
        <v>0.54529413846419161</v>
      </c>
    </row>
    <row r="114" spans="1:3" x14ac:dyDescent="0.2">
      <c r="A114" s="2">
        <f t="shared" si="5"/>
        <v>141.43266192740211</v>
      </c>
      <c r="B114" s="155">
        <f t="shared" si="3"/>
        <v>0.49553038645370717</v>
      </c>
      <c r="C114" s="2">
        <f t="shared" si="4"/>
        <v>0.49572194405835596</v>
      </c>
    </row>
    <row r="115" spans="1:3" x14ac:dyDescent="0.2">
      <c r="A115" s="2">
        <f t="shared" si="5"/>
        <v>155.57592812014232</v>
      </c>
      <c r="B115" s="155">
        <f t="shared" si="3"/>
        <v>0.45049790797481726</v>
      </c>
      <c r="C115" s="2">
        <f t="shared" si="4"/>
        <v>0.45065631278032364</v>
      </c>
    </row>
    <row r="116" spans="1:3" x14ac:dyDescent="0.2">
      <c r="A116" s="2">
        <f t="shared" si="5"/>
        <v>171.13352093215656</v>
      </c>
      <c r="B116" s="155">
        <f t="shared" si="3"/>
        <v>0.40955657433059783</v>
      </c>
      <c r="C116" s="2">
        <f t="shared" si="4"/>
        <v>0.40968755707302146</v>
      </c>
    </row>
    <row r="117" spans="1:3" x14ac:dyDescent="0.2">
      <c r="A117" s="2">
        <f t="shared" si="5"/>
        <v>188.24687302537222</v>
      </c>
      <c r="B117" s="155">
        <f t="shared" si="3"/>
        <v>0.37233493114637028</v>
      </c>
      <c r="C117" s="2">
        <f t="shared" si="4"/>
        <v>0.37244323370274679</v>
      </c>
    </row>
    <row r="118" spans="1:3" x14ac:dyDescent="0.2">
      <c r="A118" s="2">
        <f t="shared" si="5"/>
        <v>207.07156032790945</v>
      </c>
      <c r="B118" s="155">
        <f t="shared" si="3"/>
        <v>0.33849521232778834</v>
      </c>
      <c r="C118" s="2">
        <f t="shared" si="4"/>
        <v>0.33858475791158793</v>
      </c>
    </row>
    <row r="119" spans="1:3" x14ac:dyDescent="0.2">
      <c r="A119" s="2">
        <f t="shared" si="5"/>
        <v>227.77871636070043</v>
      </c>
      <c r="B119" s="155">
        <f t="shared" si="3"/>
        <v>0.30773029120154061</v>
      </c>
      <c r="C119" s="2">
        <f t="shared" si="4"/>
        <v>0.3078043253741708</v>
      </c>
    </row>
    <row r="120" spans="1:3" x14ac:dyDescent="0.2">
      <c r="A120" s="2">
        <f t="shared" si="5"/>
        <v>250.5565879967705</v>
      </c>
      <c r="B120" s="155">
        <f t="shared" si="3"/>
        <v>0.27976090650117785</v>
      </c>
      <c r="C120" s="2">
        <f t="shared" si="4"/>
        <v>0.2798221139765189</v>
      </c>
    </row>
    <row r="121" spans="1:3" x14ac:dyDescent="0.2">
      <c r="A121" s="2">
        <f t="shared" si="5"/>
        <v>275.61224679644755</v>
      </c>
      <c r="B121" s="155">
        <f t="shared" si="3"/>
        <v>0.25433313860160295</v>
      </c>
      <c r="C121" s="2">
        <f t="shared" si="4"/>
        <v>0.25438373997865354</v>
      </c>
    </row>
    <row r="122" spans="1:3" x14ac:dyDescent="0.2">
      <c r="A122" s="2">
        <f t="shared" si="5"/>
        <v>303.17347147609235</v>
      </c>
      <c r="B122" s="155">
        <f t="shared" si="3"/>
        <v>0.23121611357765434</v>
      </c>
      <c r="C122" s="2">
        <f t="shared" si="4"/>
        <v>0.23125794543513956</v>
      </c>
    </row>
    <row r="123" spans="1:3" x14ac:dyDescent="0.2">
      <c r="A123" s="2">
        <f t="shared" si="5"/>
        <v>333.49081862370161</v>
      </c>
      <c r="B123" s="155">
        <f t="shared" si="3"/>
        <v>0.21019991464694329</v>
      </c>
      <c r="C123" s="2">
        <f t="shared" si="4"/>
        <v>0.21023449585012685</v>
      </c>
    </row>
    <row r="124" spans="1:3" x14ac:dyDescent="0.2">
      <c r="A124" s="2">
        <f t="shared" si="5"/>
        <v>366.83990048607183</v>
      </c>
      <c r="B124" s="155">
        <f t="shared" si="3"/>
        <v>0.19109368237010296</v>
      </c>
      <c r="C124" s="2">
        <f t="shared" si="4"/>
        <v>0.19112226895466072</v>
      </c>
    </row>
    <row r="125" spans="1:3" x14ac:dyDescent="0.2">
      <c r="A125" s="2">
        <f t="shared" si="5"/>
        <v>403.52389053467903</v>
      </c>
      <c r="B125" s="155">
        <f t="shared" si="3"/>
        <v>0.17372388663715532</v>
      </c>
      <c r="C125" s="2">
        <f t="shared" si="4"/>
        <v>0.17374751723150975</v>
      </c>
    </row>
    <row r="126" spans="1:3" x14ac:dyDescent="0.2">
      <c r="A126" s="2">
        <f t="shared" si="5"/>
        <v>443.87627958814699</v>
      </c>
      <c r="B126" s="155">
        <f t="shared" si="3"/>
        <v>0.15793275497992998</v>
      </c>
      <c r="C126" s="2">
        <f t="shared" si="4"/>
        <v>0.15795228839228156</v>
      </c>
    </row>
    <row r="127" spans="1:3" x14ac:dyDescent="0.2">
      <c r="A127" s="2">
        <f t="shared" si="5"/>
        <v>488.26390754696172</v>
      </c>
      <c r="B127" s="155">
        <f t="shared" si="3"/>
        <v>0.14357684312953764</v>
      </c>
      <c r="C127" s="2">
        <f t="shared" si="4"/>
        <v>0.14359298944752871</v>
      </c>
    </row>
    <row r="128" spans="1:3" x14ac:dyDescent="0.2">
      <c r="A128" s="2">
        <f t="shared" si="5"/>
        <v>537.09029830165798</v>
      </c>
      <c r="B128" s="155">
        <f t="shared" si="3"/>
        <v>0.1305257349959677</v>
      </c>
      <c r="C128" s="2">
        <f t="shared" si="4"/>
        <v>0.13053908131593517</v>
      </c>
    </row>
    <row r="129" spans="1:3" x14ac:dyDescent="0.2">
      <c r="A129" s="2">
        <f t="shared" si="5"/>
        <v>590.79932813182381</v>
      </c>
      <c r="B129" s="155">
        <f t="shared" si="3"/>
        <v>0.11866086039424854</v>
      </c>
      <c r="C129" s="2">
        <f t="shared" si="4"/>
        <v>0.11867189210539558</v>
      </c>
    </row>
    <row r="130" spans="1:3" x14ac:dyDescent="0.2">
      <c r="A130" s="2">
        <f t="shared" si="5"/>
        <v>649.87926094500619</v>
      </c>
      <c r="B130" s="155">
        <f t="shared" si="3"/>
        <v>0.10787441988773898</v>
      </c>
      <c r="C130" s="2">
        <f t="shared" si="4"/>
        <v>0.10788353827763235</v>
      </c>
    </row>
    <row r="131" spans="1:3" x14ac:dyDescent="0.2">
      <c r="A131" s="2">
        <f t="shared" si="5"/>
        <v>714.86718703950692</v>
      </c>
      <c r="B131" s="155">
        <f t="shared" si="3"/>
        <v>9.8068407072713193E-2</v>
      </c>
      <c r="C131" s="2">
        <f t="shared" si="4"/>
        <v>9.8075943888756678E-2</v>
      </c>
    </row>
    <row r="132" spans="1:3" x14ac:dyDescent="0.2">
      <c r="A132" s="2">
        <f t="shared" si="5"/>
        <v>786.35390574345763</v>
      </c>
      <c r="B132" s="155">
        <f t="shared" si="3"/>
        <v>8.9153719497446299E-2</v>
      </c>
      <c r="C132" s="2">
        <f t="shared" si="4"/>
        <v>8.9159948989778789E-2</v>
      </c>
    </row>
    <row r="133" spans="1:3" x14ac:dyDescent="0.2">
      <c r="A133" s="2">
        <f t="shared" si="5"/>
        <v>864.98929631780345</v>
      </c>
      <c r="B133" s="155">
        <f t="shared" si="3"/>
        <v>8.1049350200834383E-2</v>
      </c>
      <c r="C133" s="2">
        <f t="shared" si="4"/>
        <v>8.1054499081617076E-2</v>
      </c>
    </row>
    <row r="134" spans="1:3" x14ac:dyDescent="0.2">
      <c r="A134" s="2">
        <f t="shared" si="5"/>
        <v>951.48822594958392</v>
      </c>
      <c r="B134" s="155">
        <f t="shared" si="3"/>
        <v>7.3681652576915599E-2</v>
      </c>
      <c r="C134" s="2">
        <f t="shared" si="4"/>
        <v>7.3685908256015523E-2</v>
      </c>
    </row>
    <row r="135" spans="1:3" x14ac:dyDescent="0.2">
      <c r="A135" s="2">
        <f t="shared" si="5"/>
        <v>1046.6370485445425</v>
      </c>
      <c r="B135" s="155">
        <f t="shared" si="3"/>
        <v>6.698367192865283E-2</v>
      </c>
      <c r="C135" s="2">
        <f t="shared" si="4"/>
        <v>6.6987189323650456E-2</v>
      </c>
    </row>
    <row r="136" spans="1:3" x14ac:dyDescent="0.2">
      <c r="A136" s="2">
        <f t="shared" si="5"/>
        <v>1151.3007533989969</v>
      </c>
      <c r="B136" s="155">
        <f t="shared" si="3"/>
        <v>6.0894537672639401E-2</v>
      </c>
      <c r="C136" s="2">
        <f t="shared" si="4"/>
        <v>6.0897444839682222E-2</v>
      </c>
    </row>
    <row r="137" spans="1:3" x14ac:dyDescent="0.2">
      <c r="A137" s="195"/>
      <c r="B137" s="144"/>
    </row>
    <row r="138" spans="1:3" x14ac:dyDescent="0.2">
      <c r="A138" s="195"/>
      <c r="B138" s="144"/>
    </row>
    <row r="139" spans="1:3" x14ac:dyDescent="0.2">
      <c r="A139" s="195"/>
      <c r="B139" s="144"/>
    </row>
    <row r="140" spans="1:3" x14ac:dyDescent="0.2">
      <c r="A140" s="195"/>
      <c r="B140" s="144"/>
    </row>
    <row r="141" spans="1:3" x14ac:dyDescent="0.2">
      <c r="A141" s="195"/>
      <c r="B141" s="144"/>
    </row>
  </sheetData>
  <phoneticPr fontId="25" type="noConversion"/>
  <pageMargins left="0.75" right="0.75" top="1" bottom="1" header="0.5" footer="0.5"/>
  <headerFooter alignWithMargins="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51"/>
  <sheetViews>
    <sheetView tabSelected="1" zoomScale="75" workbookViewId="0">
      <selection activeCell="J17" sqref="J16:J17"/>
    </sheetView>
  </sheetViews>
  <sheetFormatPr defaultColWidth="8" defaultRowHeight="12.75" x14ac:dyDescent="0.2"/>
  <cols>
    <col min="1" max="16384" width="8" style="2"/>
  </cols>
  <sheetData>
    <row r="1" spans="1:11" ht="18" x14ac:dyDescent="0.25">
      <c r="A1" s="1" t="str">
        <f>' T = Tb'!A1</f>
        <v>Benzene</v>
      </c>
      <c r="F1" s="2" t="s">
        <v>0</v>
      </c>
      <c r="G1" s="2">
        <v>1</v>
      </c>
      <c r="J1" s="4"/>
    </row>
    <row r="2" spans="1:11" x14ac:dyDescent="0.2">
      <c r="B2" s="4" t="s">
        <v>15</v>
      </c>
      <c r="C2" s="5">
        <f>' T = Tb'!B2</f>
        <v>78.114000000000004</v>
      </c>
      <c r="D2" s="2" t="s">
        <v>3</v>
      </c>
      <c r="F2" s="4" t="s">
        <v>4</v>
      </c>
      <c r="G2" s="37">
        <f>' T = Tb'!F2</f>
        <v>-7.0143300000000002</v>
      </c>
      <c r="H2" s="37"/>
      <c r="J2" s="4"/>
    </row>
    <row r="3" spans="1:11" ht="15.75" x14ac:dyDescent="0.3">
      <c r="B3" s="4" t="s">
        <v>17</v>
      </c>
      <c r="C3" s="5">
        <f>' T = Tb'!B3</f>
        <v>562.16</v>
      </c>
      <c r="D3" s="2" t="s">
        <v>2</v>
      </c>
      <c r="F3" s="4" t="s">
        <v>5</v>
      </c>
      <c r="G3" s="37">
        <f>' T = Tb'!F3</f>
        <v>1.5525599999999999</v>
      </c>
      <c r="H3" s="37"/>
      <c r="J3" s="4"/>
    </row>
    <row r="4" spans="1:11" ht="15.75" x14ac:dyDescent="0.3">
      <c r="B4" s="4" t="s">
        <v>18</v>
      </c>
      <c r="C4" s="5">
        <f>' T = Tb'!B4</f>
        <v>48.98</v>
      </c>
      <c r="D4" s="2" t="s">
        <v>7</v>
      </c>
      <c r="F4" s="4" t="s">
        <v>8</v>
      </c>
      <c r="G4" s="37">
        <f>' T = Tb'!F4</f>
        <v>-1.8479000000000001</v>
      </c>
      <c r="H4" s="37"/>
      <c r="J4" s="4"/>
    </row>
    <row r="5" spans="1:11" ht="15.75" x14ac:dyDescent="0.3">
      <c r="B5" s="4" t="s">
        <v>18</v>
      </c>
      <c r="C5" s="5">
        <f>' T = Tb'!B5</f>
        <v>4898</v>
      </c>
      <c r="D5" s="2" t="s">
        <v>9</v>
      </c>
      <c r="F5" s="4" t="s">
        <v>10</v>
      </c>
      <c r="G5" s="37">
        <f>' T = Tb'!F5</f>
        <v>-3.7130000000000001</v>
      </c>
      <c r="H5" s="37"/>
      <c r="J5" s="4"/>
    </row>
    <row r="6" spans="1:11" ht="15.75" x14ac:dyDescent="0.3">
      <c r="B6" s="4" t="s">
        <v>19</v>
      </c>
      <c r="C6" s="5">
        <f>' T = Tb'!B6</f>
        <v>256</v>
      </c>
      <c r="D6" s="2" t="s">
        <v>20</v>
      </c>
      <c r="F6" s="4" t="s">
        <v>21</v>
      </c>
      <c r="G6" s="18">
        <f>' T = Tb'!F6</f>
        <v>250</v>
      </c>
      <c r="I6" s="7">
        <f>G6/C3</f>
        <v>0.44471324889711117</v>
      </c>
      <c r="J6" s="2" t="s">
        <v>22</v>
      </c>
    </row>
    <row r="7" spans="1:11" ht="15.75" x14ac:dyDescent="0.3">
      <c r="B7" s="4" t="s">
        <v>19</v>
      </c>
      <c r="C7" s="5">
        <f>' T = Tb'!B7</f>
        <v>0.25600000000000001</v>
      </c>
      <c r="D7" s="46" t="s">
        <v>23</v>
      </c>
      <c r="F7" s="4" t="s">
        <v>24</v>
      </c>
      <c r="G7" s="18">
        <f>' T = Tb'!F7</f>
        <v>562.16</v>
      </c>
      <c r="I7" s="7">
        <f>G7/C3</f>
        <v>1</v>
      </c>
      <c r="J7" s="2" t="s">
        <v>25</v>
      </c>
    </row>
    <row r="8" spans="1:11" ht="15.75" x14ac:dyDescent="0.3">
      <c r="B8" s="4" t="s">
        <v>26</v>
      </c>
      <c r="C8" s="5">
        <f>' T = Tb'!B8</f>
        <v>0.26800000000000002</v>
      </c>
      <c r="F8" s="4" t="s">
        <v>27</v>
      </c>
      <c r="G8" s="18">
        <f>' T = Tb'!F8</f>
        <v>353.24</v>
      </c>
      <c r="H8" s="18"/>
      <c r="I8" s="7">
        <f>G8/C3</f>
        <v>0.6283620321616622</v>
      </c>
      <c r="J8" s="2" t="s">
        <v>28</v>
      </c>
    </row>
    <row r="9" spans="1:11" x14ac:dyDescent="0.2">
      <c r="B9" s="9" t="s">
        <v>29</v>
      </c>
      <c r="C9" s="5">
        <f>' T = Tb'!B9</f>
        <v>0.21</v>
      </c>
      <c r="F9" s="4"/>
      <c r="G9" s="18">
        <v>101.325</v>
      </c>
    </row>
    <row r="10" spans="1:11" ht="18" x14ac:dyDescent="0.25">
      <c r="B10" s="2" t="s">
        <v>11</v>
      </c>
      <c r="C10" s="2">
        <v>8.3145100000000003</v>
      </c>
      <c r="D10" s="2" t="s">
        <v>12</v>
      </c>
      <c r="K10" s="1"/>
    </row>
    <row r="12" spans="1:11" ht="15.75" x14ac:dyDescent="0.3">
      <c r="C12" s="4" t="s">
        <v>13</v>
      </c>
      <c r="D12" s="4" t="s">
        <v>96</v>
      </c>
      <c r="E12" s="21">
        <f>' T = Tb'!B12</f>
        <v>1881.7339064250737</v>
      </c>
      <c r="J12" s="5"/>
      <c r="K12" s="5"/>
    </row>
    <row r="13" spans="1:11" x14ac:dyDescent="0.2">
      <c r="B13" s="2">
        <v>1.8189894035458565E-12</v>
      </c>
      <c r="D13" s="4" t="s">
        <v>46</v>
      </c>
      <c r="E13" s="2">
        <v>848.57330401438003</v>
      </c>
      <c r="K13" s="4"/>
    </row>
    <row r="14" spans="1:11" x14ac:dyDescent="0.2">
      <c r="D14" s="4" t="s">
        <v>97</v>
      </c>
      <c r="E14" s="2">
        <f>C10*C3/8/C5</f>
        <v>0.11928554873417722</v>
      </c>
      <c r="K14" s="4"/>
    </row>
    <row r="15" spans="1:11" x14ac:dyDescent="0.2">
      <c r="B15" s="2">
        <v>0.1575</v>
      </c>
      <c r="D15" s="4"/>
      <c r="K15" s="4"/>
    </row>
    <row r="16" spans="1:11" x14ac:dyDescent="0.2">
      <c r="B16" s="2">
        <v>0</v>
      </c>
      <c r="D16" s="4"/>
      <c r="K16" s="4"/>
    </row>
    <row r="17" spans="1:21" x14ac:dyDescent="0.2">
      <c r="D17" s="4"/>
    </row>
    <row r="18" spans="1:21" x14ac:dyDescent="0.2">
      <c r="D18" s="4"/>
    </row>
    <row r="19" spans="1:21" ht="13.5" thickBot="1" x14ac:dyDescent="0.25">
      <c r="D19" s="4"/>
    </row>
    <row r="20" spans="1:21" ht="23.25" x14ac:dyDescent="0.4">
      <c r="F20" s="4"/>
      <c r="J20" s="47" t="s">
        <v>98</v>
      </c>
      <c r="K20" s="4"/>
      <c r="L20" s="17"/>
      <c r="M20" s="17"/>
      <c r="N20" s="17"/>
      <c r="O20" s="48"/>
      <c r="P20" s="49" t="s">
        <v>156</v>
      </c>
      <c r="Q20" s="49"/>
      <c r="R20" s="50"/>
      <c r="S20" s="50"/>
      <c r="T20" s="50"/>
      <c r="U20" s="51"/>
    </row>
    <row r="21" spans="1:21" x14ac:dyDescent="0.2">
      <c r="D21" s="99"/>
      <c r="E21" s="100"/>
      <c r="F21" s="54"/>
      <c r="G21" s="100"/>
      <c r="H21" s="159"/>
      <c r="I21" s="52" t="s">
        <v>47</v>
      </c>
      <c r="J21" s="53">
        <f>M48/N48</f>
        <v>0.86345398619431124</v>
      </c>
      <c r="K21" s="54"/>
      <c r="L21" s="55"/>
      <c r="M21" s="55"/>
      <c r="N21" s="55"/>
      <c r="O21" s="56" t="s">
        <v>47</v>
      </c>
      <c r="P21" s="53">
        <f>T48/U48</f>
        <v>0.82945223642411559</v>
      </c>
      <c r="Q21" s="53"/>
      <c r="R21" s="54"/>
      <c r="S21" s="55"/>
      <c r="T21" s="55"/>
      <c r="U21" s="57"/>
    </row>
    <row r="22" spans="1:21" ht="14.25" x14ac:dyDescent="0.2">
      <c r="D22" s="61"/>
      <c r="E22" s="34"/>
      <c r="F22" s="34"/>
      <c r="G22" s="34"/>
      <c r="H22" s="160"/>
      <c r="I22" s="58" t="s">
        <v>99</v>
      </c>
      <c r="J22" s="36">
        <f>(CORREL(G26:G47,I26:I47))^2</f>
        <v>0.99906068662434655</v>
      </c>
      <c r="K22" s="34"/>
      <c r="L22" s="245" t="s">
        <v>153</v>
      </c>
      <c r="M22" s="32"/>
      <c r="N22" s="32"/>
      <c r="O22" s="59" t="s">
        <v>99</v>
      </c>
      <c r="P22" s="36">
        <f>(CORREL(P26:P47,O26:O47))^2</f>
        <v>0.99982531036760192</v>
      </c>
      <c r="Q22" s="36"/>
      <c r="R22" s="241" t="s">
        <v>154</v>
      </c>
      <c r="S22" s="32"/>
      <c r="T22" s="32"/>
      <c r="U22" s="60"/>
    </row>
    <row r="23" spans="1:21" x14ac:dyDescent="0.2">
      <c r="D23" s="61"/>
      <c r="E23" s="34"/>
      <c r="F23" s="34"/>
      <c r="G23" s="34"/>
      <c r="H23" s="160"/>
      <c r="I23" s="61"/>
      <c r="J23" s="34"/>
      <c r="K23" s="34" t="s">
        <v>48</v>
      </c>
      <c r="L23" s="32"/>
      <c r="M23" s="32"/>
      <c r="N23" s="32"/>
      <c r="O23" s="62"/>
      <c r="P23" s="34"/>
      <c r="Q23" s="34"/>
      <c r="R23" s="34" t="s">
        <v>48</v>
      </c>
      <c r="S23" s="32"/>
      <c r="T23" s="32"/>
      <c r="U23" s="60"/>
    </row>
    <row r="24" spans="1:21" s="63" customFormat="1" ht="24.75" x14ac:dyDescent="0.5">
      <c r="B24" s="64" t="s">
        <v>49</v>
      </c>
      <c r="C24" s="64" t="s">
        <v>45</v>
      </c>
      <c r="D24" s="161" t="s">
        <v>50</v>
      </c>
      <c r="E24" s="68" t="s">
        <v>100</v>
      </c>
      <c r="F24" s="65" t="s">
        <v>101</v>
      </c>
      <c r="G24" s="66" t="s">
        <v>102</v>
      </c>
      <c r="H24" s="162" t="s">
        <v>103</v>
      </c>
      <c r="I24" s="67" t="s">
        <v>104</v>
      </c>
      <c r="J24" s="66" t="s">
        <v>102</v>
      </c>
      <c r="K24" s="65" t="s">
        <v>101</v>
      </c>
      <c r="L24" s="65" t="s">
        <v>105</v>
      </c>
      <c r="M24" s="65" t="s">
        <v>106</v>
      </c>
      <c r="N24" s="68" t="s">
        <v>107</v>
      </c>
      <c r="O24" s="69" t="s">
        <v>108</v>
      </c>
      <c r="P24" s="68" t="s">
        <v>109</v>
      </c>
      <c r="Q24" s="68"/>
      <c r="R24" s="65" t="s">
        <v>101</v>
      </c>
      <c r="S24" s="65" t="s">
        <v>105</v>
      </c>
      <c r="T24" s="65" t="s">
        <v>106</v>
      </c>
      <c r="U24" s="70" t="s">
        <v>107</v>
      </c>
    </row>
    <row r="25" spans="1:21" x14ac:dyDescent="0.2">
      <c r="B25" s="5" t="s">
        <v>2</v>
      </c>
      <c r="C25" s="5" t="s">
        <v>7</v>
      </c>
      <c r="D25" s="61"/>
      <c r="E25" s="34"/>
      <c r="F25" s="34"/>
      <c r="G25" s="34"/>
      <c r="H25" s="160"/>
      <c r="I25" s="61"/>
      <c r="J25" s="34"/>
      <c r="K25" s="34"/>
      <c r="L25" s="43" t="s">
        <v>51</v>
      </c>
      <c r="M25" s="34"/>
      <c r="N25" s="34"/>
      <c r="O25" s="62"/>
      <c r="P25" s="34"/>
      <c r="Q25" s="34"/>
      <c r="R25" s="34"/>
      <c r="S25" s="43" t="s">
        <v>51</v>
      </c>
      <c r="T25" s="34"/>
      <c r="U25" s="71"/>
    </row>
    <row r="26" spans="1:21" x14ac:dyDescent="0.2">
      <c r="A26" s="5" t="s">
        <v>52</v>
      </c>
      <c r="B26" s="72">
        <f>Tmin!I1</f>
        <v>250</v>
      </c>
      <c r="C26" s="7">
        <f>Tmin!I3</f>
        <v>8.0836149165030638E-3</v>
      </c>
      <c r="D26" s="61">
        <f t="shared" ref="D26:D47" si="0">1000/B26</f>
        <v>4</v>
      </c>
      <c r="E26" s="163">
        <f t="shared" ref="E26:E47" si="1">B26/$C$3</f>
        <v>0.44471324889711117</v>
      </c>
      <c r="F26" s="42">
        <f>Tmin!B13</f>
        <v>3076.8984570537541</v>
      </c>
      <c r="G26" s="34">
        <f t="shared" ref="G26:G47" si="2">LN(F26/$E$12)</f>
        <v>0.49172845271806259</v>
      </c>
      <c r="H26" s="160">
        <f>'Phase diagram'!D26</f>
        <v>0.13085271658314221</v>
      </c>
      <c r="I26" s="61">
        <f t="shared" ref="I26:I47" si="3">(1-E26)</f>
        <v>0.55528675110288883</v>
      </c>
      <c r="J26" s="34">
        <f t="shared" ref="J26:J47" si="4">$J$21*I26</f>
        <v>0.47946455872067772</v>
      </c>
      <c r="K26" s="42">
        <f t="shared" ref="K26:K48" si="5">$E$12*EXP(J26)</f>
        <v>3039.3941450516904</v>
      </c>
      <c r="L26" s="74">
        <f t="shared" ref="L26:L47" si="6">100*(F26-K26)/F26</f>
        <v>1.2188998930427968</v>
      </c>
      <c r="M26" s="75">
        <f t="shared" ref="M26:M46" si="7">I26*G26</f>
        <v>0.27305029493466348</v>
      </c>
      <c r="N26" s="75">
        <f t="shared" ref="N26:N46" si="8">I26^2</f>
        <v>0.30834337595040162</v>
      </c>
      <c r="O26" s="62">
        <f t="shared" ref="O26:O48" si="9">1-SQRT(E26)</f>
        <v>0.33313176046754844</v>
      </c>
      <c r="P26" s="76">
        <f>SQRT(F26/$E$12)-1</f>
        <v>0.27872594447759691</v>
      </c>
      <c r="Q26" s="76">
        <f t="shared" ref="Q26:Q47" si="10">$P$21*O26</f>
        <v>0.27631688374371083</v>
      </c>
      <c r="R26" s="42">
        <f>$E$12*(1+O26*$P$21)^2</f>
        <v>3065.3159081207946</v>
      </c>
      <c r="S26" s="74">
        <f t="shared" ref="S26:S47" si="11">100*(F26-R26)/F26</f>
        <v>0.37643585235666993</v>
      </c>
      <c r="T26" s="75">
        <f t="shared" ref="T26:T46" si="12">O26*P26</f>
        <v>9.2852464571802018E-2</v>
      </c>
      <c r="U26" s="77">
        <f t="shared" ref="U26:U46" si="13">O26^2</f>
        <v>0.11097676983220807</v>
      </c>
    </row>
    <row r="27" spans="1:21" x14ac:dyDescent="0.2">
      <c r="A27" s="5" t="s">
        <v>53</v>
      </c>
      <c r="B27" s="72">
        <f>'T2'!I1</f>
        <v>260.33706553565617</v>
      </c>
      <c r="C27" s="7">
        <f>'T2'!I3</f>
        <v>1.6207266195744433E-2</v>
      </c>
      <c r="D27" s="61">
        <f t="shared" si="0"/>
        <v>3.8411741253303728</v>
      </c>
      <c r="E27" s="163">
        <f t="shared" si="1"/>
        <v>0.46310136889080722</v>
      </c>
      <c r="F27" s="42">
        <f>'T2'!B13</f>
        <v>3018.0984969595138</v>
      </c>
      <c r="G27" s="34">
        <f t="shared" si="2"/>
        <v>0.47243335386913582</v>
      </c>
      <c r="H27" s="160">
        <f>'Phase diagram'!D27</f>
        <v>0.13173101900813594</v>
      </c>
      <c r="I27" s="61">
        <f t="shared" si="3"/>
        <v>0.53689863110919278</v>
      </c>
      <c r="J27" s="34">
        <f t="shared" si="4"/>
        <v>0.46358726321350152</v>
      </c>
      <c r="K27" s="42">
        <f t="shared" si="5"/>
        <v>2991.5178647239964</v>
      </c>
      <c r="L27" s="74">
        <f t="shared" si="6"/>
        <v>0.88070791136522697</v>
      </c>
      <c r="M27" s="75">
        <f t="shared" si="7"/>
        <v>0.25364882098266389</v>
      </c>
      <c r="N27" s="75">
        <f t="shared" si="8"/>
        <v>0.28826014008692508</v>
      </c>
      <c r="O27" s="62">
        <f t="shared" si="9"/>
        <v>0.31948448299042642</v>
      </c>
      <c r="P27" s="76">
        <f t="shared" ref="P27:P48" si="14">SQRT(F27/$E$12)-1</f>
        <v>0.26644869065992394</v>
      </c>
      <c r="Q27" s="76">
        <f t="shared" si="10"/>
        <v>0.26499711891921152</v>
      </c>
      <c r="R27" s="42">
        <f t="shared" ref="R27:R47" si="15">$E$12*(1+O27*$P$21)^2</f>
        <v>3011.1839242133437</v>
      </c>
      <c r="S27" s="74">
        <f t="shared" si="11"/>
        <v>0.22910361451542802</v>
      </c>
      <c r="T27" s="75">
        <f t="shared" si="12"/>
        <v>8.5126222178961861E-2</v>
      </c>
      <c r="U27" s="77">
        <f t="shared" si="13"/>
        <v>0.10207033487166008</v>
      </c>
    </row>
    <row r="28" spans="1:21" x14ac:dyDescent="0.2">
      <c r="A28" s="5" t="s">
        <v>54</v>
      </c>
      <c r="B28" s="72">
        <f>'T3'!I1</f>
        <v>271.10155076686613</v>
      </c>
      <c r="C28" s="7">
        <f>'T3'!I3</f>
        <v>3.1258875210762156E-2</v>
      </c>
      <c r="D28" s="61">
        <f t="shared" si="0"/>
        <v>3.6886546652768888</v>
      </c>
      <c r="E28" s="163">
        <f t="shared" si="1"/>
        <v>0.48224980569031262</v>
      </c>
      <c r="F28" s="42">
        <f>'T3'!B13</f>
        <v>2959.4655073837321</v>
      </c>
      <c r="G28" s="34">
        <f t="shared" si="2"/>
        <v>0.45281503775629783</v>
      </c>
      <c r="H28" s="160">
        <f>'Phase diagram'!D28</f>
        <v>0.13269675752520102</v>
      </c>
      <c r="I28" s="61">
        <f t="shared" si="3"/>
        <v>0.51775019430968738</v>
      </c>
      <c r="J28" s="34">
        <f t="shared" si="4"/>
        <v>0.44705346912957877</v>
      </c>
      <c r="K28" s="42">
        <f t="shared" si="5"/>
        <v>2942.4633702874626</v>
      </c>
      <c r="L28" s="74">
        <f t="shared" si="6"/>
        <v>0.57450026208617555</v>
      </c>
      <c r="M28" s="75">
        <f t="shared" si="7"/>
        <v>0.23444507378467164</v>
      </c>
      <c r="N28" s="75">
        <f t="shared" si="8"/>
        <v>0.26806526370771905</v>
      </c>
      <c r="O28" s="62">
        <f t="shared" si="9"/>
        <v>0.30555791768477003</v>
      </c>
      <c r="P28" s="76">
        <f t="shared" si="14"/>
        <v>0.25408662513279801</v>
      </c>
      <c r="Q28" s="76">
        <f t="shared" si="10"/>
        <v>0.25344569818072832</v>
      </c>
      <c r="R28" s="42">
        <f t="shared" si="15"/>
        <v>2956.441288052114</v>
      </c>
      <c r="S28" s="74">
        <f t="shared" si="11"/>
        <v>0.10218802429265528</v>
      </c>
      <c r="T28" s="75">
        <f t="shared" si="12"/>
        <v>7.7638180087128514E-2</v>
      </c>
      <c r="U28" s="77">
        <f t="shared" si="13"/>
        <v>9.3365641059852691E-2</v>
      </c>
    </row>
    <row r="29" spans="1:21" x14ac:dyDescent="0.2">
      <c r="A29" s="5" t="s">
        <v>55</v>
      </c>
      <c r="B29" s="72">
        <f>'T4'!I1</f>
        <v>282.31112875524661</v>
      </c>
      <c r="C29" s="17">
        <f>'T4'!I3</f>
        <v>5.811723116708116E-2</v>
      </c>
      <c r="D29" s="61">
        <f t="shared" si="0"/>
        <v>3.5421912143851872</v>
      </c>
      <c r="E29" s="163">
        <f t="shared" si="1"/>
        <v>0.50218999707422551</v>
      </c>
      <c r="F29" s="42">
        <f>'T4'!B13</f>
        <v>2900.9771382066147</v>
      </c>
      <c r="G29" s="34">
        <f t="shared" si="2"/>
        <v>0.43285398200385855</v>
      </c>
      <c r="H29" s="160">
        <f>'Phase diagram'!D29</f>
        <v>0.13376234798893852</v>
      </c>
      <c r="I29" s="61">
        <f t="shared" si="3"/>
        <v>0.49781000292577449</v>
      </c>
      <c r="J29" s="34">
        <f t="shared" si="4"/>
        <v>0.42983603139366172</v>
      </c>
      <c r="K29" s="42">
        <f t="shared" si="5"/>
        <v>2892.2353302895158</v>
      </c>
      <c r="L29" s="74">
        <f t="shared" si="6"/>
        <v>0.30134011750616752</v>
      </c>
      <c r="M29" s="75">
        <f t="shared" si="7"/>
        <v>0.21547904204777396</v>
      </c>
      <c r="N29" s="75">
        <f t="shared" si="8"/>
        <v>0.24781479901295961</v>
      </c>
      <c r="O29" s="62">
        <f t="shared" si="9"/>
        <v>0.29134634900099077</v>
      </c>
      <c r="P29" s="76">
        <f t="shared" si="14"/>
        <v>0.24163243170479221</v>
      </c>
      <c r="Q29" s="76">
        <f t="shared" si="10"/>
        <v>0.24165788075287267</v>
      </c>
      <c r="R29" s="42">
        <f t="shared" si="15"/>
        <v>2901.0960588491198</v>
      </c>
      <c r="S29" s="74">
        <f t="shared" si="11"/>
        <v>-4.0993305648269265E-3</v>
      </c>
      <c r="T29" s="75">
        <f t="shared" si="12"/>
        <v>7.0398726777422455E-2</v>
      </c>
      <c r="U29" s="77">
        <f t="shared" si="13"/>
        <v>8.4882695076207118E-2</v>
      </c>
    </row>
    <row r="30" spans="1:21" x14ac:dyDescent="0.2">
      <c r="A30" s="5" t="s">
        <v>56</v>
      </c>
      <c r="B30" s="72">
        <f>'T5'!I1</f>
        <v>293.9842033127988</v>
      </c>
      <c r="C30" s="17">
        <f>'T5'!I3</f>
        <v>0.10437433943134912</v>
      </c>
      <c r="D30" s="61">
        <f t="shared" si="0"/>
        <v>3.4015433099172383</v>
      </c>
      <c r="E30" s="163">
        <f t="shared" si="1"/>
        <v>0.52295468071865447</v>
      </c>
      <c r="F30" s="42">
        <f>'T5'!B13</f>
        <v>2842.6049961085528</v>
      </c>
      <c r="G30" s="34">
        <f t="shared" si="2"/>
        <v>0.41252724146053105</v>
      </c>
      <c r="H30" s="160">
        <f>'Phase diagram'!D30</f>
        <v>0.13494275384656634</v>
      </c>
      <c r="I30" s="61">
        <f t="shared" si="3"/>
        <v>0.47704531928134553</v>
      </c>
      <c r="J30" s="34">
        <f t="shared" si="4"/>
        <v>0.41190668252881574</v>
      </c>
      <c r="K30" s="42">
        <f t="shared" si="5"/>
        <v>2840.8415394098729</v>
      </c>
      <c r="L30" s="74">
        <f t="shared" si="6"/>
        <v>6.2036642484411229E-2</v>
      </c>
      <c r="M30" s="75">
        <f t="shared" si="7"/>
        <v>0.19679418961479175</v>
      </c>
      <c r="N30" s="75">
        <f t="shared" si="8"/>
        <v>0.22757223664824089</v>
      </c>
      <c r="O30" s="62">
        <f t="shared" si="9"/>
        <v>0.27684394442232974</v>
      </c>
      <c r="P30" s="76">
        <f t="shared" si="14"/>
        <v>0.22907717151266582</v>
      </c>
      <c r="Q30" s="76">
        <f t="shared" si="10"/>
        <v>0.22962882884157496</v>
      </c>
      <c r="R30" s="42">
        <f t="shared" si="15"/>
        <v>2845.157310702682</v>
      </c>
      <c r="S30" s="74">
        <f t="shared" si="11"/>
        <v>-8.9787874067037268E-2</v>
      </c>
      <c r="T30" s="75">
        <f t="shared" si="12"/>
        <v>6.3418627738676958E-2</v>
      </c>
      <c r="U30" s="77">
        <f t="shared" si="13"/>
        <v>7.6642569563314E-2</v>
      </c>
    </row>
    <row r="31" spans="1:21" x14ac:dyDescent="0.2">
      <c r="A31" s="5" t="s">
        <v>57</v>
      </c>
      <c r="B31" s="72">
        <f>'T6'!I1</f>
        <v>306.13993921716707</v>
      </c>
      <c r="C31" s="17">
        <f>'T6'!I3</f>
        <v>0.18143013473605477</v>
      </c>
      <c r="D31" s="61">
        <f t="shared" si="0"/>
        <v>3.2664800370611822</v>
      </c>
      <c r="E31" s="163">
        <f t="shared" si="1"/>
        <v>0.54457794794572201</v>
      </c>
      <c r="F31" s="42">
        <f>'T6'!B13</f>
        <v>2784.3170844830029</v>
      </c>
      <c r="G31" s="34">
        <f t="shared" si="2"/>
        <v>0.39180898883023701</v>
      </c>
      <c r="H31" s="160">
        <f>'Phase diagram'!D31</f>
        <v>0.13625617187566796</v>
      </c>
      <c r="I31" s="61">
        <f t="shared" si="3"/>
        <v>0.45542205205427799</v>
      </c>
      <c r="J31" s="34">
        <f t="shared" si="4"/>
        <v>0.39323598624705947</v>
      </c>
      <c r="K31" s="42">
        <f t="shared" si="5"/>
        <v>2788.2931340016612</v>
      </c>
      <c r="L31" s="74">
        <f t="shared" si="6"/>
        <v>-0.14280160621133453</v>
      </c>
      <c r="M31" s="75">
        <f t="shared" si="7"/>
        <v>0.17843845370637823</v>
      </c>
      <c r="N31" s="75">
        <f t="shared" si="8"/>
        <v>0.2074092454973295</v>
      </c>
      <c r="O31" s="62">
        <f t="shared" si="9"/>
        <v>0.26204475207115574</v>
      </c>
      <c r="P31" s="76">
        <f t="shared" si="14"/>
        <v>0.21641072576868514</v>
      </c>
      <c r="Q31" s="76">
        <f t="shared" si="10"/>
        <v>0.21735360564862302</v>
      </c>
      <c r="R31" s="42">
        <f t="shared" si="15"/>
        <v>2788.6351885110344</v>
      </c>
      <c r="S31" s="74">
        <f t="shared" si="11"/>
        <v>-0.15508664771323191</v>
      </c>
      <c r="T31" s="75">
        <f t="shared" si="12"/>
        <v>5.6709294979593976E-2</v>
      </c>
      <c r="U31" s="77">
        <f t="shared" si="13"/>
        <v>6.8667452088033487E-2</v>
      </c>
    </row>
    <row r="32" spans="1:21" x14ac:dyDescent="0.2">
      <c r="A32" s="5" t="s">
        <v>58</v>
      </c>
      <c r="B32" s="72">
        <f>'T7'!I1</f>
        <v>318.79829367624569</v>
      </c>
      <c r="C32" s="17">
        <f>'T7'!I3</f>
        <v>0.30584494184815675</v>
      </c>
      <c r="D32" s="61">
        <f t="shared" si="0"/>
        <v>3.1367796498169023</v>
      </c>
      <c r="E32" s="163">
        <f t="shared" si="1"/>
        <v>0.56709529969447436</v>
      </c>
      <c r="F32" s="42">
        <f>'T7'!B13</f>
        <v>2726.08013390323</v>
      </c>
      <c r="G32" s="34">
        <f t="shared" si="2"/>
        <v>0.37067108654687458</v>
      </c>
      <c r="H32" s="160">
        <f>'Phase diagram'!D32</f>
        <v>0.137724952917779</v>
      </c>
      <c r="I32" s="61">
        <f t="shared" si="3"/>
        <v>0.43290470030552564</v>
      </c>
      <c r="J32" s="34">
        <f t="shared" si="4"/>
        <v>0.3737932891210598</v>
      </c>
      <c r="K32" s="42">
        <f t="shared" si="5"/>
        <v>2734.6048092714441</v>
      </c>
      <c r="L32" s="74">
        <f t="shared" si="6"/>
        <v>-0.31270817252199878</v>
      </c>
      <c r="M32" s="75">
        <f t="shared" si="7"/>
        <v>0.16046525563349831</v>
      </c>
      <c r="N32" s="75">
        <f t="shared" si="8"/>
        <v>0.18740647954661696</v>
      </c>
      <c r="O32" s="62">
        <f t="shared" si="9"/>
        <v>0.24694269826627779</v>
      </c>
      <c r="P32" s="76">
        <f t="shared" si="14"/>
        <v>0.20362223972408655</v>
      </c>
      <c r="Q32" s="76">
        <f t="shared" si="10"/>
        <v>0.20482717334556969</v>
      </c>
      <c r="R32" s="42">
        <f t="shared" si="15"/>
        <v>2731.5409664833396</v>
      </c>
      <c r="S32" s="74">
        <f t="shared" si="11"/>
        <v>-0.200318123895012</v>
      </c>
      <c r="T32" s="75">
        <f t="shared" si="12"/>
        <v>5.028302530448879E-2</v>
      </c>
      <c r="U32" s="77">
        <f t="shared" si="13"/>
        <v>6.0980696227029917E-2</v>
      </c>
    </row>
    <row r="33" spans="1:21" x14ac:dyDescent="0.2">
      <c r="A33" s="5" t="s">
        <v>59</v>
      </c>
      <c r="B33" s="72">
        <f>'T8'!I1</f>
        <v>331.9800490937925</v>
      </c>
      <c r="C33" s="17">
        <f>'T8'!I3</f>
        <v>0.50095379404491969</v>
      </c>
      <c r="D33" s="61">
        <f t="shared" si="0"/>
        <v>3.0122292069348888</v>
      </c>
      <c r="E33" s="163">
        <f t="shared" si="1"/>
        <v>0.59054370480609175</v>
      </c>
      <c r="F33" s="42">
        <f>'T8'!B13</f>
        <v>2667.8614237862971</v>
      </c>
      <c r="G33" s="34">
        <f t="shared" si="2"/>
        <v>0.34908354414956422</v>
      </c>
      <c r="H33" s="160">
        <f>'Phase diagram'!D33</f>
        <v>0.13937686391254375</v>
      </c>
      <c r="I33" s="61">
        <f t="shared" si="3"/>
        <v>0.40945629519390825</v>
      </c>
      <c r="J33" s="34">
        <f t="shared" si="4"/>
        <v>0.35354667025753467</v>
      </c>
      <c r="K33" s="42">
        <f t="shared" si="5"/>
        <v>2679.7950365593215</v>
      </c>
      <c r="L33" s="74">
        <f t="shared" si="6"/>
        <v>-0.44731006890484931</v>
      </c>
      <c r="M33" s="75">
        <f t="shared" si="7"/>
        <v>0.14293445470063967</v>
      </c>
      <c r="N33" s="75">
        <f t="shared" si="8"/>
        <v>0.16765445767392093</v>
      </c>
      <c r="O33" s="62">
        <f t="shared" si="9"/>
        <v>0.23153158503026827</v>
      </c>
      <c r="P33" s="76">
        <f t="shared" si="14"/>
        <v>0.19070047937566614</v>
      </c>
      <c r="Q33" s="76">
        <f t="shared" si="10"/>
        <v>0.19204439100617629</v>
      </c>
      <c r="R33" s="42">
        <f t="shared" si="15"/>
        <v>2673.8871093613539</v>
      </c>
      <c r="S33" s="74">
        <f t="shared" si="11"/>
        <v>-0.2258620152206007</v>
      </c>
      <c r="T33" s="75">
        <f t="shared" si="12"/>
        <v>4.4153184255879968E-2</v>
      </c>
      <c r="U33" s="77">
        <f t="shared" si="13"/>
        <v>5.3606874866628344E-2</v>
      </c>
    </row>
    <row r="34" spans="1:21" x14ac:dyDescent="0.2">
      <c r="A34" s="5" t="s">
        <v>60</v>
      </c>
      <c r="B34" s="72">
        <f>'T9'!I1</f>
        <v>345.70684718984404</v>
      </c>
      <c r="C34" s="17">
        <f>'T9'!I3</f>
        <v>0.79873897287460038</v>
      </c>
      <c r="D34" s="61">
        <f t="shared" si="0"/>
        <v>2.8926242223106811</v>
      </c>
      <c r="E34" s="163">
        <f t="shared" si="1"/>
        <v>0.61496166071909075</v>
      </c>
      <c r="F34" s="42">
        <f>'T9'!B13</f>
        <v>2609.6297392169022</v>
      </c>
      <c r="G34" s="34">
        <f t="shared" si="2"/>
        <v>0.32701470645738612</v>
      </c>
      <c r="H34" s="160">
        <f>'Phase diagram'!D34</f>
        <v>0.14124685775470069</v>
      </c>
      <c r="I34" s="61">
        <f t="shared" si="3"/>
        <v>0.38503833928090925</v>
      </c>
      <c r="J34" s="34">
        <f t="shared" si="4"/>
        <v>0.33246288888973874</v>
      </c>
      <c r="K34" s="42">
        <f t="shared" si="5"/>
        <v>2623.8862789674008</v>
      </c>
      <c r="L34" s="74">
        <f t="shared" si="6"/>
        <v>-0.54630507677984752</v>
      </c>
      <c r="M34" s="75">
        <f t="shared" si="7"/>
        <v>0.12591319949478599</v>
      </c>
      <c r="N34" s="75">
        <f t="shared" si="8"/>
        <v>0.14825452271620057</v>
      </c>
      <c r="O34" s="62">
        <f t="shared" si="9"/>
        <v>0.21580508754577432</v>
      </c>
      <c r="P34" s="76">
        <f t="shared" si="14"/>
        <v>0.17763401456781081</v>
      </c>
      <c r="Q34" s="76">
        <f t="shared" si="10"/>
        <v>0.17900001249654457</v>
      </c>
      <c r="R34" s="42">
        <f t="shared" si="15"/>
        <v>2615.6873364697908</v>
      </c>
      <c r="S34" s="74">
        <f t="shared" si="11"/>
        <v>-0.23212477854066726</v>
      </c>
      <c r="T34" s="75">
        <f t="shared" si="12"/>
        <v>3.8334324064913765E-2</v>
      </c>
      <c r="U34" s="77">
        <f t="shared" si="13"/>
        <v>4.6571835810639318E-2</v>
      </c>
    </row>
    <row r="35" spans="1:21" x14ac:dyDescent="0.2">
      <c r="A35" s="5" t="s">
        <v>61</v>
      </c>
      <c r="B35" s="72">
        <f>'T10'!I1</f>
        <v>360.00122453195002</v>
      </c>
      <c r="C35" s="17">
        <f>'T10'!I3</f>
        <v>1.2419565662834327</v>
      </c>
      <c r="D35" s="61">
        <f t="shared" si="0"/>
        <v>2.7777683292609199</v>
      </c>
      <c r="E35" s="163">
        <f t="shared" si="1"/>
        <v>0.64038925667416757</v>
      </c>
      <c r="F35" s="42">
        <f>'T10'!B13</f>
        <v>2551.3552008052825</v>
      </c>
      <c r="G35" s="34">
        <f t="shared" si="2"/>
        <v>0.30443102685150308</v>
      </c>
      <c r="H35" s="160">
        <f>'Phase diagram'!D35</f>
        <v>0.14337961869641269</v>
      </c>
      <c r="I35" s="61">
        <f t="shared" si="3"/>
        <v>0.35961074332583243</v>
      </c>
      <c r="J35" s="34">
        <f t="shared" si="4"/>
        <v>0.31050732980298934</v>
      </c>
      <c r="K35" s="42">
        <f t="shared" si="5"/>
        <v>2566.9052033614048</v>
      </c>
      <c r="L35" s="74">
        <f t="shared" si="6"/>
        <v>-0.60948011281276204</v>
      </c>
      <c r="M35" s="75">
        <f t="shared" si="7"/>
        <v>0.10947666785751548</v>
      </c>
      <c r="N35" s="75">
        <f t="shared" si="8"/>
        <v>0.12931988671535774</v>
      </c>
      <c r="O35" s="62">
        <f t="shared" si="9"/>
        <v>0.19975675155977257</v>
      </c>
      <c r="P35" s="76">
        <f t="shared" si="14"/>
        <v>0.16441115563004627</v>
      </c>
      <c r="Q35" s="76">
        <f t="shared" si="10"/>
        <v>0.16568868432206979</v>
      </c>
      <c r="R35" s="42">
        <f t="shared" si="15"/>
        <v>2556.9566887184101</v>
      </c>
      <c r="S35" s="74">
        <f t="shared" si="11"/>
        <v>-0.21954951279851551</v>
      </c>
      <c r="T35" s="75">
        <f t="shared" si="12"/>
        <v>3.2842238368846255E-2</v>
      </c>
      <c r="U35" s="77">
        <f t="shared" si="13"/>
        <v>3.9902759793712703E-2</v>
      </c>
    </row>
    <row r="36" spans="1:21" x14ac:dyDescent="0.2">
      <c r="A36" s="5" t="s">
        <v>62</v>
      </c>
      <c r="B36" s="72">
        <f>'T11'!I1</f>
        <v>374.88664953556292</v>
      </c>
      <c r="C36" s="17">
        <f>'T11'!I3</f>
        <v>1.8865230429204805</v>
      </c>
      <c r="D36" s="61">
        <f t="shared" si="0"/>
        <v>2.6674729581298062</v>
      </c>
      <c r="E36" s="163">
        <f t="shared" si="1"/>
        <v>0.66686823953245156</v>
      </c>
      <c r="F36" s="42">
        <f>'T11'!B13</f>
        <v>2493.0078085745158</v>
      </c>
      <c r="G36" s="34">
        <f t="shared" si="2"/>
        <v>0.28129629429168646</v>
      </c>
      <c r="H36" s="160">
        <f>'Phase diagram'!D36</f>
        <v>0.14583332788469333</v>
      </c>
      <c r="I36" s="61">
        <f t="shared" si="3"/>
        <v>0.33313176046754844</v>
      </c>
      <c r="J36" s="34">
        <f t="shared" si="4"/>
        <v>0.28764394650363317</v>
      </c>
      <c r="K36" s="42">
        <f t="shared" si="5"/>
        <v>2508.8828865377932</v>
      </c>
      <c r="L36" s="74">
        <f t="shared" si="6"/>
        <v>-0.63678412513094451</v>
      </c>
      <c r="M36" s="75">
        <f t="shared" si="7"/>
        <v>9.3708729730387103E-2</v>
      </c>
      <c r="N36" s="75">
        <f t="shared" si="8"/>
        <v>0.11097676983220807</v>
      </c>
      <c r="O36" s="62">
        <f t="shared" si="9"/>
        <v>0.18337999073470435</v>
      </c>
      <c r="P36" s="76">
        <f t="shared" si="14"/>
        <v>0.15101958720107955</v>
      </c>
      <c r="Q36" s="76">
        <f t="shared" si="10"/>
        <v>0.15210494343033412</v>
      </c>
      <c r="R36" s="42">
        <f t="shared" si="15"/>
        <v>2497.7115986841204</v>
      </c>
      <c r="S36" s="74">
        <f t="shared" si="11"/>
        <v>-0.18867931714558853</v>
      </c>
      <c r="T36" s="75">
        <f t="shared" si="12"/>
        <v>2.7693970501692842E-2</v>
      </c>
      <c r="U36" s="77">
        <f t="shared" si="13"/>
        <v>3.3628221001860255E-2</v>
      </c>
    </row>
    <row r="37" spans="1:21" x14ac:dyDescent="0.2">
      <c r="A37" s="5" t="s">
        <v>63</v>
      </c>
      <c r="B37" s="72">
        <f>'T12'!I1</f>
        <v>390.38756099432965</v>
      </c>
      <c r="C37" s="17">
        <f>'T12'!I3</f>
        <v>2.804192214432971</v>
      </c>
      <c r="D37" s="61">
        <f t="shared" si="0"/>
        <v>2.5615570266966703</v>
      </c>
      <c r="E37" s="163">
        <f t="shared" si="1"/>
        <v>0.69444208231522997</v>
      </c>
      <c r="F37" s="42">
        <f>'T12'!B13</f>
        <v>2434.561619718203</v>
      </c>
      <c r="G37" s="34">
        <f t="shared" si="2"/>
        <v>0.25757306491194026</v>
      </c>
      <c r="H37" s="160">
        <f>'Phase diagram'!D37</f>
        <v>0.14868527741384086</v>
      </c>
      <c r="I37" s="61">
        <f t="shared" si="3"/>
        <v>0.30555791768477003</v>
      </c>
      <c r="J37" s="34">
        <f t="shared" si="4"/>
        <v>0.26383520203814792</v>
      </c>
      <c r="K37" s="42">
        <f t="shared" si="5"/>
        <v>2449.8550131096631</v>
      </c>
      <c r="L37" s="74">
        <f t="shared" si="6"/>
        <v>-0.6281785298673308</v>
      </c>
      <c r="M37" s="75">
        <f t="shared" si="7"/>
        <v>7.8703489366176577E-2</v>
      </c>
      <c r="N37" s="75">
        <f t="shared" si="8"/>
        <v>9.3365641059852691E-2</v>
      </c>
      <c r="O37" s="62">
        <f t="shared" si="9"/>
        <v>0.16666808394540056</v>
      </c>
      <c r="P37" s="76">
        <f t="shared" si="14"/>
        <v>0.13744729016856949</v>
      </c>
      <c r="Q37" s="76">
        <f t="shared" si="10"/>
        <v>0.13824321496903472</v>
      </c>
      <c r="R37" s="42">
        <f t="shared" si="15"/>
        <v>2437.9699639067489</v>
      </c>
      <c r="S37" s="74">
        <f t="shared" si="11"/>
        <v>-0.13999827159603526</v>
      </c>
      <c r="T37" s="75">
        <f t="shared" si="12"/>
        <v>2.290807649588297E-2</v>
      </c>
      <c r="U37" s="77">
        <f t="shared" si="13"/>
        <v>2.7778250206031089E-2</v>
      </c>
    </row>
    <row r="38" spans="1:21" x14ac:dyDescent="0.2">
      <c r="A38" s="5" t="s">
        <v>64</v>
      </c>
      <c r="B38" s="72">
        <f>'T13'!I1</f>
        <v>406.52940820354308</v>
      </c>
      <c r="C38" s="72">
        <f>'T13'!I3</f>
        <v>4.0855960438249053</v>
      </c>
      <c r="D38" s="61">
        <f t="shared" si="0"/>
        <v>2.459846642876363</v>
      </c>
      <c r="E38" s="163">
        <f t="shared" si="1"/>
        <v>0.72315605557767026</v>
      </c>
      <c r="F38" s="42">
        <f>'T13'!B13</f>
        <v>2375.9557481879115</v>
      </c>
      <c r="G38" s="34">
        <f t="shared" si="2"/>
        <v>0.23320613438212778</v>
      </c>
      <c r="H38" s="160">
        <f>'Phase diagram'!D38</f>
        <v>0.15204169021393446</v>
      </c>
      <c r="I38" s="61">
        <f t="shared" si="3"/>
        <v>0.27684394442232974</v>
      </c>
      <c r="J38" s="34">
        <f t="shared" si="4"/>
        <v>0.23904200736521697</v>
      </c>
      <c r="K38" s="42">
        <f t="shared" si="5"/>
        <v>2389.8620624218074</v>
      </c>
      <c r="L38" s="74">
        <f t="shared" si="6"/>
        <v>-0.58529348640024093</v>
      </c>
      <c r="M38" s="75">
        <f t="shared" si="7"/>
        <v>6.4561706105832145E-2</v>
      </c>
      <c r="N38" s="75">
        <f t="shared" si="8"/>
        <v>7.6642569563314E-2</v>
      </c>
      <c r="O38" s="62">
        <f t="shared" si="9"/>
        <v>0.14961417252069031</v>
      </c>
      <c r="P38" s="76">
        <f t="shared" si="14"/>
        <v>0.1236733183517007</v>
      </c>
      <c r="Q38" s="76">
        <f t="shared" si="10"/>
        <v>0.12409780999803004</v>
      </c>
      <c r="R38" s="42">
        <f t="shared" si="15"/>
        <v>2377.7512235378495</v>
      </c>
      <c r="S38" s="74">
        <f t="shared" si="11"/>
        <v>-7.5568551784154933E-2</v>
      </c>
      <c r="T38" s="75">
        <f t="shared" si="12"/>
        <v>1.8503281188077605E-2</v>
      </c>
      <c r="U38" s="77">
        <f t="shared" si="13"/>
        <v>2.2384400619050886E-2</v>
      </c>
    </row>
    <row r="39" spans="1:21" x14ac:dyDescent="0.2">
      <c r="A39" s="5" t="s">
        <v>65</v>
      </c>
      <c r="B39" s="72">
        <f>'T14'!I1</f>
        <v>423.33869274262923</v>
      </c>
      <c r="C39" s="72">
        <f>'T14'!I3</f>
        <v>5.8437937282110406</v>
      </c>
      <c r="D39" s="61">
        <f t="shared" si="0"/>
        <v>2.362174819224367</v>
      </c>
      <c r="E39" s="163">
        <f t="shared" si="1"/>
        <v>0.75305730173372221</v>
      </c>
      <c r="F39" s="42">
        <f>'T14'!B13</f>
        <v>2317.1559918588723</v>
      </c>
      <c r="G39" s="34">
        <f t="shared" si="2"/>
        <v>0.20814692566752305</v>
      </c>
      <c r="H39" s="160">
        <f>'Phase diagram'!D39</f>
        <v>0.15605155917878541</v>
      </c>
      <c r="I39" s="61">
        <f t="shared" si="3"/>
        <v>0.24694269826627779</v>
      </c>
      <c r="J39" s="34">
        <f t="shared" si="4"/>
        <v>0.2132236571795966</v>
      </c>
      <c r="K39" s="42">
        <f t="shared" si="5"/>
        <v>2328.9494815618827</v>
      </c>
      <c r="L39" s="74">
        <f t="shared" si="6"/>
        <v>-0.50896399484738386</v>
      </c>
      <c r="M39" s="75">
        <f t="shared" si="7"/>
        <v>5.1400363460168498E-2</v>
      </c>
      <c r="N39" s="75">
        <f t="shared" si="8"/>
        <v>6.0980696227029917E-2</v>
      </c>
      <c r="O39" s="62">
        <f t="shared" si="9"/>
        <v>0.13221125742855933</v>
      </c>
      <c r="P39" s="76">
        <f t="shared" si="14"/>
        <v>0.10968197230355625</v>
      </c>
      <c r="Q39" s="76">
        <f t="shared" si="10"/>
        <v>0.109662923154563</v>
      </c>
      <c r="R39" s="42">
        <f t="shared" si="15"/>
        <v>2317.0764384877766</v>
      </c>
      <c r="S39" s="74">
        <f t="shared" si="11"/>
        <v>3.4332332987163025E-3</v>
      </c>
      <c r="T39" s="75">
        <f t="shared" si="12"/>
        <v>1.4501191475497589E-2</v>
      </c>
      <c r="U39" s="77">
        <f t="shared" si="13"/>
        <v>1.7479816590840785E-2</v>
      </c>
    </row>
    <row r="40" spans="1:21" x14ac:dyDescent="0.2">
      <c r="A40" s="5" t="s">
        <v>66</v>
      </c>
      <c r="B40" s="72">
        <f>'T15'!I1</f>
        <v>440.84301198526754</v>
      </c>
      <c r="C40" s="72">
        <f>'T15'!I3</f>
        <v>8.2185939153590262</v>
      </c>
      <c r="D40" s="61">
        <f t="shared" si="0"/>
        <v>2.268381198777897</v>
      </c>
      <c r="E40" s="163">
        <f t="shared" si="1"/>
        <v>0.78419491245422579</v>
      </c>
      <c r="F40" s="42">
        <f>'T15'!B13</f>
        <v>2258.0795510800476</v>
      </c>
      <c r="G40" s="34">
        <f t="shared" si="2"/>
        <v>0.1823210534327005</v>
      </c>
      <c r="H40" s="160">
        <f>'Phase diagram'!D40</f>
        <v>0.16093467004790543</v>
      </c>
      <c r="I40" s="61">
        <f t="shared" si="3"/>
        <v>0.21580508754577421</v>
      </c>
      <c r="J40" s="34">
        <f t="shared" si="4"/>
        <v>0.18633776308241104</v>
      </c>
      <c r="K40" s="42">
        <f t="shared" si="5"/>
        <v>2267.1678412950178</v>
      </c>
      <c r="L40" s="74">
        <f t="shared" si="6"/>
        <v>-0.4024787439673313</v>
      </c>
      <c r="M40" s="75">
        <f t="shared" si="7"/>
        <v>3.9345810897481709E-2</v>
      </c>
      <c r="N40" s="75">
        <f t="shared" si="8"/>
        <v>4.657183581063927E-2</v>
      </c>
      <c r="O40" s="62">
        <f t="shared" si="9"/>
        <v>0.11445219640370297</v>
      </c>
      <c r="P40" s="76">
        <f t="shared" si="14"/>
        <v>9.5444839308053364E-2</v>
      </c>
      <c r="Q40" s="76">
        <f t="shared" si="10"/>
        <v>9.4932630270703547E-2</v>
      </c>
      <c r="R40" s="42">
        <f t="shared" si="15"/>
        <v>2255.9683752224078</v>
      </c>
      <c r="S40" s="74">
        <f t="shared" si="11"/>
        <v>9.3494308321869404E-2</v>
      </c>
      <c r="T40" s="75">
        <f t="shared" si="12"/>
        <v>1.0923871494205192E-2</v>
      </c>
      <c r="U40" s="77">
        <f t="shared" si="13"/>
        <v>1.3099305261631798E-2</v>
      </c>
    </row>
    <row r="41" spans="1:21" x14ac:dyDescent="0.2">
      <c r="A41" s="5" t="s">
        <v>67</v>
      </c>
      <c r="B41" s="72">
        <f>'T16'!I1</f>
        <v>459.07110440857866</v>
      </c>
      <c r="C41" s="72">
        <f>'T16'!I3</f>
        <v>11.382136605289334</v>
      </c>
      <c r="D41" s="61">
        <f t="shared" si="0"/>
        <v>2.1783117917828876</v>
      </c>
      <c r="E41" s="163">
        <f t="shared" si="1"/>
        <v>0.81662000926529577</v>
      </c>
      <c r="F41" s="42">
        <f>'T16'!B13</f>
        <v>2198.6099177663473</v>
      </c>
      <c r="G41" s="34">
        <f t="shared" si="2"/>
        <v>0.15563166265387127</v>
      </c>
      <c r="H41" s="160">
        <f>'Phase diagram'!D41</f>
        <v>0.16703169753244904</v>
      </c>
      <c r="I41" s="61">
        <f t="shared" si="3"/>
        <v>0.18337999073470423</v>
      </c>
      <c r="J41" s="34">
        <f t="shared" si="4"/>
        <v>0.15834018398815625</v>
      </c>
      <c r="K41" s="42">
        <f t="shared" si="5"/>
        <v>2204.5729715180832</v>
      </c>
      <c r="L41" s="74">
        <f t="shared" si="6"/>
        <v>-0.27121926920961342</v>
      </c>
      <c r="M41" s="75">
        <f t="shared" si="7"/>
        <v>2.8539732855493528E-2</v>
      </c>
      <c r="N41" s="75">
        <f t="shared" si="8"/>
        <v>3.3628221001860213E-2</v>
      </c>
      <c r="O41" s="62">
        <f t="shared" si="9"/>
        <v>9.6329701016296676E-2</v>
      </c>
      <c r="P41" s="76">
        <f t="shared" si="14"/>
        <v>8.0923568078303809E-2</v>
      </c>
      <c r="Q41" s="76">
        <f t="shared" si="10"/>
        <v>7.9900885942033678E-2</v>
      </c>
      <c r="R41" s="42">
        <f t="shared" si="15"/>
        <v>2194.4515933672865</v>
      </c>
      <c r="S41" s="74">
        <f t="shared" si="11"/>
        <v>0.18913425094003963</v>
      </c>
      <c r="T41" s="75">
        <f t="shared" si="12"/>
        <v>7.7953431181549361E-3</v>
      </c>
      <c r="U41" s="77">
        <f t="shared" si="13"/>
        <v>9.2794112978891088E-3</v>
      </c>
    </row>
    <row r="42" spans="1:21" x14ac:dyDescent="0.2">
      <c r="A42" s="5" t="s">
        <v>68</v>
      </c>
      <c r="B42" s="72">
        <f>'T17'!I1</f>
        <v>478.05289677576877</v>
      </c>
      <c r="C42" s="72">
        <f>'T17'!I3</f>
        <v>15.546672704686031</v>
      </c>
      <c r="D42" s="61">
        <f t="shared" si="0"/>
        <v>2.0918187228746175</v>
      </c>
      <c r="E42" s="163">
        <f t="shared" si="1"/>
        <v>0.8503858274793098</v>
      </c>
      <c r="F42" s="42">
        <f>'T17'!B13</f>
        <v>2138.5877111910818</v>
      </c>
      <c r="G42" s="34">
        <f t="shared" si="2"/>
        <v>0.1279520206858486</v>
      </c>
      <c r="H42" s="160">
        <f>'Phase diagram'!D42</f>
        <v>0.17490868126908923</v>
      </c>
      <c r="I42" s="61">
        <f t="shared" si="3"/>
        <v>0.1496141725206902</v>
      </c>
      <c r="J42" s="34">
        <f t="shared" si="4"/>
        <v>0.12918495365415333</v>
      </c>
      <c r="K42" s="42">
        <f t="shared" si="5"/>
        <v>2141.2260726129903</v>
      </c>
      <c r="L42" s="74">
        <f t="shared" si="6"/>
        <v>-0.12336933426214514</v>
      </c>
      <c r="M42" s="75">
        <f t="shared" si="7"/>
        <v>1.9143435697263473E-2</v>
      </c>
      <c r="N42" s="75">
        <f t="shared" si="8"/>
        <v>2.2384400619050851E-2</v>
      </c>
      <c r="O42" s="62">
        <f t="shared" si="9"/>
        <v>7.7836333680777803E-2</v>
      </c>
      <c r="P42" s="76">
        <f t="shared" si="14"/>
        <v>6.6066823877215519E-2</v>
      </c>
      <c r="Q42" s="76">
        <f t="shared" si="10"/>
        <v>6.4561521046574866E-2</v>
      </c>
      <c r="R42" s="42">
        <f t="shared" si="15"/>
        <v>2132.55253728364</v>
      </c>
      <c r="S42" s="74">
        <f t="shared" si="11"/>
        <v>0.2822037120974783</v>
      </c>
      <c r="T42" s="75">
        <f t="shared" si="12"/>
        <v>5.1423993485361251E-3</v>
      </c>
      <c r="U42" s="77">
        <f t="shared" si="13"/>
        <v>6.0584948408653853E-3</v>
      </c>
    </row>
    <row r="43" spans="1:21" x14ac:dyDescent="0.2">
      <c r="A43" s="5" t="s">
        <v>69</v>
      </c>
      <c r="B43" s="72">
        <f>'T18'!I1</f>
        <v>497.81955326969432</v>
      </c>
      <c r="C43" s="72">
        <f>'T18'!I3</f>
        <v>20.976510874317992</v>
      </c>
      <c r="D43" s="61">
        <f t="shared" si="0"/>
        <v>2.0087599882969016</v>
      </c>
      <c r="E43" s="163">
        <f t="shared" si="1"/>
        <v>0.88554780359629703</v>
      </c>
      <c r="F43" s="42">
        <f>'T18'!B13</f>
        <v>2077.6861768542826</v>
      </c>
      <c r="G43" s="34">
        <f t="shared" si="2"/>
        <v>9.906121710174956E-2</v>
      </c>
      <c r="H43" s="160">
        <f>'Phase diagram'!D43</f>
        <v>0.18561435472003968</v>
      </c>
      <c r="I43" s="61">
        <f t="shared" si="3"/>
        <v>0.11445219640370297</v>
      </c>
      <c r="J43" s="34">
        <f t="shared" si="4"/>
        <v>9.8824205213471544E-2</v>
      </c>
      <c r="K43" s="42">
        <f t="shared" si="5"/>
        <v>2077.1937988822788</v>
      </c>
      <c r="L43" s="74">
        <f t="shared" si="6"/>
        <v>2.3698380317923425E-2</v>
      </c>
      <c r="M43" s="75">
        <f t="shared" si="7"/>
        <v>1.13377738757193E-2</v>
      </c>
      <c r="N43" s="75">
        <f t="shared" si="8"/>
        <v>1.3099305261631798E-2</v>
      </c>
      <c r="O43" s="62">
        <f t="shared" si="9"/>
        <v>5.8964504603414514E-2</v>
      </c>
      <c r="P43" s="76">
        <f t="shared" si="14"/>
        <v>5.0777754506958095E-2</v>
      </c>
      <c r="Q43" s="76">
        <f t="shared" si="10"/>
        <v>4.8908240212942225E-2</v>
      </c>
      <c r="R43" s="42">
        <f t="shared" si="15"/>
        <v>2070.2996317876346</v>
      </c>
      <c r="S43" s="74">
        <f t="shared" si="11"/>
        <v>0.35551784234477868</v>
      </c>
      <c r="T43" s="75">
        <f t="shared" si="12"/>
        <v>2.9940851393765828E-3</v>
      </c>
      <c r="U43" s="77">
        <f t="shared" si="13"/>
        <v>3.4768128031260914E-3</v>
      </c>
    </row>
    <row r="44" spans="1:21" x14ac:dyDescent="0.2">
      <c r="A44" s="5" t="s">
        <v>70</v>
      </c>
      <c r="B44" s="72">
        <f>'T19'!I1</f>
        <v>518.4035266580139</v>
      </c>
      <c r="C44" s="72">
        <f>'T19'!I3</f>
        <v>28.00886735613841</v>
      </c>
      <c r="D44" s="61">
        <f t="shared" si="0"/>
        <v>1.9289992227612505</v>
      </c>
      <c r="E44" s="163">
        <f t="shared" si="1"/>
        <v>0.9221636663192222</v>
      </c>
      <c r="F44" s="42">
        <f>'T19'!B13</f>
        <v>2015.4719979204115</v>
      </c>
      <c r="G44" s="34">
        <f t="shared" si="2"/>
        <v>6.8659767667568317E-2</v>
      </c>
      <c r="H44" s="160">
        <f>'Phase diagram'!D44</f>
        <v>0.20140965729662019</v>
      </c>
      <c r="I44" s="61">
        <f t="shared" si="3"/>
        <v>7.7836333680777803E-2</v>
      </c>
      <c r="J44" s="34">
        <f t="shared" si="4"/>
        <v>6.7208092587418125E-2</v>
      </c>
      <c r="K44" s="42">
        <f t="shared" si="5"/>
        <v>2012.548310082117</v>
      </c>
      <c r="L44" s="74">
        <f t="shared" si="6"/>
        <v>0.14506219095631812</v>
      </c>
      <c r="M44" s="75">
        <f t="shared" si="7"/>
        <v>5.344224586617527E-3</v>
      </c>
      <c r="N44" s="75">
        <f t="shared" si="8"/>
        <v>6.0584948408653853E-3</v>
      </c>
      <c r="O44" s="62">
        <f t="shared" si="9"/>
        <v>3.9706468667406791E-2</v>
      </c>
      <c r="P44" s="76">
        <f t="shared" si="14"/>
        <v>3.49259557642283E-2</v>
      </c>
      <c r="Q44" s="76">
        <f t="shared" si="10"/>
        <v>3.2934619236684635E-2</v>
      </c>
      <c r="R44" s="42">
        <f t="shared" si="15"/>
        <v>2007.7233821915067</v>
      </c>
      <c r="S44" s="74">
        <f t="shared" si="11"/>
        <v>0.38445663035258443</v>
      </c>
      <c r="T44" s="75">
        <f t="shared" si="12"/>
        <v>1.3867863682315666E-3</v>
      </c>
      <c r="U44" s="77">
        <f t="shared" si="13"/>
        <v>1.5766036540357572E-3</v>
      </c>
    </row>
    <row r="45" spans="1:21" x14ac:dyDescent="0.2">
      <c r="A45" s="5" t="s">
        <v>71</v>
      </c>
      <c r="B45" s="72">
        <f>'T20'!I1</f>
        <v>539.83861157393062</v>
      </c>
      <c r="C45" s="72">
        <f>'T20'!I3</f>
        <v>37.098209498714525</v>
      </c>
      <c r="D45" s="61">
        <f t="shared" si="0"/>
        <v>1.8524054755632287</v>
      </c>
      <c r="E45" s="163">
        <f t="shared" si="1"/>
        <v>0.96029353133259332</v>
      </c>
      <c r="F45" s="42">
        <f>'T20'!B13</f>
        <v>1951.0201091392587</v>
      </c>
      <c r="G45" s="34">
        <f t="shared" si="2"/>
        <v>3.6158726236479262E-2</v>
      </c>
      <c r="H45" s="160">
        <f>'Phase diagram'!D45</f>
        <v>0.22893271681419078</v>
      </c>
      <c r="I45" s="61">
        <f t="shared" si="3"/>
        <v>3.970646866740668E-2</v>
      </c>
      <c r="J45" s="34">
        <f t="shared" si="4"/>
        <v>3.4284708648571818E-2</v>
      </c>
      <c r="K45" s="42">
        <f t="shared" si="5"/>
        <v>1947.3672869359393</v>
      </c>
      <c r="L45" s="74">
        <f t="shared" si="6"/>
        <v>0.18722627133407191</v>
      </c>
      <c r="M45" s="75">
        <f t="shared" si="7"/>
        <v>1.4357353303620997E-3</v>
      </c>
      <c r="N45" s="75">
        <f t="shared" si="8"/>
        <v>1.5766036540357485E-3</v>
      </c>
      <c r="O45" s="62">
        <f t="shared" si="9"/>
        <v>2.0054322254241863E-2</v>
      </c>
      <c r="P45" s="76">
        <f t="shared" si="14"/>
        <v>1.8243784185013157E-2</v>
      </c>
      <c r="Q45" s="76">
        <f t="shared" si="10"/>
        <v>1.6634102443750826E-2</v>
      </c>
      <c r="R45" s="42">
        <f t="shared" si="15"/>
        <v>1944.856478852709</v>
      </c>
      <c r="S45" s="74">
        <f t="shared" si="11"/>
        <v>0.31591833716511369</v>
      </c>
      <c r="T45" s="75">
        <f t="shared" si="12"/>
        <v>3.6586672718309511E-4</v>
      </c>
      <c r="U45" s="77">
        <f t="shared" si="13"/>
        <v>4.0217584107698042E-4</v>
      </c>
    </row>
    <row r="46" spans="1:21" x14ac:dyDescent="0.2">
      <c r="A46" s="5" t="s">
        <v>72</v>
      </c>
      <c r="B46" s="72">
        <f>'T21'!I1</f>
        <v>559.92786115739307</v>
      </c>
      <c r="C46" s="72">
        <f>'T21'!I3</f>
        <v>47.647861753356409</v>
      </c>
      <c r="D46" s="61">
        <f t="shared" si="0"/>
        <v>1.78594434992565</v>
      </c>
      <c r="E46" s="163">
        <f t="shared" si="1"/>
        <v>0.99602935313325935</v>
      </c>
      <c r="F46" s="42">
        <f>'T21'!B13</f>
        <v>1889.0152580053814</v>
      </c>
      <c r="G46" s="34">
        <f t="shared" si="2"/>
        <v>3.8620233343760473E-3</v>
      </c>
      <c r="H46" s="160">
        <f>'Phase diagram'!D46</f>
        <v>0.30339147603475525</v>
      </c>
      <c r="I46" s="61">
        <f t="shared" si="3"/>
        <v>3.9706468667406458E-3</v>
      </c>
      <c r="J46" s="34">
        <f t="shared" si="4"/>
        <v>3.4284708648571628E-3</v>
      </c>
      <c r="K46" s="42">
        <f t="shared" si="5"/>
        <v>1888.1964482866276</v>
      </c>
      <c r="L46" s="74">
        <f t="shared" si="6"/>
        <v>4.3345849922797317E-2</v>
      </c>
      <c r="M46" s="75">
        <f t="shared" si="7"/>
        <v>1.5334730851919514E-5</v>
      </c>
      <c r="N46" s="75">
        <f t="shared" si="8"/>
        <v>1.5766036540357309E-5</v>
      </c>
      <c r="O46" s="62">
        <f t="shared" si="9"/>
        <v>1.987298110259883E-3</v>
      </c>
      <c r="P46" s="76">
        <f t="shared" si="14"/>
        <v>1.9328772708582243E-3</v>
      </c>
      <c r="Q46" s="76">
        <f t="shared" si="10"/>
        <v>1.6483688619964786E-3</v>
      </c>
      <c r="R46" s="42">
        <f t="shared" si="15"/>
        <v>1887.9426024775551</v>
      </c>
      <c r="S46" s="74">
        <f t="shared" si="11"/>
        <v>5.678384667781608E-2</v>
      </c>
      <c r="T46" s="75">
        <f t="shared" si="12"/>
        <v>3.8412033477408287E-6</v>
      </c>
      <c r="U46" s="77">
        <f t="shared" si="13"/>
        <v>3.9493537790425024E-6</v>
      </c>
    </row>
    <row r="47" spans="1:21" x14ac:dyDescent="0.2">
      <c r="B47" s="5">
        <f>C3</f>
        <v>562.16</v>
      </c>
      <c r="C47" s="72">
        <f>C5/100</f>
        <v>48.98</v>
      </c>
      <c r="D47" s="61">
        <f t="shared" si="0"/>
        <v>1.7788529955884447</v>
      </c>
      <c r="E47" s="163">
        <f t="shared" si="1"/>
        <v>1</v>
      </c>
      <c r="F47" s="42">
        <f>E12</f>
        <v>1881.7339064250737</v>
      </c>
      <c r="G47" s="34">
        <f t="shared" si="2"/>
        <v>0</v>
      </c>
      <c r="H47" s="160">
        <f>'Phase diagram'!D47</f>
        <v>0.35785664620253166</v>
      </c>
      <c r="I47" s="61">
        <f t="shared" si="3"/>
        <v>0</v>
      </c>
      <c r="J47" s="34">
        <f t="shared" si="4"/>
        <v>0</v>
      </c>
      <c r="K47" s="42">
        <f t="shared" si="5"/>
        <v>1881.7339064250737</v>
      </c>
      <c r="L47" s="74">
        <f t="shared" si="6"/>
        <v>0</v>
      </c>
      <c r="M47" s="75"/>
      <c r="N47" s="75"/>
      <c r="O47" s="62">
        <f t="shared" si="9"/>
        <v>0</v>
      </c>
      <c r="P47" s="76">
        <f t="shared" si="14"/>
        <v>0</v>
      </c>
      <c r="Q47" s="76">
        <f t="shared" si="10"/>
        <v>0</v>
      </c>
      <c r="R47" s="42">
        <f t="shared" si="15"/>
        <v>1881.7339064250737</v>
      </c>
      <c r="S47" s="74">
        <f t="shared" si="11"/>
        <v>0</v>
      </c>
      <c r="T47" s="75"/>
      <c r="U47" s="77"/>
    </row>
    <row r="48" spans="1:21" ht="13.5" thickBot="1" x14ac:dyDescent="0.25">
      <c r="D48" s="78"/>
      <c r="E48" s="79"/>
      <c r="F48" s="79"/>
      <c r="G48" s="79"/>
      <c r="H48" s="164"/>
      <c r="I48" s="78">
        <v>-0.5</v>
      </c>
      <c r="J48" s="79">
        <f>$J$21*I48</f>
        <v>-0.43172699309715562</v>
      </c>
      <c r="K48" s="80">
        <f t="shared" si="5"/>
        <v>1221.9728579684768</v>
      </c>
      <c r="L48" s="79"/>
      <c r="M48" s="81">
        <f>SUM(M26:M47)</f>
        <v>2.2841817893937355</v>
      </c>
      <c r="N48" s="81">
        <f>SUM(N26:N47)</f>
        <v>2.6454007114627003</v>
      </c>
      <c r="O48" s="82">
        <f t="shared" si="9"/>
        <v>1</v>
      </c>
      <c r="P48" s="83">
        <f t="shared" si="14"/>
        <v>-1</v>
      </c>
      <c r="Q48" s="83"/>
      <c r="R48" s="84"/>
      <c r="S48" s="85"/>
      <c r="T48" s="86">
        <f>SUM(T26:T47)</f>
        <v>0.72397500138790072</v>
      </c>
      <c r="U48" s="87">
        <f>SUM(U26:U47)</f>
        <v>0.87283507065947286</v>
      </c>
    </row>
    <row r="51" spans="1:21" x14ac:dyDescent="0.2">
      <c r="A51" s="246"/>
      <c r="B51" s="72"/>
      <c r="C51" s="72"/>
      <c r="D51" s="61"/>
      <c r="E51" s="163"/>
      <c r="F51" s="42"/>
      <c r="G51" s="34"/>
      <c r="H51" s="160"/>
      <c r="I51" s="61"/>
      <c r="J51" s="34"/>
      <c r="K51" s="42"/>
      <c r="L51" s="74"/>
      <c r="M51" s="75"/>
      <c r="N51" s="75"/>
      <c r="O51" s="62"/>
      <c r="P51" s="76"/>
      <c r="Q51" s="76"/>
      <c r="R51" s="42"/>
      <c r="S51" s="74"/>
      <c r="T51" s="75"/>
      <c r="U51" s="77"/>
    </row>
  </sheetData>
  <phoneticPr fontId="3" type="noConversion"/>
  <pageMargins left="0.75" right="0.75" top="1" bottom="1" header="0.5" footer="0.5"/>
  <pageSetup paperSize="9" orientation="portrait" horizontalDpi="4294967294" verticalDpi="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A46"/>
  <sheetViews>
    <sheetView zoomScale="75" workbookViewId="0">
      <selection activeCell="J15" sqref="J15"/>
    </sheetView>
  </sheetViews>
  <sheetFormatPr defaultColWidth="8" defaultRowHeight="12.75" x14ac:dyDescent="0.2"/>
  <cols>
    <col min="1" max="1" width="8" style="2"/>
    <col min="2" max="4" width="8.125" style="2" bestFit="1" customWidth="1"/>
    <col min="5" max="5" width="11.875" style="2" bestFit="1" customWidth="1"/>
    <col min="6" max="7" width="8.125" style="2" bestFit="1" customWidth="1"/>
    <col min="8" max="8" width="8.125" style="2" customWidth="1"/>
    <col min="9" max="9" width="9.875" style="2" bestFit="1" customWidth="1"/>
    <col min="10" max="10" width="10.875" style="2" bestFit="1" customWidth="1"/>
    <col min="11" max="11" width="9" style="2" bestFit="1" customWidth="1"/>
    <col min="12" max="12" width="8.5" style="2" bestFit="1" customWidth="1"/>
    <col min="13" max="16" width="8.5" style="2" customWidth="1"/>
    <col min="17" max="17" width="8.125" style="2" bestFit="1" customWidth="1"/>
    <col min="18" max="18" width="8.375" style="2" bestFit="1" customWidth="1"/>
    <col min="19" max="20" width="8.125" style="2" bestFit="1" customWidth="1"/>
    <col min="21" max="21" width="8" style="2"/>
    <col min="22" max="22" width="8.125" style="2" bestFit="1" customWidth="1"/>
    <col min="23" max="16384" width="8" style="2"/>
  </cols>
  <sheetData>
    <row r="1" spans="1:27" ht="18" x14ac:dyDescent="0.25">
      <c r="A1" s="1" t="str">
        <f>' T = Tb'!A1</f>
        <v>Benzene</v>
      </c>
      <c r="E1" s="2" t="s">
        <v>0</v>
      </c>
      <c r="F1" s="2">
        <v>1</v>
      </c>
      <c r="G1" s="3" t="s">
        <v>1</v>
      </c>
      <c r="H1" s="3"/>
      <c r="I1" s="2">
        <v>589.90806279421315</v>
      </c>
      <c r="J1" s="2" t="s">
        <v>2</v>
      </c>
    </row>
    <row r="2" spans="1:27" ht="15.75" x14ac:dyDescent="0.3">
      <c r="A2" s="4" t="s">
        <v>15</v>
      </c>
      <c r="B2" s="5">
        <f>' T = Tb'!B2</f>
        <v>78.114000000000004</v>
      </c>
      <c r="C2" s="2" t="s">
        <v>3</v>
      </c>
      <c r="E2" s="4" t="s">
        <v>4</v>
      </c>
      <c r="F2" s="2">
        <f>' T = Tb'!F2</f>
        <v>-7.0143300000000002</v>
      </c>
      <c r="I2" s="3" t="s">
        <v>16</v>
      </c>
      <c r="J2" s="2">
        <f>1-I1/B3</f>
        <v>-4.9359724623262435E-2</v>
      </c>
      <c r="Y2" s="4"/>
    </row>
    <row r="3" spans="1:27" ht="15.75" x14ac:dyDescent="0.3">
      <c r="A3" s="4" t="s">
        <v>17</v>
      </c>
      <c r="B3" s="5">
        <f>' T = Tb'!B3</f>
        <v>562.16</v>
      </c>
      <c r="C3" s="2" t="s">
        <v>2</v>
      </c>
      <c r="E3" s="4" t="s">
        <v>5</v>
      </c>
      <c r="F3" s="2">
        <f>' T = Tb'!F3</f>
        <v>1.5525599999999999</v>
      </c>
      <c r="I3" s="3" t="s">
        <v>6</v>
      </c>
      <c r="K3" s="2" t="s">
        <v>7</v>
      </c>
      <c r="Y3" s="4"/>
    </row>
    <row r="4" spans="1:27" ht="15.75" x14ac:dyDescent="0.3">
      <c r="A4" s="4" t="s">
        <v>18</v>
      </c>
      <c r="B4" s="5">
        <f>' T = Tb'!B4</f>
        <v>48.98</v>
      </c>
      <c r="C4" s="2" t="s">
        <v>7</v>
      </c>
      <c r="E4" s="4" t="s">
        <v>8</v>
      </c>
      <c r="F4" s="2">
        <f>' T = Tb'!F4</f>
        <v>-1.8479000000000001</v>
      </c>
      <c r="I4" s="3" t="s">
        <v>6</v>
      </c>
      <c r="J4" s="2">
        <f>C23*100</f>
        <v>0.80836149165030635</v>
      </c>
      <c r="K4" s="2" t="s">
        <v>9</v>
      </c>
      <c r="Y4" s="4"/>
      <c r="Z4" s="6"/>
    </row>
    <row r="5" spans="1:27" ht="15.75" x14ac:dyDescent="0.3">
      <c r="A5" s="4" t="s">
        <v>18</v>
      </c>
      <c r="B5" s="5">
        <f>' T = Tb'!B5</f>
        <v>4898</v>
      </c>
      <c r="C5" s="2" t="s">
        <v>9</v>
      </c>
      <c r="E5" s="4" t="s">
        <v>10</v>
      </c>
      <c r="F5" s="2">
        <f>' T = Tb'!F5</f>
        <v>-3.7130000000000001</v>
      </c>
      <c r="I5" s="4"/>
      <c r="Y5" s="4"/>
      <c r="Z5" s="6"/>
    </row>
    <row r="6" spans="1:27" ht="15.75" x14ac:dyDescent="0.3">
      <c r="A6" s="4" t="s">
        <v>19</v>
      </c>
      <c r="B6" s="5">
        <f>' T = Tb'!B6</f>
        <v>256</v>
      </c>
      <c r="C6" s="2" t="s">
        <v>20</v>
      </c>
      <c r="E6" s="4" t="s">
        <v>21</v>
      </c>
      <c r="F6" s="2">
        <f>' T = Tb'!F6</f>
        <v>250</v>
      </c>
      <c r="G6" s="7">
        <f>F6/B3</f>
        <v>0.44471324889711117</v>
      </c>
      <c r="H6" s="7"/>
      <c r="I6" s="2" t="s">
        <v>22</v>
      </c>
      <c r="J6" s="2">
        <v>2.5712194055283128E-3</v>
      </c>
      <c r="Q6" s="7"/>
    </row>
    <row r="7" spans="1:27" ht="15.75" x14ac:dyDescent="0.3">
      <c r="A7" s="4" t="s">
        <v>19</v>
      </c>
      <c r="B7" s="5">
        <f>' T = Tb'!B7</f>
        <v>0.25600000000000001</v>
      </c>
      <c r="C7" s="8" t="s">
        <v>23</v>
      </c>
      <c r="D7" s="2">
        <f>C8*B10*B3/B5</f>
        <v>0.35785664620253166</v>
      </c>
      <c r="E7" s="4" t="s">
        <v>24</v>
      </c>
      <c r="F7" s="2">
        <f>' T = Tb'!F7</f>
        <v>562.16</v>
      </c>
      <c r="G7" s="7">
        <f>F7/B3</f>
        <v>1</v>
      </c>
      <c r="H7" s="7"/>
      <c r="I7" s="2" t="s">
        <v>25</v>
      </c>
      <c r="J7" s="2">
        <f>J6/C23</f>
        <v>0.31807791836781496</v>
      </c>
      <c r="Q7" s="7"/>
      <c r="Z7" s="34"/>
      <c r="AA7" s="34"/>
    </row>
    <row r="8" spans="1:27" ht="15.75" x14ac:dyDescent="0.3">
      <c r="A8" s="4" t="s">
        <v>26</v>
      </c>
      <c r="B8" s="5">
        <f>' T = Tb'!B8</f>
        <v>0.26800000000000002</v>
      </c>
      <c r="C8" s="2">
        <f>3/8</f>
        <v>0.375</v>
      </c>
      <c r="E8" s="4" t="s">
        <v>27</v>
      </c>
      <c r="F8" s="18">
        <f>' T = Tb'!F8</f>
        <v>353.24</v>
      </c>
      <c r="G8" s="7">
        <f>F8/B3</f>
        <v>0.6283620321616622</v>
      </c>
      <c r="H8" s="7"/>
      <c r="I8" s="2" t="s">
        <v>28</v>
      </c>
      <c r="Q8" s="7"/>
      <c r="Z8" s="34"/>
      <c r="AA8" s="34"/>
    </row>
    <row r="9" spans="1:27" x14ac:dyDescent="0.2">
      <c r="A9" s="9" t="s">
        <v>29</v>
      </c>
      <c r="B9" s="5">
        <f>' T = Tb'!B9</f>
        <v>0.21</v>
      </c>
      <c r="E9" s="4"/>
      <c r="F9" s="2">
        <f>' T = Tb'!F9</f>
        <v>101.325</v>
      </c>
      <c r="L9" s="4"/>
      <c r="M9" s="4"/>
      <c r="N9" s="4"/>
      <c r="O9" s="4"/>
      <c r="P9" s="4"/>
      <c r="Z9" s="34"/>
      <c r="AA9" s="34"/>
    </row>
    <row r="10" spans="1:27" ht="22.5" x14ac:dyDescent="0.35">
      <c r="A10" s="2" t="s">
        <v>11</v>
      </c>
      <c r="B10" s="2">
        <v>8.3145100000000003</v>
      </c>
      <c r="C10" s="2" t="s">
        <v>12</v>
      </c>
      <c r="I10" s="1" t="s">
        <v>30</v>
      </c>
      <c r="Z10" s="34"/>
      <c r="AA10" s="34"/>
    </row>
    <row r="11" spans="1:27" x14ac:dyDescent="0.2">
      <c r="A11" s="10" t="s">
        <v>13</v>
      </c>
      <c r="L11" s="11"/>
      <c r="M11" s="11"/>
      <c r="N11" s="11"/>
      <c r="O11" s="11"/>
      <c r="P11" s="11"/>
      <c r="Z11" s="34"/>
      <c r="AA11" s="34"/>
    </row>
    <row r="12" spans="1:27" ht="18" x14ac:dyDescent="0.25">
      <c r="A12" s="13" t="s">
        <v>31</v>
      </c>
      <c r="B12" s="14">
        <f>27/64*(B10*B3)^2/B5</f>
        <v>1881.7339064250737</v>
      </c>
      <c r="C12" s="15"/>
      <c r="E12" s="16"/>
      <c r="K12" s="41">
        <f>-(B18+B15+L23)</f>
        <v>-2571.5095867757982</v>
      </c>
      <c r="L12" s="6"/>
      <c r="M12" s="6"/>
      <c r="N12" s="6"/>
      <c r="O12" s="6"/>
      <c r="P12" s="6"/>
      <c r="X12" s="4"/>
      <c r="Y12" s="41"/>
      <c r="Z12" s="34"/>
      <c r="AA12" s="34"/>
    </row>
    <row r="13" spans="1:27" ht="18" x14ac:dyDescent="0.25">
      <c r="A13" s="13" t="s">
        <v>33</v>
      </c>
      <c r="B13" s="133">
        <v>1881.7339064250737</v>
      </c>
      <c r="C13" s="14">
        <f>' T = Tb'!P27</f>
        <v>1881.7339064250737</v>
      </c>
      <c r="E13" s="260"/>
      <c r="F13" s="21"/>
      <c r="K13" s="41">
        <f>B15*L23+B15*B18+B18*L23</f>
        <v>3759.948932895315</v>
      </c>
      <c r="L13" s="6"/>
      <c r="M13" s="6"/>
      <c r="N13" s="6"/>
      <c r="O13" s="6"/>
      <c r="P13" s="6"/>
      <c r="V13" s="26">
        <f>B13/B12</f>
        <v>1</v>
      </c>
      <c r="X13" s="4"/>
      <c r="Y13" s="41"/>
      <c r="Z13" s="34"/>
      <c r="AA13" s="34"/>
    </row>
    <row r="14" spans="1:27" ht="13.5" x14ac:dyDescent="0.25">
      <c r="A14" s="154" t="s">
        <v>35</v>
      </c>
      <c r="B14" s="262">
        <f>B10*B3/8/B5</f>
        <v>0.11928554873417722</v>
      </c>
      <c r="C14" s="8" t="s">
        <v>23</v>
      </c>
      <c r="K14" s="41">
        <f>-(B18*B15*L23)</f>
        <v>-528.40635422843002</v>
      </c>
      <c r="L14" s="6"/>
      <c r="M14" s="6"/>
      <c r="N14" s="6"/>
      <c r="O14" s="6"/>
      <c r="P14" s="6"/>
      <c r="V14" s="26">
        <f>B15/B14</f>
        <v>1.3203611139098002</v>
      </c>
      <c r="X14" s="4"/>
      <c r="Y14" s="12"/>
      <c r="Z14" s="34"/>
      <c r="AA14" s="34"/>
    </row>
    <row r="15" spans="1:27" ht="15.75" x14ac:dyDescent="0.25">
      <c r="A15" s="22" t="s">
        <v>37</v>
      </c>
      <c r="B15" s="23">
        <v>0.1575</v>
      </c>
      <c r="C15" s="7">
        <f>'T20'!B15</f>
        <v>0.22893271681419078</v>
      </c>
      <c r="D15" s="24"/>
      <c r="E15" s="25"/>
      <c r="U15" s="4"/>
      <c r="V15" s="26" t="e">
        <f>L23/#REF!</f>
        <v>#REF!</v>
      </c>
      <c r="X15" s="4"/>
      <c r="Z15" s="31"/>
      <c r="AA15" s="35"/>
    </row>
    <row r="16" spans="1:27" ht="15.75" x14ac:dyDescent="0.25">
      <c r="A16" s="22" t="s">
        <v>39</v>
      </c>
      <c r="B16" s="2">
        <v>0</v>
      </c>
      <c r="C16" s="7">
        <f>'T20'!B16</f>
        <v>0.71927521987358511</v>
      </c>
      <c r="D16" s="24"/>
      <c r="E16" s="25"/>
      <c r="R16" s="218"/>
      <c r="S16" s="27"/>
      <c r="T16" s="88"/>
      <c r="U16" s="17"/>
      <c r="Z16" s="31"/>
      <c r="AA16" s="35"/>
    </row>
    <row r="17" spans="1:27" ht="14.25" x14ac:dyDescent="0.25">
      <c r="A17" s="27" t="s">
        <v>41</v>
      </c>
      <c r="D17" s="24"/>
      <c r="E17" s="44"/>
      <c r="S17" s="27"/>
      <c r="T17" s="89"/>
      <c r="U17" s="4"/>
      <c r="V17" s="17"/>
      <c r="Z17" s="31"/>
      <c r="AA17" s="36"/>
    </row>
    <row r="18" spans="1:27" ht="14.25" x14ac:dyDescent="0.25">
      <c r="A18" s="22" t="s">
        <v>43</v>
      </c>
      <c r="B18" s="26">
        <f>-I23-B15-L23</f>
        <v>1.3054085778630906</v>
      </c>
      <c r="C18" s="4"/>
      <c r="D18" s="4"/>
      <c r="E18" s="29"/>
      <c r="S18" s="27"/>
      <c r="U18" s="4"/>
      <c r="V18" s="17"/>
      <c r="W18" s="21"/>
      <c r="Z18" s="31"/>
      <c r="AA18" s="35"/>
    </row>
    <row r="19" spans="1:27" x14ac:dyDescent="0.2">
      <c r="A19" s="149" t="s">
        <v>132</v>
      </c>
      <c r="B19" s="150">
        <v>0</v>
      </c>
      <c r="C19" s="15"/>
      <c r="E19" s="31"/>
      <c r="F19" s="27" t="s">
        <v>73</v>
      </c>
      <c r="G19" s="89">
        <f>'a = a(T)'!J21</f>
        <v>0.86345398619431124</v>
      </c>
      <c r="H19" s="89"/>
      <c r="I19" s="31"/>
      <c r="J19" s="31"/>
      <c r="K19" s="31"/>
      <c r="L19" s="247" t="s">
        <v>157</v>
      </c>
      <c r="M19" s="247"/>
      <c r="N19" s="247"/>
      <c r="O19" s="247"/>
      <c r="P19" s="247"/>
      <c r="Q19" s="247" t="s">
        <v>157</v>
      </c>
      <c r="S19" s="27"/>
      <c r="U19" s="4"/>
      <c r="V19" s="17"/>
      <c r="W19" s="21"/>
      <c r="Z19" s="31"/>
      <c r="AA19" s="35"/>
    </row>
    <row r="20" spans="1:27" x14ac:dyDescent="0.2">
      <c r="C20" s="15" t="s">
        <v>74</v>
      </c>
      <c r="F20" s="63" t="s">
        <v>75</v>
      </c>
      <c r="L20" s="63" t="s">
        <v>75</v>
      </c>
      <c r="M20" s="63"/>
      <c r="N20" s="63"/>
      <c r="O20" s="63"/>
      <c r="P20" s="63"/>
      <c r="Q20" s="63" t="s">
        <v>75</v>
      </c>
      <c r="R20" s="5" t="s">
        <v>76</v>
      </c>
      <c r="U20" s="4"/>
      <c r="V20" s="17"/>
      <c r="W20" s="21"/>
      <c r="Z20" s="31"/>
      <c r="AA20" s="35"/>
    </row>
    <row r="21" spans="1:27" ht="15.75" x14ac:dyDescent="0.3">
      <c r="B21" s="5" t="s">
        <v>49</v>
      </c>
      <c r="C21" s="5" t="s">
        <v>45</v>
      </c>
      <c r="D21" s="4" t="s">
        <v>50</v>
      </c>
      <c r="E21" s="5" t="s">
        <v>110</v>
      </c>
      <c r="F21" s="30" t="s">
        <v>111</v>
      </c>
      <c r="G21" s="5" t="s">
        <v>77</v>
      </c>
      <c r="H21" s="5" t="s">
        <v>45</v>
      </c>
      <c r="I21" s="4" t="s">
        <v>32</v>
      </c>
      <c r="J21" s="4" t="s">
        <v>34</v>
      </c>
      <c r="K21" s="4" t="s">
        <v>36</v>
      </c>
      <c r="L21" s="30" t="s">
        <v>111</v>
      </c>
      <c r="M21" s="5" t="s">
        <v>45</v>
      </c>
      <c r="N21" s="4" t="s">
        <v>32</v>
      </c>
      <c r="O21" s="4" t="s">
        <v>34</v>
      </c>
      <c r="P21" s="4" t="s">
        <v>36</v>
      </c>
      <c r="Q21" s="30" t="s">
        <v>111</v>
      </c>
      <c r="R21" s="5" t="s">
        <v>45</v>
      </c>
      <c r="S21" s="5" t="s">
        <v>112</v>
      </c>
      <c r="T21" s="90" t="s">
        <v>113</v>
      </c>
      <c r="U21" s="5" t="s">
        <v>77</v>
      </c>
      <c r="V21" s="5" t="s">
        <v>49</v>
      </c>
      <c r="W21" s="91"/>
      <c r="X21" s="90"/>
      <c r="Y21" s="92"/>
    </row>
    <row r="22" spans="1:27" ht="14.25" x14ac:dyDescent="0.2">
      <c r="B22" s="5" t="s">
        <v>2</v>
      </c>
      <c r="C22" s="5" t="s">
        <v>7</v>
      </c>
      <c r="D22" s="246" t="s">
        <v>158</v>
      </c>
      <c r="E22" s="5"/>
      <c r="F22" s="93" t="s">
        <v>23</v>
      </c>
      <c r="G22" s="5"/>
      <c r="H22" s="5" t="s">
        <v>7</v>
      </c>
      <c r="I22" s="5"/>
      <c r="J22" s="5"/>
      <c r="K22" s="5"/>
      <c r="L22" s="93" t="s">
        <v>23</v>
      </c>
      <c r="M22" s="5" t="s">
        <v>7</v>
      </c>
      <c r="N22" s="5"/>
      <c r="O22" s="5"/>
      <c r="P22" s="5"/>
      <c r="Q22" s="93" t="s">
        <v>23</v>
      </c>
      <c r="R22" s="5" t="s">
        <v>7</v>
      </c>
      <c r="S22" s="5" t="s">
        <v>51</v>
      </c>
      <c r="V22" s="94" t="s">
        <v>114</v>
      </c>
    </row>
    <row r="23" spans="1:27" x14ac:dyDescent="0.2">
      <c r="A23" s="4" t="s">
        <v>125</v>
      </c>
      <c r="B23" s="72">
        <f>'Phase diagram'!B26</f>
        <v>250</v>
      </c>
      <c r="C23" s="41">
        <f>($B$4*EXP(($F$2*(1-E23)+$F$3*(1-E23)^1.5+$F$4*(1-E23)^2.5+$F$5*(1-E23)^5)/(1-(1-E23))))</f>
        <v>8.0836149165030638E-3</v>
      </c>
      <c r="D23" s="2">
        <f t="shared" ref="D23:D44" si="0">1000/B23</f>
        <v>4</v>
      </c>
      <c r="E23" s="40">
        <f t="shared" ref="E23:E44" si="1">B23/$B$3</f>
        <v>0.44471324889711117</v>
      </c>
      <c r="F23" s="40">
        <f>'Phase diagram'!F26</f>
        <v>2570.0466781979353</v>
      </c>
      <c r="G23" s="72">
        <f>$B$12*EXP($G$19*(1-E23))</f>
        <v>3039.3941450516904</v>
      </c>
      <c r="H23" s="7">
        <f>($B$10*B23/(F23-$B$14)-G23/(F23+$B$19)^2)/100</f>
        <v>8.0836716970118534E-3</v>
      </c>
      <c r="I23" s="248">
        <f>(2*$B$19)-$B$14-($B$10*B23/H23/100)</f>
        <v>-2571.5095867757982</v>
      </c>
      <c r="J23" s="248">
        <f>($B$19^2)-(2*$B$19*$B$14)-(2*$B$10*B23*$B$19/100/H23)+(G23/H23/100)</f>
        <v>3759.9178429960348</v>
      </c>
      <c r="K23" s="248">
        <f>(-$B$14*($B$19^2))-($B$10*B23*($B$19^2)/H23/100)-(G23*$B$14/H23/100)</f>
        <v>-448.50386309720602</v>
      </c>
      <c r="L23" s="249">
        <f>F23-(F23^3+I23*F23^2+J23*F23+K23)/(3*F23^2+2*I23*F23+J23)</f>
        <v>2570.0466781979353</v>
      </c>
      <c r="M23" s="7">
        <f>($B$10*B23/(L23-$B$14)-G23/(L23+$B$19)^2)/100</f>
        <v>8.0836716970118534E-3</v>
      </c>
      <c r="N23" s="248">
        <f>(2*$B$19)-$B$14-($B$10*B23/M23/100)</f>
        <v>-2571.5095867757982</v>
      </c>
      <c r="O23" s="248">
        <f>($B$19^2)-(2*$B$19*$B$14)-(2*$B$10*B23*$B$19/100/M23)+(G23/M23/100)</f>
        <v>3759.9178429960348</v>
      </c>
      <c r="P23" s="248">
        <f>(-$B$14*($B$19^2))-($B$10*B23*($B$19^2)/M23/100)-(G23*$B$14/M23/100)</f>
        <v>-448.50386309720602</v>
      </c>
      <c r="Q23" s="249">
        <f>L23-(L23^3+N23*L23^2+O23*L23+P23)/(3*L23^2+2*N23*L23+O23)</f>
        <v>2570.0466781979353</v>
      </c>
      <c r="R23" s="41">
        <f>($B$10*B23/(Q23-$B$14)-G23/(Q23+$B$19)^2)/100</f>
        <v>8.0836716970118534E-3</v>
      </c>
      <c r="S23" s="250">
        <f t="shared" ref="S23:S44" si="2">100*(R23-C23)/C23</f>
        <v>7.0241481535245401E-4</v>
      </c>
      <c r="T23" s="7">
        <f t="shared" ref="T23:T44" si="3">R23/C23</f>
        <v>1.0000070241481536</v>
      </c>
      <c r="U23" s="95">
        <f>Tmin!B13</f>
        <v>3076.8984570537541</v>
      </c>
      <c r="V23" s="96">
        <f t="shared" ref="V23:V44" si="4">B23-273.15</f>
        <v>-23.149999999999977</v>
      </c>
      <c r="W23" s="41"/>
      <c r="X23" s="41"/>
    </row>
    <row r="24" spans="1:27" x14ac:dyDescent="0.2">
      <c r="A24" s="4" t="s">
        <v>53</v>
      </c>
      <c r="B24" s="72">
        <f>'Phase diagram'!B27</f>
        <v>260.33706553565617</v>
      </c>
      <c r="C24" s="41">
        <f t="shared" ref="C24:C44" si="5">($B$4*EXP(($F$2*(1-E24)+$F$3*(1-E24)^1.5+$F$4*(1-E24)^2.5+$F$5*(1-E24)^5)/(1-(1-E24))))</f>
        <v>1.6207266195744433E-2</v>
      </c>
      <c r="D24" s="2">
        <f t="shared" si="0"/>
        <v>3.8411741253303728</v>
      </c>
      <c r="E24" s="40">
        <f t="shared" si="1"/>
        <v>0.46310136889080722</v>
      </c>
      <c r="F24" s="40">
        <f>'Phase diagram'!F27</f>
        <v>1334.2822139223372</v>
      </c>
      <c r="G24" s="72">
        <f t="shared" ref="G24:G44" si="6">$B$12*EXP($G$19*(1-E24))</f>
        <v>2991.5178647239964</v>
      </c>
      <c r="H24" s="7">
        <f t="shared" ref="H24:H44" si="7">($B$10*B24/(F24-$B$14)-G24/(F24+$B$19)^2)/100</f>
        <v>1.620741549922481E-2</v>
      </c>
      <c r="I24" s="248">
        <f t="shared" ref="I24:I34" si="8">(2*$B$19)-$B$14-($B$10*B24/C24/100)</f>
        <v>-1335.6777373098491</v>
      </c>
      <c r="J24" s="248">
        <f t="shared" ref="J24:J34" si="9">($B$19^2)-(2*$B$19*$B$14)-(2*$B$10*B24*$B$19/100/C24)+(G24/C24/100)</f>
        <v>1845.7880734441715</v>
      </c>
      <c r="K24" s="248">
        <f t="shared" ref="K24:K44" si="10">(-$B$14*($B$19^2))-($B$10*B24*($B$19^2)/H24/100)-(G24*$B$14/H24/100)</f>
        <v>-220.17381491747634</v>
      </c>
      <c r="L24" s="249">
        <f t="shared" ref="L24:L34" si="11">F24-(F24^3+I24*F24^2+J24*F24+K24)/(3*F24^2+2*I24*F24+J24)</f>
        <v>1334.2945173869632</v>
      </c>
      <c r="M24" s="7">
        <f t="shared" ref="M24:M44" si="12">($B$10*B24/(L24-$B$14)-G24/(L24+$B$19)^2)/100</f>
        <v>1.6207266193003403E-2</v>
      </c>
      <c r="N24" s="248">
        <f t="shared" ref="N24:N44" si="13">(2*$B$19)-$B$14-($B$10*B24/M24/100)</f>
        <v>-1335.6777375357233</v>
      </c>
      <c r="O24" s="248">
        <f t="shared" ref="O24:O42" si="14">($B$19^2)-(2*$B$19*$B$14)-(2*$B$10*B24*$B$19/100/M24)+(G24/M24/100)</f>
        <v>1845.7880737563378</v>
      </c>
      <c r="P24" s="248">
        <f t="shared" ref="P24:P44" si="15">(-$B$14*($B$19^2))-($B$10*B24*($B$19^2)/M24/100)-(G24*$B$14/M24/100)</f>
        <v>-220.17584322502472</v>
      </c>
      <c r="Q24" s="249">
        <f t="shared" ref="Q24:Q44" si="16">L24-(L24^3+N24*L24^2+O24*L24+P24)/(3*L24^2+2*N24*L24+O24)</f>
        <v>1334.294517386963</v>
      </c>
      <c r="R24" s="41">
        <f t="shared" ref="R24:R43" si="17">($B$10*B24/(Q24-$B$14)-G24/(Q24+$B$19)^2)/100</f>
        <v>1.6207266193003403E-2</v>
      </c>
      <c r="S24" s="250">
        <f t="shared" si="2"/>
        <v>-1.6912350253226331E-8</v>
      </c>
      <c r="T24" s="7">
        <f t="shared" si="3"/>
        <v>0.99999999983087651</v>
      </c>
      <c r="U24" s="95">
        <f>'T2'!B13</f>
        <v>3018.0984969595138</v>
      </c>
      <c r="V24" s="96">
        <f t="shared" si="4"/>
        <v>-12.812934464343812</v>
      </c>
      <c r="W24" s="41"/>
      <c r="X24" s="41"/>
    </row>
    <row r="25" spans="1:27" x14ac:dyDescent="0.2">
      <c r="A25" s="4" t="s">
        <v>54</v>
      </c>
      <c r="B25" s="72">
        <f>'Phase diagram'!B28</f>
        <v>271.10155076686613</v>
      </c>
      <c r="C25" s="41">
        <f t="shared" si="5"/>
        <v>3.1258875210762156E-2</v>
      </c>
      <c r="D25" s="2">
        <f t="shared" si="0"/>
        <v>3.6886546652768888</v>
      </c>
      <c r="E25" s="40">
        <f t="shared" si="1"/>
        <v>0.48224980569031262</v>
      </c>
      <c r="F25" s="40">
        <f>'Phase diagram'!F28</f>
        <v>719.90408409071586</v>
      </c>
      <c r="G25" s="72">
        <f t="shared" si="6"/>
        <v>2942.4633702874626</v>
      </c>
      <c r="H25" s="7">
        <f t="shared" si="7"/>
        <v>3.1259203271566782E-2</v>
      </c>
      <c r="I25" s="248">
        <f t="shared" si="8"/>
        <v>-721.21898592776688</v>
      </c>
      <c r="J25" s="248">
        <f t="shared" si="9"/>
        <v>941.32093699724612</v>
      </c>
      <c r="K25" s="248">
        <f t="shared" si="10"/>
        <v>-112.28480607956452</v>
      </c>
      <c r="L25" s="249">
        <f t="shared" si="11"/>
        <v>719.91165210486929</v>
      </c>
      <c r="M25" s="7">
        <f t="shared" si="12"/>
        <v>3.1258875203957197E-2</v>
      </c>
      <c r="N25" s="248">
        <f t="shared" si="13"/>
        <v>-721.21898608474805</v>
      </c>
      <c r="O25" s="248">
        <f t="shared" si="14"/>
        <v>941.32093720216881</v>
      </c>
      <c r="P25" s="248">
        <f t="shared" si="15"/>
        <v>-112.28598452913069</v>
      </c>
      <c r="Q25" s="249">
        <f t="shared" si="16"/>
        <v>719.91165210486929</v>
      </c>
      <c r="R25" s="41">
        <f t="shared" si="17"/>
        <v>3.1258875203957197E-2</v>
      </c>
      <c r="S25" s="251">
        <f t="shared" si="2"/>
        <v>-2.1769687258072303E-8</v>
      </c>
      <c r="T25" s="7">
        <f t="shared" si="3"/>
        <v>0.99999999978230314</v>
      </c>
      <c r="U25" s="95">
        <f>'T3'!B13</f>
        <v>2959.4655073837321</v>
      </c>
      <c r="V25" s="96">
        <f t="shared" si="4"/>
        <v>-2.0484492331338515</v>
      </c>
      <c r="W25" s="41"/>
      <c r="X25" s="41"/>
    </row>
    <row r="26" spans="1:27" x14ac:dyDescent="0.2">
      <c r="A26" s="4" t="s">
        <v>55</v>
      </c>
      <c r="B26" s="72">
        <f>'Phase diagram'!B29</f>
        <v>282.31112875524661</v>
      </c>
      <c r="C26" s="41">
        <f t="shared" si="5"/>
        <v>5.811723116708116E-2</v>
      </c>
      <c r="D26" s="2">
        <f t="shared" si="0"/>
        <v>3.5421912143851872</v>
      </c>
      <c r="E26" s="40">
        <f t="shared" si="1"/>
        <v>0.50218999707422551</v>
      </c>
      <c r="F26" s="40">
        <f>'Phase diagram'!F29</f>
        <v>402.76720497530511</v>
      </c>
      <c r="G26" s="72">
        <f t="shared" si="6"/>
        <v>2892.2353302895158</v>
      </c>
      <c r="H26" s="7">
        <f t="shared" si="7"/>
        <v>5.811777004877177E-2</v>
      </c>
      <c r="I26" s="248">
        <f t="shared" si="8"/>
        <v>-404.00616315971274</v>
      </c>
      <c r="J26" s="248">
        <f t="shared" si="9"/>
        <v>497.65538932414586</v>
      </c>
      <c r="K26" s="248">
        <f t="shared" si="10"/>
        <v>-59.362545767402565</v>
      </c>
      <c r="L26" s="249">
        <f t="shared" si="11"/>
        <v>402.77095000459173</v>
      </c>
      <c r="M26" s="7">
        <f t="shared" si="12"/>
        <v>5.8117231157534283E-2</v>
      </c>
      <c r="N26" s="248">
        <f t="shared" si="13"/>
        <v>-404.0061632260589</v>
      </c>
      <c r="O26" s="248">
        <f t="shared" si="14"/>
        <v>497.65538940589533</v>
      </c>
      <c r="P26" s="248">
        <f t="shared" si="15"/>
        <v>-59.363096205802876</v>
      </c>
      <c r="Q26" s="249">
        <f t="shared" si="16"/>
        <v>402.77095000459173</v>
      </c>
      <c r="R26" s="41">
        <f t="shared" si="17"/>
        <v>5.8117231157534283E-2</v>
      </c>
      <c r="S26" s="250">
        <f t="shared" si="2"/>
        <v>-1.6426930509205529E-8</v>
      </c>
      <c r="T26" s="7">
        <f t="shared" si="3"/>
        <v>0.99999999983573074</v>
      </c>
      <c r="U26" s="95">
        <f>'T4'!B13</f>
        <v>2900.9771382066147</v>
      </c>
      <c r="V26" s="96">
        <f t="shared" si="4"/>
        <v>9.1611287552466365</v>
      </c>
      <c r="W26" s="41"/>
      <c r="X26" s="41"/>
    </row>
    <row r="27" spans="1:27" x14ac:dyDescent="0.2">
      <c r="A27" s="4" t="s">
        <v>56</v>
      </c>
      <c r="B27" s="72">
        <f>'Phase diagram'!B30</f>
        <v>293.9842033127988</v>
      </c>
      <c r="C27" s="41">
        <f t="shared" si="5"/>
        <v>0.10437433943134912</v>
      </c>
      <c r="D27" s="2">
        <f t="shared" si="0"/>
        <v>3.4015433099172383</v>
      </c>
      <c r="E27" s="40">
        <f t="shared" si="1"/>
        <v>0.52295468071865447</v>
      </c>
      <c r="F27" s="40">
        <f>'Phase diagram'!F30</f>
        <v>233.14094623355646</v>
      </c>
      <c r="G27" s="72">
        <f t="shared" si="6"/>
        <v>2840.8415394098729</v>
      </c>
      <c r="H27" s="7">
        <f t="shared" si="7"/>
        <v>0.10437466386673601</v>
      </c>
      <c r="I27" s="248">
        <f t="shared" si="8"/>
        <v>-234.30851362945691</v>
      </c>
      <c r="J27" s="248">
        <f t="shared" si="9"/>
        <v>272.17815747503721</v>
      </c>
      <c r="K27" s="248">
        <f t="shared" si="10"/>
        <v>-32.46681994856695</v>
      </c>
      <c r="L27" s="249">
        <f t="shared" si="11"/>
        <v>233.14167419822533</v>
      </c>
      <c r="M27" s="7">
        <f t="shared" si="12"/>
        <v>0.10437433943014961</v>
      </c>
      <c r="N27" s="248">
        <f t="shared" si="13"/>
        <v>-234.30851363214828</v>
      </c>
      <c r="O27" s="248">
        <f t="shared" si="14"/>
        <v>272.17815747816525</v>
      </c>
      <c r="P27" s="248">
        <f t="shared" si="15"/>
        <v>-32.466920868240237</v>
      </c>
      <c r="Q27" s="249">
        <f t="shared" si="16"/>
        <v>233.1416741982253</v>
      </c>
      <c r="R27" s="41">
        <f t="shared" si="17"/>
        <v>0.10437433943014961</v>
      </c>
      <c r="S27" s="250">
        <f t="shared" si="2"/>
        <v>-1.149241008772658E-9</v>
      </c>
      <c r="T27" s="7">
        <f t="shared" si="3"/>
        <v>0.99999999998850764</v>
      </c>
      <c r="U27" s="95">
        <f>'T5'!B13</f>
        <v>2842.6049961085528</v>
      </c>
      <c r="V27" s="96">
        <f t="shared" si="4"/>
        <v>20.83420331279882</v>
      </c>
      <c r="W27" s="41"/>
      <c r="X27" s="41"/>
    </row>
    <row r="28" spans="1:27" x14ac:dyDescent="0.2">
      <c r="A28" s="4" t="s">
        <v>57</v>
      </c>
      <c r="B28" s="72">
        <f>'Phase diagram'!B31</f>
        <v>306.13993921716707</v>
      </c>
      <c r="C28" s="41">
        <f t="shared" si="5"/>
        <v>0.18143013473605477</v>
      </c>
      <c r="D28" s="2">
        <f t="shared" si="0"/>
        <v>3.2664800370611822</v>
      </c>
      <c r="E28" s="40">
        <f t="shared" si="1"/>
        <v>0.54457794794572201</v>
      </c>
      <c r="F28" s="40">
        <f>'Phase diagram'!F31</f>
        <v>139.31528939032131</v>
      </c>
      <c r="G28" s="72">
        <f t="shared" si="6"/>
        <v>2788.2931340016612</v>
      </c>
      <c r="H28" s="7">
        <f t="shared" si="7"/>
        <v>0.18142808615083633</v>
      </c>
      <c r="I28" s="248">
        <f t="shared" si="8"/>
        <v>-140.41591211099686</v>
      </c>
      <c r="J28" s="248">
        <f t="shared" si="9"/>
        <v>153.68412408765943</v>
      </c>
      <c r="K28" s="248">
        <f t="shared" si="10"/>
        <v>-18.332502071625569</v>
      </c>
      <c r="L28" s="249">
        <f t="shared" si="11"/>
        <v>139.3137052079496</v>
      </c>
      <c r="M28" s="7">
        <f t="shared" si="12"/>
        <v>0.18143013467537769</v>
      </c>
      <c r="N28" s="248">
        <f t="shared" si="13"/>
        <v>-140.41591215791732</v>
      </c>
      <c r="O28" s="248">
        <f t="shared" si="14"/>
        <v>153.68412413905719</v>
      </c>
      <c r="P28" s="248">
        <f t="shared" si="15"/>
        <v>-18.332295079658852</v>
      </c>
      <c r="Q28" s="249">
        <f t="shared" si="16"/>
        <v>139.31370520794957</v>
      </c>
      <c r="R28" s="41">
        <f t="shared" si="17"/>
        <v>0.18143013467537775</v>
      </c>
      <c r="S28" s="250">
        <f t="shared" si="2"/>
        <v>-3.3443738027925645E-8</v>
      </c>
      <c r="T28" s="7">
        <f t="shared" si="3"/>
        <v>0.99999999966556263</v>
      </c>
      <c r="U28" s="95">
        <f>'T6'!B13</f>
        <v>2784.3170844830029</v>
      </c>
      <c r="V28" s="96">
        <f t="shared" si="4"/>
        <v>32.989939217167091</v>
      </c>
      <c r="W28" s="41"/>
      <c r="X28" s="41"/>
    </row>
    <row r="29" spans="1:27" x14ac:dyDescent="0.2">
      <c r="A29" s="4" t="s">
        <v>58</v>
      </c>
      <c r="B29" s="72">
        <f>'Phase diagram'!B32</f>
        <v>318.79829367624569</v>
      </c>
      <c r="C29" s="41">
        <f t="shared" si="5"/>
        <v>0.30584494184815675</v>
      </c>
      <c r="D29" s="2">
        <f t="shared" si="0"/>
        <v>3.1367796498169023</v>
      </c>
      <c r="E29" s="40">
        <f t="shared" si="1"/>
        <v>0.56709529969447436</v>
      </c>
      <c r="F29" s="40">
        <f>'Phase diagram'!F32</f>
        <v>85.747773096660865</v>
      </c>
      <c r="G29" s="72">
        <f>$B$12*EXP($G$19*(1-E29))</f>
        <v>2734.6048092714441</v>
      </c>
      <c r="H29" s="7">
        <f t="shared" si="7"/>
        <v>0.30583334787987648</v>
      </c>
      <c r="I29" s="248">
        <f t="shared" si="8"/>
        <v>-86.785803057140598</v>
      </c>
      <c r="J29" s="248">
        <f>($B$19^2)-(2*$B$19*$B$14)-(2*$B$10*B29*$B$19/100/C29)+(G29/C29/100)</f>
        <v>89.41147735668936</v>
      </c>
      <c r="K29" s="248">
        <f t="shared" si="10"/>
        <v>-10.665901462556883</v>
      </c>
      <c r="L29" s="249">
        <f t="shared" si="11"/>
        <v>85.744487553864303</v>
      </c>
      <c r="M29" s="7">
        <f t="shared" si="12"/>
        <v>0.30584494075778124</v>
      </c>
      <c r="N29" s="248">
        <f t="shared" si="13"/>
        <v>-86.785803366117577</v>
      </c>
      <c r="O29" s="248">
        <f t="shared" si="14"/>
        <v>89.411477675452474</v>
      </c>
      <c r="P29" s="248">
        <f t="shared" si="15"/>
        <v>-10.665497177649984</v>
      </c>
      <c r="Q29" s="249">
        <f t="shared" si="16"/>
        <v>85.744487553864303</v>
      </c>
      <c r="R29" s="41">
        <f t="shared" si="17"/>
        <v>0.30584494075778124</v>
      </c>
      <c r="S29" s="250">
        <f t="shared" si="2"/>
        <v>-3.5651252085905726E-7</v>
      </c>
      <c r="T29" s="7">
        <f t="shared" si="3"/>
        <v>0.9999999964348748</v>
      </c>
      <c r="U29" s="95">
        <f>'T7'!B13</f>
        <v>2726.08013390323</v>
      </c>
      <c r="V29" s="96">
        <f t="shared" si="4"/>
        <v>45.648293676245714</v>
      </c>
      <c r="W29" s="41"/>
      <c r="X29" s="41"/>
    </row>
    <row r="30" spans="1:27" x14ac:dyDescent="0.2">
      <c r="A30" s="4" t="s">
        <v>59</v>
      </c>
      <c r="B30" s="72">
        <f>'Phase diagram'!B33</f>
        <v>331.9800490937925</v>
      </c>
      <c r="C30" s="41">
        <f t="shared" si="5"/>
        <v>0.50095379404491969</v>
      </c>
      <c r="D30" s="2">
        <f t="shared" si="0"/>
        <v>3.0122292069348888</v>
      </c>
      <c r="E30" s="40">
        <f t="shared" si="1"/>
        <v>0.59054370480609175</v>
      </c>
      <c r="F30" s="40">
        <f>'Phase diagram'!F33</f>
        <v>54.239504994725849</v>
      </c>
      <c r="G30" s="72">
        <f t="shared" si="6"/>
        <v>2679.7950365593215</v>
      </c>
      <c r="H30" s="7">
        <f t="shared" si="7"/>
        <v>0.50091323007164879</v>
      </c>
      <c r="I30" s="248">
        <f t="shared" si="8"/>
        <v>-55.219206355867968</v>
      </c>
      <c r="J30" s="248">
        <f t="shared" si="9"/>
        <v>53.493856487670975</v>
      </c>
      <c r="K30" s="248">
        <f t="shared" si="10"/>
        <v>-6.3815607622378039</v>
      </c>
      <c r="L30" s="249">
        <f t="shared" si="11"/>
        <v>54.235042808429469</v>
      </c>
      <c r="M30" s="7">
        <f t="shared" si="12"/>
        <v>0.50095378568276216</v>
      </c>
      <c r="N30" s="248">
        <f t="shared" si="13"/>
        <v>-55.219207275621912</v>
      </c>
      <c r="O30" s="248">
        <f t="shared" si="14"/>
        <v>53.493857380615729</v>
      </c>
      <c r="P30" s="248">
        <f t="shared" si="15"/>
        <v>-6.381044131554563</v>
      </c>
      <c r="Q30" s="249">
        <f t="shared" si="16"/>
        <v>54.235042808429476</v>
      </c>
      <c r="R30" s="7">
        <f t="shared" si="17"/>
        <v>0.50095378568276205</v>
      </c>
      <c r="S30" s="250">
        <f t="shared" si="2"/>
        <v>-1.6692472903502797E-6</v>
      </c>
      <c r="T30" s="7">
        <f t="shared" si="3"/>
        <v>0.99999998330752715</v>
      </c>
      <c r="U30" s="95">
        <f>'T8'!B13</f>
        <v>2667.8614237862971</v>
      </c>
      <c r="V30" s="96">
        <f t="shared" si="4"/>
        <v>58.830049093792525</v>
      </c>
      <c r="W30" s="41"/>
      <c r="X30" s="41"/>
    </row>
    <row r="31" spans="1:27" x14ac:dyDescent="0.2">
      <c r="A31" s="4" t="s">
        <v>60</v>
      </c>
      <c r="B31" s="72">
        <f>'Phase diagram'!B34</f>
        <v>345.70684718984404</v>
      </c>
      <c r="C31" s="41">
        <f t="shared" si="5"/>
        <v>0.79873897287460038</v>
      </c>
      <c r="D31" s="2">
        <f t="shared" si="0"/>
        <v>2.8926242223106811</v>
      </c>
      <c r="E31" s="40">
        <f t="shared" si="1"/>
        <v>0.61496166071909075</v>
      </c>
      <c r="F31" s="40">
        <f>'Phase diagram'!F34</f>
        <v>35.180248120405857</v>
      </c>
      <c r="G31" s="72">
        <f t="shared" si="6"/>
        <v>2623.8862789674008</v>
      </c>
      <c r="H31" s="7">
        <f t="shared" si="7"/>
        <v>0.79862378246508814</v>
      </c>
      <c r="I31" s="248">
        <f t="shared" si="8"/>
        <v>-36.10579848529148</v>
      </c>
      <c r="J31" s="248">
        <f t="shared" si="9"/>
        <v>32.850359980861271</v>
      </c>
      <c r="K31" s="248">
        <f t="shared" si="10"/>
        <v>-3.9191384162966276</v>
      </c>
      <c r="L31" s="249">
        <f t="shared" si="11"/>
        <v>35.175056886722714</v>
      </c>
      <c r="M31" s="7">
        <f t="shared" si="12"/>
        <v>0.7987389280105347</v>
      </c>
      <c r="N31" s="248">
        <f t="shared" si="13"/>
        <v>-36.105800506604361</v>
      </c>
      <c r="O31" s="248">
        <f t="shared" si="14"/>
        <v>32.850361826020752</v>
      </c>
      <c r="P31" s="248">
        <f t="shared" si="15"/>
        <v>-3.9185734365331535</v>
      </c>
      <c r="Q31" s="249">
        <f t="shared" si="16"/>
        <v>35.175056886722714</v>
      </c>
      <c r="R31" s="7">
        <f t="shared" si="17"/>
        <v>0.7987389280105347</v>
      </c>
      <c r="S31" s="250">
        <f t="shared" si="2"/>
        <v>-5.6168619797342435E-6</v>
      </c>
      <c r="T31" s="7">
        <f t="shared" si="3"/>
        <v>0.99999994383138024</v>
      </c>
      <c r="U31" s="95">
        <f>'T9'!B13</f>
        <v>2609.6297392169022</v>
      </c>
      <c r="V31" s="96">
        <f t="shared" si="4"/>
        <v>72.556847189844063</v>
      </c>
      <c r="W31" s="41"/>
      <c r="X31" s="41"/>
    </row>
    <row r="32" spans="1:27" x14ac:dyDescent="0.2">
      <c r="A32" s="4" t="s">
        <v>61</v>
      </c>
      <c r="B32" s="72">
        <f>'Phase diagram'!B35</f>
        <v>360.00122453195002</v>
      </c>
      <c r="C32" s="41">
        <f t="shared" si="5"/>
        <v>1.2419565662834327</v>
      </c>
      <c r="D32" s="2">
        <f t="shared" si="0"/>
        <v>2.7777683292609199</v>
      </c>
      <c r="E32" s="40">
        <f t="shared" si="1"/>
        <v>0.64038925667416757</v>
      </c>
      <c r="F32" s="40">
        <f>'Phase diagram'!F35</f>
        <v>23.344750820334983</v>
      </c>
      <c r="G32" s="72">
        <f t="shared" si="6"/>
        <v>2566.9052033614048</v>
      </c>
      <c r="H32" s="7">
        <f t="shared" si="7"/>
        <v>1.2416712333065052</v>
      </c>
      <c r="I32" s="248">
        <f t="shared" si="8"/>
        <v>-24.220239339255414</v>
      </c>
      <c r="J32" s="248">
        <f t="shared" si="9"/>
        <v>20.668236499146619</v>
      </c>
      <c r="K32" s="248">
        <f t="shared" si="10"/>
        <v>-2.4659884800278378</v>
      </c>
      <c r="L32" s="249">
        <f t="shared" si="11"/>
        <v>23.339210495125712</v>
      </c>
      <c r="M32" s="7">
        <f t="shared" si="12"/>
        <v>1.2419563725864182</v>
      </c>
      <c r="N32" s="248">
        <f t="shared" si="13"/>
        <v>-24.220243098069247</v>
      </c>
      <c r="O32" s="248">
        <f t="shared" si="14"/>
        <v>20.668239722589718</v>
      </c>
      <c r="P32" s="248">
        <f t="shared" si="15"/>
        <v>-2.4654223166786333</v>
      </c>
      <c r="Q32" s="249">
        <f t="shared" si="16"/>
        <v>23.339210495125712</v>
      </c>
      <c r="R32" s="7">
        <f t="shared" si="17"/>
        <v>1.2419563725864182</v>
      </c>
      <c r="S32" s="250">
        <f t="shared" si="2"/>
        <v>-1.5596118228794482E-5</v>
      </c>
      <c r="T32" s="7">
        <f t="shared" si="3"/>
        <v>0.9999998440388177</v>
      </c>
      <c r="U32" s="95">
        <f>'T10'!B13</f>
        <v>2551.3552008052825</v>
      </c>
      <c r="V32" s="96">
        <f t="shared" si="4"/>
        <v>86.851224531950038</v>
      </c>
      <c r="W32" s="41"/>
      <c r="X32" s="41"/>
    </row>
    <row r="33" spans="1:24" x14ac:dyDescent="0.2">
      <c r="A33" s="4" t="s">
        <v>62</v>
      </c>
      <c r="B33" s="72">
        <f>'Phase diagram'!B36</f>
        <v>374.88664953556292</v>
      </c>
      <c r="C33" s="41">
        <f t="shared" si="5"/>
        <v>1.8865230429204805</v>
      </c>
      <c r="D33" s="2">
        <f t="shared" si="0"/>
        <v>2.6674729581298062</v>
      </c>
      <c r="E33" s="40">
        <f t="shared" si="1"/>
        <v>0.66686823953245156</v>
      </c>
      <c r="F33" s="40">
        <f>'Phase diagram'!F36</f>
        <v>15.812312715495965</v>
      </c>
      <c r="G33" s="72">
        <f t="shared" si="6"/>
        <v>2508.8828865377932</v>
      </c>
      <c r="H33" s="7">
        <f t="shared" si="7"/>
        <v>1.8858881140472044</v>
      </c>
      <c r="I33" s="248">
        <f t="shared" si="8"/>
        <v>-16.641738365449221</v>
      </c>
      <c r="J33" s="248">
        <f t="shared" si="9"/>
        <v>13.298978223207136</v>
      </c>
      <c r="K33" s="248">
        <f t="shared" si="10"/>
        <v>-1.5869100059610231</v>
      </c>
      <c r="L33" s="249">
        <f t="shared" si="11"/>
        <v>15.80674525655094</v>
      </c>
      <c r="M33" s="7">
        <f t="shared" si="12"/>
        <v>1.8865223265079434</v>
      </c>
      <c r="N33" s="248">
        <f t="shared" si="13"/>
        <v>-16.641744639900459</v>
      </c>
      <c r="O33" s="248">
        <f t="shared" si="14"/>
        <v>13.298983273534184</v>
      </c>
      <c r="P33" s="248">
        <f t="shared" si="15"/>
        <v>-1.5863765173901694</v>
      </c>
      <c r="Q33" s="249">
        <f t="shared" si="16"/>
        <v>15.806745256550936</v>
      </c>
      <c r="R33" s="7">
        <f t="shared" si="17"/>
        <v>1.8865223265079434</v>
      </c>
      <c r="S33" s="250">
        <f t="shared" si="2"/>
        <v>-3.7975286851663084E-5</v>
      </c>
      <c r="T33" s="7">
        <f t="shared" si="3"/>
        <v>0.99999962024713152</v>
      </c>
      <c r="U33" s="95">
        <f>'T11'!B13</f>
        <v>2493.0078085745158</v>
      </c>
      <c r="V33" s="96">
        <f t="shared" si="4"/>
        <v>101.73664953556295</v>
      </c>
      <c r="W33" s="89"/>
      <c r="X33" s="89"/>
    </row>
    <row r="34" spans="1:24" x14ac:dyDescent="0.2">
      <c r="A34" s="4" t="s">
        <v>63</v>
      </c>
      <c r="B34" s="72">
        <f>'Phase diagram'!B37</f>
        <v>390.38756099432965</v>
      </c>
      <c r="C34" s="41">
        <f t="shared" si="5"/>
        <v>2.804192214432971</v>
      </c>
      <c r="D34" s="2">
        <f t="shared" si="0"/>
        <v>2.5615570266966703</v>
      </c>
      <c r="E34" s="40">
        <f t="shared" si="1"/>
        <v>0.69444208231522997</v>
      </c>
      <c r="F34" s="40">
        <f>'Phase diagram'!F37</f>
        <v>10.907111486584226</v>
      </c>
      <c r="G34" s="72">
        <f t="shared" si="6"/>
        <v>2449.8550131096631</v>
      </c>
      <c r="H34" s="7">
        <f t="shared" si="7"/>
        <v>2.8029066781107717</v>
      </c>
      <c r="I34" s="248">
        <f t="shared" si="8"/>
        <v>-11.694388221998341</v>
      </c>
      <c r="J34" s="248">
        <f t="shared" si="9"/>
        <v>8.7364018789455287</v>
      </c>
      <c r="K34" s="248">
        <f t="shared" si="10"/>
        <v>-1.0426044571520763</v>
      </c>
      <c r="L34" s="249">
        <f t="shared" si="11"/>
        <v>10.901792779171224</v>
      </c>
      <c r="M34" s="7">
        <f t="shared" si="12"/>
        <v>2.8041898672575227</v>
      </c>
      <c r="N34" s="248">
        <f t="shared" si="13"/>
        <v>-11.694397910642154</v>
      </c>
      <c r="O34" s="248">
        <f t="shared" si="14"/>
        <v>8.7364091915274038</v>
      </c>
      <c r="P34" s="248">
        <f t="shared" si="15"/>
        <v>-1.0421273643776559</v>
      </c>
      <c r="Q34" s="249">
        <f t="shared" si="16"/>
        <v>10.901792779171224</v>
      </c>
      <c r="R34" s="7">
        <f t="shared" si="17"/>
        <v>2.8041898672575227</v>
      </c>
      <c r="S34" s="250">
        <f t="shared" si="2"/>
        <v>-8.3702373758275881E-5</v>
      </c>
      <c r="T34" s="7">
        <f t="shared" si="3"/>
        <v>0.99999916297626246</v>
      </c>
      <c r="U34" s="95">
        <f>'T12'!B13</f>
        <v>2434.561619718203</v>
      </c>
      <c r="V34" s="96">
        <f t="shared" si="4"/>
        <v>117.23756099432967</v>
      </c>
    </row>
    <row r="35" spans="1:24" x14ac:dyDescent="0.2">
      <c r="A35" s="4" t="s">
        <v>64</v>
      </c>
      <c r="B35" s="72">
        <f>'Phase diagram'!B38</f>
        <v>406.52940820354308</v>
      </c>
      <c r="C35" s="41">
        <f t="shared" si="5"/>
        <v>4.0855960438249053</v>
      </c>
      <c r="D35" s="2">
        <f t="shared" si="0"/>
        <v>2.459846642876363</v>
      </c>
      <c r="E35" s="40">
        <f t="shared" si="1"/>
        <v>0.72315605557767026</v>
      </c>
      <c r="F35" s="40">
        <f>'Phase diagram'!F38</f>
        <v>7.6435197673646131</v>
      </c>
      <c r="G35" s="72">
        <f t="shared" si="6"/>
        <v>2389.8620624218074</v>
      </c>
      <c r="H35" s="7">
        <f t="shared" si="7"/>
        <v>4.083215779156558</v>
      </c>
      <c r="I35" s="248">
        <f t="shared" ref="I35:I44" si="18">(2*$B$19)-$B$14-($B$10*B35/C35/100)</f>
        <v>-8.3924794561720315</v>
      </c>
      <c r="J35" s="248">
        <f t="shared" ref="J35:J43" si="19">($B$19^2)-(2*$B$19*$B$14)-(2*$B$10*B35*$B$19/100/C35)+(G35/C35/100)</f>
        <v>5.8494820260899703</v>
      </c>
      <c r="K35" s="248">
        <f t="shared" si="10"/>
        <v>-0.698165423855861</v>
      </c>
      <c r="L35" s="249">
        <f t="shared" ref="L35:L43" si="20">F35-(F35^3+I35*F35^2+J35*F35+K35)/(3*F35^2+2*I35*F35+J35)</f>
        <v>7.6386791423293223</v>
      </c>
      <c r="M35" s="7">
        <f t="shared" si="12"/>
        <v>4.0855890851863217</v>
      </c>
      <c r="N35" s="248">
        <f t="shared" si="13"/>
        <v>-8.3924935472039817</v>
      </c>
      <c r="O35" s="248">
        <f t="shared" si="14"/>
        <v>5.8494919890183201</v>
      </c>
      <c r="P35" s="248">
        <f t="shared" si="15"/>
        <v>-0.69775986172622395</v>
      </c>
      <c r="Q35" s="249">
        <f t="shared" si="16"/>
        <v>7.6386791423293223</v>
      </c>
      <c r="R35" s="7">
        <f t="shared" si="17"/>
        <v>4.0855890851863217</v>
      </c>
      <c r="S35" s="250">
        <f t="shared" si="2"/>
        <v>-1.7032125812080123E-4</v>
      </c>
      <c r="T35" s="7">
        <f t="shared" si="3"/>
        <v>0.99999829678741881</v>
      </c>
      <c r="U35" s="95">
        <f>'T13'!B13</f>
        <v>2375.9557481879115</v>
      </c>
      <c r="V35" s="96">
        <f t="shared" si="4"/>
        <v>133.37940820354311</v>
      </c>
    </row>
    <row r="36" spans="1:24" x14ac:dyDescent="0.2">
      <c r="A36" s="4" t="s">
        <v>65</v>
      </c>
      <c r="B36" s="72">
        <f>'Phase diagram'!B39</f>
        <v>423.33869274262923</v>
      </c>
      <c r="C36" s="41">
        <f t="shared" si="5"/>
        <v>5.8437937282110406</v>
      </c>
      <c r="D36" s="2">
        <f t="shared" si="0"/>
        <v>2.362174819224367</v>
      </c>
      <c r="E36" s="40">
        <f t="shared" si="1"/>
        <v>0.75305730173372221</v>
      </c>
      <c r="F36" s="40">
        <f>'Phase diagram'!F39</f>
        <v>5.4280833101355412</v>
      </c>
      <c r="G36" s="72">
        <f t="shared" si="6"/>
        <v>2328.9494815618827</v>
      </c>
      <c r="H36" s="7">
        <f t="shared" si="7"/>
        <v>5.8397910625134015</v>
      </c>
      <c r="I36" s="248">
        <f t="shared" si="18"/>
        <v>-6.1425196974744853</v>
      </c>
      <c r="J36" s="248">
        <f t="shared" si="19"/>
        <v>3.9853382748929498</v>
      </c>
      <c r="K36" s="248">
        <f t="shared" si="10"/>
        <v>-0.47571910348915708</v>
      </c>
      <c r="L36" s="249">
        <f t="shared" si="20"/>
        <v>5.4239261242187453</v>
      </c>
      <c r="M36" s="7">
        <f t="shared" si="12"/>
        <v>5.8437749660105354</v>
      </c>
      <c r="N36" s="248">
        <f t="shared" si="13"/>
        <v>-6.1425390358520664</v>
      </c>
      <c r="O36" s="248">
        <f t="shared" si="14"/>
        <v>3.9853510703404522</v>
      </c>
      <c r="P36" s="248">
        <f t="shared" si="15"/>
        <v>-0.47539478932390139</v>
      </c>
      <c r="Q36" s="249">
        <f t="shared" si="16"/>
        <v>5.4239261242187444</v>
      </c>
      <c r="R36" s="7">
        <f t="shared" si="17"/>
        <v>5.8437749660105363</v>
      </c>
      <c r="S36" s="250">
        <f t="shared" si="2"/>
        <v>-3.2106199118161761E-4</v>
      </c>
      <c r="T36" s="7">
        <f t="shared" si="3"/>
        <v>0.99999678938008818</v>
      </c>
      <c r="U36" s="95">
        <f>'T14'!B13</f>
        <v>2317.1559918588723</v>
      </c>
      <c r="V36" s="96">
        <f t="shared" si="4"/>
        <v>150.18869274262926</v>
      </c>
    </row>
    <row r="37" spans="1:24" x14ac:dyDescent="0.2">
      <c r="A37" s="4" t="s">
        <v>66</v>
      </c>
      <c r="B37" s="72">
        <f>'Phase diagram'!B40</f>
        <v>440.84301198526754</v>
      </c>
      <c r="C37" s="41">
        <f t="shared" si="5"/>
        <v>8.2185939153590262</v>
      </c>
      <c r="D37" s="2">
        <f t="shared" si="0"/>
        <v>2.268381198777897</v>
      </c>
      <c r="E37" s="40">
        <f t="shared" si="1"/>
        <v>0.78419491245422579</v>
      </c>
      <c r="F37" s="40">
        <f>'Phase diagram'!F40</f>
        <v>3.8954454897186128</v>
      </c>
      <c r="G37" s="72">
        <f t="shared" si="6"/>
        <v>2267.1678412950178</v>
      </c>
      <c r="H37" s="7">
        <f t="shared" si="7"/>
        <v>8.2126047276981726</v>
      </c>
      <c r="I37" s="248">
        <f t="shared" si="18"/>
        <v>-4.5791647803040521</v>
      </c>
      <c r="J37" s="248">
        <f t="shared" si="19"/>
        <v>2.7585836027962181</v>
      </c>
      <c r="K37" s="248">
        <f t="shared" si="10"/>
        <v>-0.32929913101656749</v>
      </c>
      <c r="L37" s="249">
        <f t="shared" si="20"/>
        <v>3.8921520894540187</v>
      </c>
      <c r="M37" s="7">
        <f t="shared" si="12"/>
        <v>8.2185483285618517</v>
      </c>
      <c r="N37" s="248">
        <f t="shared" si="13"/>
        <v>-4.579189518445367</v>
      </c>
      <c r="O37" s="248">
        <f t="shared" si="14"/>
        <v>2.7585989041592036</v>
      </c>
      <c r="P37" s="248">
        <f t="shared" si="15"/>
        <v>-0.32906098402013056</v>
      </c>
      <c r="Q37" s="249">
        <f t="shared" si="16"/>
        <v>3.8921520894540182</v>
      </c>
      <c r="R37" s="7">
        <f t="shared" si="17"/>
        <v>8.2185483285618535</v>
      </c>
      <c r="S37" s="250">
        <f t="shared" si="2"/>
        <v>-5.5467878863694467E-4</v>
      </c>
      <c r="T37" s="7">
        <f t="shared" si="3"/>
        <v>0.99999445321211367</v>
      </c>
      <c r="U37" s="95">
        <f>'T15'!B13</f>
        <v>2258.0795510800476</v>
      </c>
      <c r="V37" s="96">
        <f t="shared" si="4"/>
        <v>167.69301198526756</v>
      </c>
    </row>
    <row r="38" spans="1:24" x14ac:dyDescent="0.2">
      <c r="A38" s="4" t="s">
        <v>67</v>
      </c>
      <c r="B38" s="72">
        <f>'Phase diagram'!B41</f>
        <v>459.07110440857866</v>
      </c>
      <c r="C38" s="41">
        <f t="shared" si="5"/>
        <v>11.382136605289334</v>
      </c>
      <c r="D38" s="2">
        <f t="shared" si="0"/>
        <v>2.1783117917828876</v>
      </c>
      <c r="E38" s="40">
        <f t="shared" si="1"/>
        <v>0.81662000926529577</v>
      </c>
      <c r="F38" s="40">
        <f>'Phase diagram'!F41</f>
        <v>2.8158083277094557</v>
      </c>
      <c r="G38" s="72">
        <f t="shared" si="6"/>
        <v>2204.5729715180832</v>
      </c>
      <c r="H38" s="7">
        <f t="shared" si="7"/>
        <v>11.374615831197239</v>
      </c>
      <c r="I38" s="248">
        <f t="shared" si="18"/>
        <v>-3.4727431821124446</v>
      </c>
      <c r="J38" s="248">
        <f t="shared" si="19"/>
        <v>1.9368709478443682</v>
      </c>
      <c r="K38" s="248">
        <f t="shared" si="10"/>
        <v>-0.23119347548495697</v>
      </c>
      <c r="L38" s="249">
        <f t="shared" si="20"/>
        <v>2.8135420103843556</v>
      </c>
      <c r="M38" s="7">
        <f t="shared" si="12"/>
        <v>11.382041450276011</v>
      </c>
      <c r="N38" s="248">
        <f t="shared" si="13"/>
        <v>-3.4727712173561378</v>
      </c>
      <c r="O38" s="248">
        <f t="shared" si="14"/>
        <v>1.9368871402806418</v>
      </c>
      <c r="P38" s="248">
        <f t="shared" si="15"/>
        <v>-0.23104264536454766</v>
      </c>
      <c r="Q38" s="249">
        <f t="shared" si="16"/>
        <v>2.8135420103843551</v>
      </c>
      <c r="R38" s="7">
        <f t="shared" si="17"/>
        <v>11.382041450276011</v>
      </c>
      <c r="S38" s="250">
        <f t="shared" si="2"/>
        <v>-8.3600308643988497E-4</v>
      </c>
      <c r="T38" s="7">
        <f t="shared" si="3"/>
        <v>0.99999163996913565</v>
      </c>
      <c r="U38" s="95">
        <f>'T16'!B13</f>
        <v>2198.6099177663473</v>
      </c>
      <c r="V38" s="96">
        <f t="shared" si="4"/>
        <v>185.92110440857869</v>
      </c>
    </row>
    <row r="39" spans="1:24" x14ac:dyDescent="0.2">
      <c r="A39" s="4" t="s">
        <v>68</v>
      </c>
      <c r="B39" s="72">
        <f>'Phase diagram'!B42</f>
        <v>478.05289677576877</v>
      </c>
      <c r="C39" s="41">
        <f t="shared" si="5"/>
        <v>15.546672704686031</v>
      </c>
      <c r="D39" s="2">
        <f t="shared" si="0"/>
        <v>2.0918187228746175</v>
      </c>
      <c r="E39" s="40">
        <f t="shared" si="1"/>
        <v>0.8503858274793098</v>
      </c>
      <c r="F39" s="40">
        <f>'Phase diagram'!F42</f>
        <v>2.041521578691778</v>
      </c>
      <c r="G39" s="72">
        <f t="shared" si="6"/>
        <v>2141.2260726129903</v>
      </c>
      <c r="H39" s="7">
        <f t="shared" si="7"/>
        <v>15.540342374865418</v>
      </c>
      <c r="I39" s="248">
        <f t="shared" si="18"/>
        <v>-2.6759583920320442</v>
      </c>
      <c r="J39" s="248">
        <f t="shared" si="19"/>
        <v>1.3772889629094645</v>
      </c>
      <c r="K39" s="248">
        <f t="shared" si="10"/>
        <v>-0.16435759320764626</v>
      </c>
      <c r="L39" s="249">
        <f t="shared" si="20"/>
        <v>2.0404401626648596</v>
      </c>
      <c r="M39" s="7">
        <f t="shared" si="12"/>
        <v>15.546534789553302</v>
      </c>
      <c r="N39" s="248">
        <f t="shared" si="13"/>
        <v>-2.6759810725765707</v>
      </c>
      <c r="O39" s="248">
        <f t="shared" si="14"/>
        <v>1.3773011810013223</v>
      </c>
      <c r="P39" s="248">
        <f t="shared" si="15"/>
        <v>-0.16429212714797306</v>
      </c>
      <c r="Q39" s="249">
        <f t="shared" si="16"/>
        <v>2.0404401626648596</v>
      </c>
      <c r="R39" s="7">
        <f t="shared" si="17"/>
        <v>15.546534789553302</v>
      </c>
      <c r="S39" s="250">
        <f t="shared" si="2"/>
        <v>-8.871038539817913E-4</v>
      </c>
      <c r="T39" s="7">
        <f t="shared" si="3"/>
        <v>0.99999112896146014</v>
      </c>
      <c r="U39" s="95">
        <f>'T17'!$B$13</f>
        <v>2138.5877111910818</v>
      </c>
      <c r="V39" s="96">
        <f t="shared" si="4"/>
        <v>204.9028967757688</v>
      </c>
    </row>
    <row r="40" spans="1:24" x14ac:dyDescent="0.2">
      <c r="A40" s="4" t="s">
        <v>69</v>
      </c>
      <c r="B40" s="72">
        <f>'Phase diagram'!B43</f>
        <v>497.81955326969432</v>
      </c>
      <c r="C40" s="41">
        <f t="shared" si="5"/>
        <v>20.976510874317992</v>
      </c>
      <c r="D40" s="2">
        <f t="shared" si="0"/>
        <v>2.0087599882969016</v>
      </c>
      <c r="E40" s="40">
        <f t="shared" si="1"/>
        <v>0.88554780359629703</v>
      </c>
      <c r="F40" s="40">
        <f>'Phase diagram'!F43</f>
        <v>1.4754815179520717</v>
      </c>
      <c r="G40" s="72">
        <f t="shared" si="6"/>
        <v>2077.1937988822788</v>
      </c>
      <c r="H40" s="7">
        <f t="shared" si="7"/>
        <v>20.978772553915487</v>
      </c>
      <c r="I40" s="248">
        <f t="shared" si="18"/>
        <v>-2.0925048694573536</v>
      </c>
      <c r="J40" s="248">
        <f t="shared" si="19"/>
        <v>0.99024752559084239</v>
      </c>
      <c r="K40" s="248">
        <f t="shared" si="10"/>
        <v>-0.11810948495204367</v>
      </c>
      <c r="L40" s="249">
        <f t="shared" si="20"/>
        <v>1.4757084823087852</v>
      </c>
      <c r="M40" s="7">
        <f t="shared" si="12"/>
        <v>20.976600451931734</v>
      </c>
      <c r="N40" s="248">
        <f t="shared" si="13"/>
        <v>-2.0924964431025423</v>
      </c>
      <c r="O40" s="248">
        <f t="shared" si="14"/>
        <v>0.99024329687844626</v>
      </c>
      <c r="P40" s="248">
        <f t="shared" si="15"/>
        <v>-0.11812171504848623</v>
      </c>
      <c r="Q40" s="249">
        <f t="shared" si="16"/>
        <v>1.4757084823087858</v>
      </c>
      <c r="R40" s="7">
        <f t="shared" si="17"/>
        <v>20.976600451931731</v>
      </c>
      <c r="S40" s="250">
        <f t="shared" si="2"/>
        <v>4.2703771983709066E-4</v>
      </c>
      <c r="T40" s="7">
        <f t="shared" si="3"/>
        <v>1.0000042703771983</v>
      </c>
      <c r="U40" s="95">
        <f>'T18'!B13</f>
        <v>2077.6861768542826</v>
      </c>
      <c r="V40" s="96">
        <f t="shared" si="4"/>
        <v>224.66955326969435</v>
      </c>
    </row>
    <row r="41" spans="1:24" x14ac:dyDescent="0.2">
      <c r="A41" s="4" t="s">
        <v>70</v>
      </c>
      <c r="B41" s="72">
        <f>'Phase diagram'!B44</f>
        <v>518.4035266580139</v>
      </c>
      <c r="C41" s="41">
        <f t="shared" si="5"/>
        <v>28.00886735613841</v>
      </c>
      <c r="D41" s="2">
        <f t="shared" si="0"/>
        <v>1.9289992227612505</v>
      </c>
      <c r="E41" s="40">
        <f t="shared" si="1"/>
        <v>0.9221636663192222</v>
      </c>
      <c r="F41" s="40">
        <f>'Phase diagram'!F44</f>
        <v>1.0514486356817634</v>
      </c>
      <c r="G41" s="72">
        <f t="shared" si="6"/>
        <v>2012.548310082117</v>
      </c>
      <c r="H41" s="7">
        <f t="shared" si="7"/>
        <v>28.035313955772299</v>
      </c>
      <c r="I41" s="248">
        <f t="shared" si="18"/>
        <v>-1.6581808034502472</v>
      </c>
      <c r="J41" s="248">
        <f t="shared" si="19"/>
        <v>0.71853969833630127</v>
      </c>
      <c r="K41" s="248">
        <f t="shared" si="10"/>
        <v>-8.5630547922848521E-2</v>
      </c>
      <c r="L41" s="249">
        <f t="shared" si="20"/>
        <v>1.0530761994600688</v>
      </c>
      <c r="M41" s="7">
        <f t="shared" si="12"/>
        <v>28.010946945319617</v>
      </c>
      <c r="N41" s="248">
        <f t="shared" si="13"/>
        <v>-1.6580665527635792</v>
      </c>
      <c r="O41" s="248">
        <f t="shared" si="14"/>
        <v>0.71848635250026649</v>
      </c>
      <c r="P41" s="248">
        <f t="shared" si="15"/>
        <v>-8.5705038816011769E-2</v>
      </c>
      <c r="Q41" s="249">
        <f t="shared" si="16"/>
        <v>1.0530761994600686</v>
      </c>
      <c r="R41" s="7">
        <f t="shared" si="17"/>
        <v>28.01094694531962</v>
      </c>
      <c r="S41" s="250">
        <f t="shared" si="2"/>
        <v>7.4247528640421397E-3</v>
      </c>
      <c r="T41" s="7">
        <f t="shared" si="3"/>
        <v>1.0000742475286404</v>
      </c>
      <c r="U41" s="95">
        <f>'T19'!B13</f>
        <v>2015.4719979204115</v>
      </c>
      <c r="V41" s="96">
        <f t="shared" si="4"/>
        <v>245.25352665801393</v>
      </c>
    </row>
    <row r="42" spans="1:24" x14ac:dyDescent="0.2">
      <c r="A42" s="4" t="s">
        <v>71</v>
      </c>
      <c r="B42" s="72">
        <f>'Phase diagram'!B45</f>
        <v>539.83861157393062</v>
      </c>
      <c r="C42" s="41">
        <f t="shared" si="5"/>
        <v>37.098209498714525</v>
      </c>
      <c r="D42" s="2">
        <f t="shared" si="0"/>
        <v>1.8524054755632287</v>
      </c>
      <c r="E42" s="40">
        <f t="shared" si="1"/>
        <v>0.96029353133259332</v>
      </c>
      <c r="F42" s="40">
        <f>'Phase diagram'!F45</f>
        <v>0.71927521987358511</v>
      </c>
      <c r="G42" s="72">
        <f t="shared" si="6"/>
        <v>1947.3672869359393</v>
      </c>
      <c r="H42" s="7">
        <f t="shared" si="7"/>
        <v>37.168814966883936</v>
      </c>
      <c r="I42" s="248">
        <f t="shared" si="18"/>
        <v>-1.3291804722272076</v>
      </c>
      <c r="J42" s="248">
        <f t="shared" si="19"/>
        <v>0.52492217636633287</v>
      </c>
      <c r="K42" s="248">
        <f t="shared" si="10"/>
        <v>-6.2496685895448614E-2</v>
      </c>
      <c r="L42" s="249">
        <f t="shared" si="20"/>
        <v>0.72213652122733629</v>
      </c>
      <c r="M42" s="7">
        <f t="shared" si="12"/>
        <v>37.111442272015751</v>
      </c>
      <c r="N42" s="248">
        <f t="shared" si="13"/>
        <v>-1.3287490617440596</v>
      </c>
      <c r="O42" s="248">
        <f t="shared" si="14"/>
        <v>0.52473500562503628</v>
      </c>
      <c r="P42" s="248">
        <f t="shared" si="15"/>
        <v>-6.2593303086014018E-2</v>
      </c>
      <c r="Q42" s="249">
        <f t="shared" si="16"/>
        <v>0.72213652122733596</v>
      </c>
      <c r="R42" s="7">
        <f t="shared" si="17"/>
        <v>37.111442272015758</v>
      </c>
      <c r="S42" s="250">
        <f t="shared" si="2"/>
        <v>3.5669574030767454E-2</v>
      </c>
      <c r="T42" s="7">
        <f t="shared" si="3"/>
        <v>1.0003566957403076</v>
      </c>
      <c r="U42" s="95">
        <f>'T20'!B13</f>
        <v>1951.0201091392587</v>
      </c>
      <c r="V42" s="96">
        <f t="shared" si="4"/>
        <v>266.68861157393064</v>
      </c>
    </row>
    <row r="43" spans="1:24" x14ac:dyDescent="0.2">
      <c r="A43" s="4" t="s">
        <v>72</v>
      </c>
      <c r="B43" s="72">
        <f>'Phase diagram'!B46</f>
        <v>559.92786115739307</v>
      </c>
      <c r="C43" s="41">
        <f t="shared" si="5"/>
        <v>47.647861753356409</v>
      </c>
      <c r="D43" s="2">
        <f t="shared" si="0"/>
        <v>1.78594434992565</v>
      </c>
      <c r="E43" s="40">
        <f t="shared" si="1"/>
        <v>0.99602935313325935</v>
      </c>
      <c r="F43" s="40">
        <f>'Phase diagram'!F46</f>
        <v>0.43285019074197167</v>
      </c>
      <c r="G43" s="72">
        <f t="shared" si="6"/>
        <v>1888.1964482866276</v>
      </c>
      <c r="H43" s="7">
        <f t="shared" si="7"/>
        <v>47.691564402447327</v>
      </c>
      <c r="I43" s="248">
        <f t="shared" si="18"/>
        <v>-1.0963547454529181</v>
      </c>
      <c r="J43" s="248">
        <f t="shared" si="19"/>
        <v>0.3962814654854096</v>
      </c>
      <c r="K43" s="248">
        <f t="shared" si="10"/>
        <v>-4.7227335121813867E-2</v>
      </c>
      <c r="L43" s="249">
        <f t="shared" si="20"/>
        <v>0.4339933335270818</v>
      </c>
      <c r="M43" s="7">
        <f t="shared" si="12"/>
        <v>47.682468064708516</v>
      </c>
      <c r="N43" s="248">
        <f t="shared" si="13"/>
        <v>-1.0956456219069575</v>
      </c>
      <c r="O43" s="248">
        <f>($B$19^2)-(2*$B$19*$B$14)-(2*$B$10*B43*$B$19/100/M43)+(G43/M43/100)</f>
        <v>0.39599385789431246</v>
      </c>
      <c r="P43" s="248">
        <f t="shared" si="15"/>
        <v>-4.7236344634286859E-2</v>
      </c>
      <c r="Q43" s="249">
        <f t="shared" si="16"/>
        <v>0.43399333352708042</v>
      </c>
      <c r="R43" s="7">
        <f t="shared" si="17"/>
        <v>47.682468064708537</v>
      </c>
      <c r="S43" s="250">
        <f t="shared" si="2"/>
        <v>7.2629306077287889E-2</v>
      </c>
      <c r="T43" s="7">
        <f t="shared" si="3"/>
        <v>1.000726293060773</v>
      </c>
      <c r="U43" s="95">
        <f>'T21'!B13</f>
        <v>1889.0152580053814</v>
      </c>
      <c r="V43" s="96">
        <f t="shared" si="4"/>
        <v>286.77786115739309</v>
      </c>
    </row>
    <row r="44" spans="1:24" x14ac:dyDescent="0.2">
      <c r="A44" s="4" t="s">
        <v>80</v>
      </c>
      <c r="B44" s="72">
        <f>'Phase diagram'!B47</f>
        <v>562.16</v>
      </c>
      <c r="C44" s="41">
        <f t="shared" si="5"/>
        <v>48.98</v>
      </c>
      <c r="D44" s="2">
        <f t="shared" si="0"/>
        <v>1.7788529955884447</v>
      </c>
      <c r="E44" s="40">
        <f t="shared" si="1"/>
        <v>1</v>
      </c>
      <c r="F44" s="40">
        <f>D7</f>
        <v>0.35785664620253166</v>
      </c>
      <c r="G44" s="72">
        <f t="shared" si="6"/>
        <v>1881.7339064250737</v>
      </c>
      <c r="H44" s="7">
        <f t="shared" si="7"/>
        <v>48.979999999999983</v>
      </c>
      <c r="I44" s="248">
        <f t="shared" si="18"/>
        <v>-1.073569938607595</v>
      </c>
      <c r="J44" s="248">
        <f>($B$19^2)-(2*$B$19*$B$14)-(2*$B$10*B44*$B$19/100/C44)+(G44/C44/100)</f>
        <v>0.38418413769397175</v>
      </c>
      <c r="K44" s="248">
        <f t="shared" si="10"/>
        <v>-4.5827615679792134E-2</v>
      </c>
      <c r="L44" s="249">
        <f>F44</f>
        <v>0.35785664620253166</v>
      </c>
      <c r="M44" s="7">
        <f t="shared" si="12"/>
        <v>48.979999999999983</v>
      </c>
      <c r="N44" s="248">
        <f t="shared" si="13"/>
        <v>-1.0735699386075952</v>
      </c>
      <c r="O44" s="248">
        <f>($B$19^2)-(2*$B$19*$B$14)-(2*$B$10*B44*$B$19/100/M44)+(G44/M44/100)</f>
        <v>0.38418413769397192</v>
      </c>
      <c r="P44" s="248">
        <f t="shared" si="15"/>
        <v>-4.5827615679792134E-2</v>
      </c>
      <c r="Q44" s="249">
        <f t="shared" si="16"/>
        <v>0.23285664620253166</v>
      </c>
      <c r="R44" s="7">
        <f>B4</f>
        <v>48.98</v>
      </c>
      <c r="S44" s="250">
        <f t="shared" si="2"/>
        <v>0</v>
      </c>
      <c r="T44" s="7">
        <f t="shared" si="3"/>
        <v>1</v>
      </c>
      <c r="U44" s="95">
        <f>Tc!B13</f>
        <v>1881.7339064250737</v>
      </c>
      <c r="V44" s="96">
        <f t="shared" si="4"/>
        <v>289.01</v>
      </c>
    </row>
    <row r="45" spans="1:24" x14ac:dyDescent="0.2">
      <c r="B45" s="95">
        <f>B44-273.15</f>
        <v>289.01</v>
      </c>
      <c r="V45" s="17"/>
    </row>
    <row r="46" spans="1:24" x14ac:dyDescent="0.2">
      <c r="B46" s="72"/>
    </row>
  </sheetData>
  <phoneticPr fontId="3" type="noConversion"/>
  <pageMargins left="0.75" right="0.75" top="1" bottom="1" header="0.5" footer="0.5"/>
  <pageSetup paperSize="9" orientation="portrait" horizontalDpi="4294967294" verticalDpi="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G47"/>
  <sheetViews>
    <sheetView workbookViewId="0">
      <selection activeCell="M16" sqref="M16"/>
    </sheetView>
  </sheetViews>
  <sheetFormatPr defaultColWidth="8" defaultRowHeight="12.75" x14ac:dyDescent="0.2"/>
  <cols>
    <col min="1" max="16384" width="8" style="2"/>
  </cols>
  <sheetData>
    <row r="1" spans="1:3" ht="18" x14ac:dyDescent="0.25">
      <c r="A1" s="2" t="str">
        <f>' T = Tb'!A1</f>
        <v>Benzene</v>
      </c>
      <c r="B1" s="1"/>
    </row>
    <row r="2" spans="1:3" x14ac:dyDescent="0.2">
      <c r="B2" s="4" t="s">
        <v>15</v>
      </c>
      <c r="C2" s="5">
        <v>92.140199999999993</v>
      </c>
    </row>
    <row r="3" spans="1:3" ht="15.75" x14ac:dyDescent="0.3">
      <c r="B3" s="4" t="s">
        <v>17</v>
      </c>
      <c r="C3" s="5">
        <v>591.79999999999995</v>
      </c>
    </row>
    <row r="4" spans="1:3" ht="15.75" x14ac:dyDescent="0.3">
      <c r="B4" s="4" t="s">
        <v>18</v>
      </c>
      <c r="C4" s="5">
        <v>41</v>
      </c>
    </row>
    <row r="5" spans="1:3" ht="15.75" x14ac:dyDescent="0.3">
      <c r="B5" s="4" t="s">
        <v>18</v>
      </c>
      <c r="C5" s="5">
        <v>4100</v>
      </c>
    </row>
    <row r="6" spans="1:3" ht="15.75" x14ac:dyDescent="0.3">
      <c r="B6" s="4" t="s">
        <v>19</v>
      </c>
      <c r="C6" s="5">
        <v>315.61</v>
      </c>
    </row>
    <row r="7" spans="1:3" ht="15.75" x14ac:dyDescent="0.3">
      <c r="B7" s="4" t="s">
        <v>19</v>
      </c>
      <c r="C7" s="5">
        <v>0.31561</v>
      </c>
    </row>
    <row r="8" spans="1:3" ht="15.75" x14ac:dyDescent="0.3">
      <c r="B8" s="4" t="s">
        <v>26</v>
      </c>
      <c r="C8" s="7">
        <v>0.26300000000000001</v>
      </c>
    </row>
    <row r="9" spans="1:3" x14ac:dyDescent="0.2">
      <c r="B9" s="9" t="s">
        <v>29</v>
      </c>
      <c r="C9" s="5">
        <v>0.26300000000000001</v>
      </c>
    </row>
    <row r="10" spans="1:3" x14ac:dyDescent="0.2">
      <c r="B10" s="2" t="s">
        <v>11</v>
      </c>
      <c r="C10" s="2">
        <v>8.3145100000000003</v>
      </c>
    </row>
    <row r="12" spans="1:3" x14ac:dyDescent="0.2">
      <c r="C12" s="218"/>
    </row>
    <row r="13" spans="1:3" x14ac:dyDescent="0.2">
      <c r="B13" s="2">
        <v>0</v>
      </c>
    </row>
    <row r="15" spans="1:3" x14ac:dyDescent="0.2">
      <c r="B15" s="2">
        <v>0.1575</v>
      </c>
    </row>
    <row r="16" spans="1:3" x14ac:dyDescent="0.2">
      <c r="B16" s="2">
        <v>0</v>
      </c>
    </row>
    <row r="22" spans="1:7" x14ac:dyDescent="0.2">
      <c r="D22" s="63" t="s">
        <v>78</v>
      </c>
      <c r="E22" s="63"/>
      <c r="F22" s="63" t="s">
        <v>75</v>
      </c>
    </row>
    <row r="23" spans="1:7" ht="14.25" x14ac:dyDescent="0.25">
      <c r="B23" s="64" t="s">
        <v>49</v>
      </c>
      <c r="C23" s="64" t="s">
        <v>45</v>
      </c>
      <c r="D23" s="30" t="s">
        <v>103</v>
      </c>
      <c r="E23" s="73" t="s">
        <v>115</v>
      </c>
      <c r="F23" s="30" t="s">
        <v>111</v>
      </c>
      <c r="G23" s="73" t="s">
        <v>116</v>
      </c>
    </row>
    <row r="24" spans="1:7" x14ac:dyDescent="0.2">
      <c r="A24" s="63"/>
      <c r="B24" s="5" t="s">
        <v>2</v>
      </c>
      <c r="C24" s="5" t="s">
        <v>7</v>
      </c>
      <c r="D24" s="93" t="s">
        <v>23</v>
      </c>
      <c r="E24" s="93" t="s">
        <v>23</v>
      </c>
      <c r="F24" s="93" t="s">
        <v>23</v>
      </c>
      <c r="G24" s="93" t="s">
        <v>23</v>
      </c>
    </row>
    <row r="25" spans="1:7" ht="15.75" x14ac:dyDescent="0.25">
      <c r="A25" s="5" t="s">
        <v>79</v>
      </c>
      <c r="D25" s="23">
        <f>' T = Tb'!B15</f>
        <v>0.1423455474876073</v>
      </c>
      <c r="E25" s="23">
        <f>' T = Tb'!B18</f>
        <v>0.75606624715320692</v>
      </c>
      <c r="F25" s="23">
        <f>' T = Tb'!B16</f>
        <v>28.207569935444671</v>
      </c>
      <c r="G25" s="28"/>
    </row>
    <row r="26" spans="1:7" x14ac:dyDescent="0.2">
      <c r="A26" s="5" t="s">
        <v>52</v>
      </c>
      <c r="B26" s="72">
        <f>' T = Tb'!O6</f>
        <v>250</v>
      </c>
      <c r="C26" s="7">
        <f>Pvap!C23</f>
        <v>8.0836149165030638E-3</v>
      </c>
      <c r="D26" s="7">
        <f>Tmin!B15</f>
        <v>0.13085271658314221</v>
      </c>
      <c r="E26" s="7">
        <f>Tmin!B18</f>
        <v>1.3501176877166472</v>
      </c>
      <c r="F26" s="12">
        <f>Tmin!B16</f>
        <v>2570.0466781979353</v>
      </c>
      <c r="G26" s="2">
        <f t="shared" ref="G26:G44" si="0">(D26+F26)/2</f>
        <v>1285.0887654572591</v>
      </c>
    </row>
    <row r="27" spans="1:7" x14ac:dyDescent="0.2">
      <c r="A27" s="5" t="s">
        <v>53</v>
      </c>
      <c r="B27" s="72">
        <f>' T = Tb'!O7</f>
        <v>260.33706553565617</v>
      </c>
      <c r="C27" s="7">
        <f>Pvap!C24</f>
        <v>1.6207266195744433E-2</v>
      </c>
      <c r="D27" s="7">
        <f>'T2'!B15</f>
        <v>0.13173101900813594</v>
      </c>
      <c r="E27" s="7">
        <f>'T2'!B18</f>
        <v>1.263792368503573</v>
      </c>
      <c r="F27" s="12">
        <f>'T2'!B16</f>
        <v>1334.2822139223372</v>
      </c>
      <c r="G27" s="2">
        <f t="shared" si="0"/>
        <v>667.20697247067267</v>
      </c>
    </row>
    <row r="28" spans="1:7" x14ac:dyDescent="0.2">
      <c r="A28" s="5" t="s">
        <v>54</v>
      </c>
      <c r="B28" s="72">
        <f>' T = Tb'!O8</f>
        <v>271.10155076686613</v>
      </c>
      <c r="C28" s="7">
        <f>Pvap!C25</f>
        <v>3.1258875210762156E-2</v>
      </c>
      <c r="D28" s="7">
        <f>'T3'!B15</f>
        <v>0.13269675752520102</v>
      </c>
      <c r="E28" s="7">
        <f>'T3'!B18</f>
        <v>1.1822050795258292</v>
      </c>
      <c r="F28" s="12">
        <f>'T3'!B16</f>
        <v>719.90408409071586</v>
      </c>
      <c r="G28" s="2">
        <f t="shared" si="0"/>
        <v>360.01839042412053</v>
      </c>
    </row>
    <row r="29" spans="1:7" x14ac:dyDescent="0.2">
      <c r="A29" s="5" t="s">
        <v>55</v>
      </c>
      <c r="B29" s="72">
        <f>' T = Tb'!O9</f>
        <v>282.31112875524661</v>
      </c>
      <c r="C29" s="7">
        <f>Pvap!C26</f>
        <v>5.811723116708116E-2</v>
      </c>
      <c r="D29" s="7">
        <f>'T4'!B15</f>
        <v>0.13376234798893852</v>
      </c>
      <c r="E29" s="7">
        <f>'T4'!B18</f>
        <v>1.1051958364187158</v>
      </c>
      <c r="F29" s="12">
        <f>'T4'!B16</f>
        <v>402.76720497530511</v>
      </c>
      <c r="G29" s="2">
        <f t="shared" si="0"/>
        <v>201.45048366164701</v>
      </c>
    </row>
    <row r="30" spans="1:7" x14ac:dyDescent="0.2">
      <c r="A30" s="5" t="s">
        <v>56</v>
      </c>
      <c r="B30" s="72">
        <f>' T = Tb'!O10</f>
        <v>293.9842033127988</v>
      </c>
      <c r="C30" s="7">
        <f>Pvap!C27</f>
        <v>0.10437433943134912</v>
      </c>
      <c r="D30" s="7">
        <f>'T5'!B15</f>
        <v>0.13494275384656634</v>
      </c>
      <c r="E30" s="7">
        <f>'T5'!B18</f>
        <v>1.032624642053861</v>
      </c>
      <c r="F30" s="72">
        <f>'T5'!B16</f>
        <v>233.14094623355646</v>
      </c>
      <c r="G30" s="2">
        <f t="shared" si="0"/>
        <v>116.63794449370151</v>
      </c>
    </row>
    <row r="31" spans="1:7" x14ac:dyDescent="0.2">
      <c r="A31" s="5" t="s">
        <v>57</v>
      </c>
      <c r="B31" s="72">
        <f>' T = Tb'!O11</f>
        <v>306.13993921716707</v>
      </c>
      <c r="C31" s="7">
        <f>Pvap!C28</f>
        <v>0.18143013473605477</v>
      </c>
      <c r="D31" s="7">
        <f>'T6'!B15</f>
        <v>0.13625617187566796</v>
      </c>
      <c r="E31" s="7">
        <f>'T6'!B18</f>
        <v>0.96436654879985895</v>
      </c>
      <c r="F31" s="72">
        <f>'T6'!B16</f>
        <v>139.31528939032131</v>
      </c>
      <c r="G31" s="2">
        <f t="shared" si="0"/>
        <v>69.725772781098485</v>
      </c>
    </row>
    <row r="32" spans="1:7" x14ac:dyDescent="0.2">
      <c r="A32" s="5" t="s">
        <v>58</v>
      </c>
      <c r="B32" s="72">
        <f>' T = Tb'!O12</f>
        <v>318.79829367624569</v>
      </c>
      <c r="C32" s="7">
        <f>Pvap!C29</f>
        <v>0.30584494184815675</v>
      </c>
      <c r="D32" s="7">
        <f>'T7'!B15</f>
        <v>0.137724952917779</v>
      </c>
      <c r="E32" s="7">
        <f>'T7'!B18</f>
        <v>0.90030500756195408</v>
      </c>
      <c r="F32" s="72">
        <f>'T7'!B16</f>
        <v>85.747773096660865</v>
      </c>
      <c r="G32" s="2">
        <f t="shared" si="0"/>
        <v>42.942749024789322</v>
      </c>
    </row>
    <row r="33" spans="1:7" x14ac:dyDescent="0.2">
      <c r="A33" s="5" t="s">
        <v>59</v>
      </c>
      <c r="B33" s="72">
        <f>' T = Tb'!O13</f>
        <v>331.9800490937925</v>
      </c>
      <c r="C33" s="7">
        <f>Pvap!C30</f>
        <v>0.50095379404491969</v>
      </c>
      <c r="D33" s="7">
        <f>'T8'!B15</f>
        <v>0.13937686391254375</v>
      </c>
      <c r="E33" s="7">
        <f>'T8'!B18</f>
        <v>0.84032449722957381</v>
      </c>
      <c r="F33" s="72">
        <f>'T8'!B16</f>
        <v>54.239504994725849</v>
      </c>
      <c r="G33" s="2">
        <f t="shared" si="0"/>
        <v>27.189440929319197</v>
      </c>
    </row>
    <row r="34" spans="1:7" x14ac:dyDescent="0.2">
      <c r="A34" s="5" t="s">
        <v>60</v>
      </c>
      <c r="B34" s="72">
        <f>' T = Tb'!O14</f>
        <v>345.70684718984404</v>
      </c>
      <c r="C34" s="7">
        <f>Pvap!C31</f>
        <v>0.79873897287460038</v>
      </c>
      <c r="D34" s="7">
        <f>'T9'!B15</f>
        <v>0.14124685775470069</v>
      </c>
      <c r="E34" s="7">
        <f>'T9'!B18</f>
        <v>0.78430350713092167</v>
      </c>
      <c r="F34" s="72">
        <f>'T9'!B16</f>
        <v>35.180248120405857</v>
      </c>
      <c r="G34" s="2">
        <f t="shared" si="0"/>
        <v>17.660747489080279</v>
      </c>
    </row>
    <row r="35" spans="1:7" x14ac:dyDescent="0.2">
      <c r="A35" s="5" t="s">
        <v>61</v>
      </c>
      <c r="B35" s="72">
        <f>' T = Tb'!O15</f>
        <v>360.00122453195002</v>
      </c>
      <c r="C35" s="7">
        <f>Pvap!C32</f>
        <v>1.2419565662834327</v>
      </c>
      <c r="D35" s="7">
        <f>'T10'!B15</f>
        <v>0.14337961869641269</v>
      </c>
      <c r="E35" s="7">
        <f>'T10'!B18</f>
        <v>0.73210890022401642</v>
      </c>
      <c r="F35" s="72">
        <f>'T10'!B16</f>
        <v>23.344750820334983</v>
      </c>
      <c r="G35" s="2">
        <f t="shared" si="0"/>
        <v>11.744065219515697</v>
      </c>
    </row>
    <row r="36" spans="1:7" x14ac:dyDescent="0.2">
      <c r="A36" s="5" t="s">
        <v>62</v>
      </c>
      <c r="B36" s="72">
        <f>' T = Tb'!O16</f>
        <v>374.88664953556292</v>
      </c>
      <c r="C36" s="7">
        <f>Pvap!C33</f>
        <v>1.8865230429204805</v>
      </c>
      <c r="D36" s="7">
        <f>'T11'!B15</f>
        <v>0.14583332788469333</v>
      </c>
      <c r="E36" s="7">
        <f>'T11'!B18</f>
        <v>0.68359232206856113</v>
      </c>
      <c r="F36" s="17">
        <f>'T11'!B16</f>
        <v>15.812312715495965</v>
      </c>
      <c r="G36" s="2">
        <f t="shared" si="0"/>
        <v>7.9790730216903292</v>
      </c>
    </row>
    <row r="37" spans="1:7" x14ac:dyDescent="0.2">
      <c r="A37" s="5" t="s">
        <v>63</v>
      </c>
      <c r="B37" s="72">
        <f>' T = Tb'!O17</f>
        <v>390.38756099432965</v>
      </c>
      <c r="C37" s="7">
        <f>Pvap!C34</f>
        <v>2.804192214432971</v>
      </c>
      <c r="D37" s="7">
        <f>'T12'!B15</f>
        <v>0.14868527741384086</v>
      </c>
      <c r="E37" s="7">
        <f>'T12'!B18</f>
        <v>0.63859145800027584</v>
      </c>
      <c r="F37" s="17">
        <f>'T12'!B16</f>
        <v>10.907111486584226</v>
      </c>
      <c r="G37" s="2">
        <f t="shared" si="0"/>
        <v>5.5278983819990337</v>
      </c>
    </row>
    <row r="38" spans="1:7" x14ac:dyDescent="0.2">
      <c r="A38" s="5" t="s">
        <v>64</v>
      </c>
      <c r="B38" s="72">
        <f>' T = Tb'!O18</f>
        <v>406.52940820354308</v>
      </c>
      <c r="C38" s="7">
        <f>Pvap!C35</f>
        <v>4.0855960438249053</v>
      </c>
      <c r="D38" s="7">
        <f>'T13'!B15</f>
        <v>0.15204169021393446</v>
      </c>
      <c r="E38" s="7">
        <f>'T13'!B18</f>
        <v>0.5969179985934856</v>
      </c>
      <c r="F38" s="17">
        <f>'T13'!B16</f>
        <v>7.6435197673646131</v>
      </c>
      <c r="G38" s="2">
        <f t="shared" si="0"/>
        <v>3.8977807287892738</v>
      </c>
    </row>
    <row r="39" spans="1:7" x14ac:dyDescent="0.2">
      <c r="A39" s="5" t="s">
        <v>65</v>
      </c>
      <c r="B39" s="72">
        <f>' T = Tb'!O19</f>
        <v>423.33869274262923</v>
      </c>
      <c r="C39" s="7">
        <f>Pvap!C36</f>
        <v>5.8437937282110406</v>
      </c>
      <c r="D39" s="7">
        <f>'T14'!B15</f>
        <v>0.15605155917878541</v>
      </c>
      <c r="E39" s="7">
        <f>'T14'!B18</f>
        <v>0.55838482816015844</v>
      </c>
      <c r="F39" s="17">
        <f>'T14'!B16</f>
        <v>5.4280833101355412</v>
      </c>
      <c r="G39" s="2">
        <f t="shared" si="0"/>
        <v>2.7920674346571634</v>
      </c>
    </row>
    <row r="40" spans="1:7" x14ac:dyDescent="0.2">
      <c r="A40" s="5" t="s">
        <v>66</v>
      </c>
      <c r="B40" s="72">
        <f>' T = Tb'!O20</f>
        <v>440.84301198526754</v>
      </c>
      <c r="C40" s="7">
        <f>Pvap!C37</f>
        <v>8.2185939153590262</v>
      </c>
      <c r="D40" s="7">
        <f>'T15'!B15</f>
        <v>0.16093467004790543</v>
      </c>
      <c r="E40" s="7">
        <f>'T15'!B18</f>
        <v>0.52278462053753394</v>
      </c>
      <c r="F40" s="17">
        <f>'T15'!B16</f>
        <v>3.8954454897186128</v>
      </c>
      <c r="G40" s="2">
        <f t="shared" si="0"/>
        <v>2.0281900798832591</v>
      </c>
    </row>
    <row r="41" spans="1:7" ht="17.25" customHeight="1" x14ac:dyDescent="0.2">
      <c r="A41" s="5" t="s">
        <v>67</v>
      </c>
      <c r="B41" s="72">
        <f>' T = Tb'!O21</f>
        <v>459.07110440857866</v>
      </c>
      <c r="C41" s="7">
        <f>Pvap!C38</f>
        <v>11.382136605289334</v>
      </c>
      <c r="D41" s="7">
        <f>'T16'!B15</f>
        <v>0.16703169753244904</v>
      </c>
      <c r="E41" s="7">
        <f>'T16'!B18</f>
        <v>0.48990315687054009</v>
      </c>
      <c r="F41" s="17">
        <f>'T16'!B16</f>
        <v>2.8158083277094557</v>
      </c>
      <c r="G41" s="2">
        <f t="shared" si="0"/>
        <v>1.4914200126209523</v>
      </c>
    </row>
    <row r="42" spans="1:7" x14ac:dyDescent="0.2">
      <c r="A42" s="5" t="s">
        <v>68</v>
      </c>
      <c r="B42" s="72">
        <f>' T = Tb'!O22</f>
        <v>478.05289677576877</v>
      </c>
      <c r="C42" s="7">
        <f>Pvap!C39</f>
        <v>15.546672704686031</v>
      </c>
      <c r="D42" s="221">
        <f>'T17'!B15</f>
        <v>0.17490868126908923</v>
      </c>
      <c r="E42" s="7">
        <f>'T17'!B18</f>
        <v>0.45952813207117682</v>
      </c>
      <c r="F42" s="17">
        <f>'T17'!B16</f>
        <v>2.041521578691778</v>
      </c>
      <c r="G42" s="2">
        <f t="shared" si="0"/>
        <v>1.1082151299804337</v>
      </c>
    </row>
    <row r="43" spans="1:7" x14ac:dyDescent="0.2">
      <c r="A43" s="5" t="s">
        <v>69</v>
      </c>
      <c r="B43" s="72">
        <f>' T = Tb'!O23</f>
        <v>497.81955326969432</v>
      </c>
      <c r="C43" s="7">
        <f>Pvap!C40</f>
        <v>20.976510874317992</v>
      </c>
      <c r="D43" s="221">
        <f>'T18'!B15</f>
        <v>0.18561435472003968</v>
      </c>
      <c r="E43" s="221">
        <f>'T18'!B18</f>
        <v>0.43140899678524214</v>
      </c>
      <c r="F43" s="221">
        <f>'T18'!B16</f>
        <v>1.4754815179520717</v>
      </c>
      <c r="G43" s="2">
        <f t="shared" si="0"/>
        <v>0.83054793633605573</v>
      </c>
    </row>
    <row r="44" spans="1:7" x14ac:dyDescent="0.2">
      <c r="A44" s="5" t="s">
        <v>70</v>
      </c>
      <c r="B44" s="72">
        <f>' T = Tb'!O24</f>
        <v>518.4035266580139</v>
      </c>
      <c r="C44" s="7">
        <f>Pvap!C41</f>
        <v>28.00886735613841</v>
      </c>
      <c r="D44" s="7">
        <f>'T19'!B15</f>
        <v>0.20140965729662019</v>
      </c>
      <c r="E44" s="7">
        <f>'T19'!B18</f>
        <v>0.40532251047186363</v>
      </c>
      <c r="F44" s="7">
        <f>'T19'!B16</f>
        <v>1.0514486356817634</v>
      </c>
      <c r="G44" s="2">
        <f t="shared" si="0"/>
        <v>0.62642914648919179</v>
      </c>
    </row>
    <row r="45" spans="1:7" x14ac:dyDescent="0.2">
      <c r="A45" s="5" t="s">
        <v>71</v>
      </c>
      <c r="B45" s="72">
        <f>' T = Tb'!O25</f>
        <v>539.83861157393062</v>
      </c>
      <c r="C45" s="7">
        <f>Pvap!C42</f>
        <v>37.098209498714525</v>
      </c>
      <c r="D45" s="7">
        <f>'T20'!B15</f>
        <v>0.22893271681419078</v>
      </c>
      <c r="E45" s="7">
        <f>'T20'!B18</f>
        <v>0.38097253553943167</v>
      </c>
      <c r="F45" s="7">
        <f>'T20'!B16</f>
        <v>0.71927521987358511</v>
      </c>
      <c r="G45" s="2">
        <f>(D45+F45)/2</f>
        <v>0.47410396834388796</v>
      </c>
    </row>
    <row r="46" spans="1:7" x14ac:dyDescent="0.2">
      <c r="A46" s="5" t="s">
        <v>72</v>
      </c>
      <c r="B46" s="72">
        <f>' T = Tb'!O26</f>
        <v>559.92786115739307</v>
      </c>
      <c r="C46" s="7">
        <f>Pvap!C43</f>
        <v>47.647861753356409</v>
      </c>
      <c r="D46" s="7">
        <f>'T21'!B15</f>
        <v>0.30339147603475525</v>
      </c>
      <c r="E46" s="7">
        <f>'T21'!B18</f>
        <v>0.36011307867619119</v>
      </c>
      <c r="F46" s="7">
        <f>'T21'!B16</f>
        <v>0.43285019074197167</v>
      </c>
      <c r="G46" s="2">
        <f>(D46+F46)/2</f>
        <v>0.36812083338836343</v>
      </c>
    </row>
    <row r="47" spans="1:7" x14ac:dyDescent="0.2">
      <c r="A47" s="246" t="s">
        <v>94</v>
      </c>
      <c r="B47" s="72">
        <f>' T = Tb'!O27</f>
        <v>562.16</v>
      </c>
      <c r="C47" s="7">
        <f>Pvap!C44</f>
        <v>48.98</v>
      </c>
      <c r="D47" s="7">
        <f>Tc!B15</f>
        <v>0.35785664620253166</v>
      </c>
      <c r="E47" s="7">
        <f>Tc!B18</f>
        <v>0.35785664620253166</v>
      </c>
      <c r="F47" s="7">
        <f>Tc!B16</f>
        <v>0.35785664620253166</v>
      </c>
      <c r="G47" s="2">
        <f>(D47+F47)/2</f>
        <v>0.35785664620253166</v>
      </c>
    </row>
  </sheetData>
  <phoneticPr fontId="3" type="noConversion"/>
  <pageMargins left="0.75" right="0.75" top="1" bottom="1" header="0.5" footer="0.5"/>
  <headerFooter alignWithMargins="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F86"/>
  <sheetViews>
    <sheetView zoomScale="75" workbookViewId="0">
      <selection activeCell="Q45" sqref="Q45"/>
    </sheetView>
  </sheetViews>
  <sheetFormatPr defaultColWidth="8" defaultRowHeight="12.75" x14ac:dyDescent="0.2"/>
  <cols>
    <col min="1" max="6" width="8" style="2"/>
    <col min="7" max="7" width="9.875" style="2" customWidth="1"/>
    <col min="8" max="16384" width="8" style="2"/>
  </cols>
  <sheetData>
    <row r="1" spans="1:31" ht="18" x14ac:dyDescent="0.25">
      <c r="A1" s="2" t="str">
        <f>' T = Tb'!A1</f>
        <v>Benzene</v>
      </c>
      <c r="B1" s="165"/>
      <c r="F1" s="2" t="s">
        <v>0</v>
      </c>
      <c r="G1" s="2">
        <v>1</v>
      </c>
      <c r="J1" s="4"/>
    </row>
    <row r="2" spans="1:31" x14ac:dyDescent="0.2">
      <c r="B2" s="4" t="s">
        <v>15</v>
      </c>
      <c r="C2" s="5">
        <v>92.140199999999993</v>
      </c>
      <c r="D2" s="2" t="s">
        <v>3</v>
      </c>
      <c r="F2" s="4" t="s">
        <v>4</v>
      </c>
      <c r="G2" s="37">
        <v>-7.2860699999999996</v>
      </c>
      <c r="H2" s="37"/>
      <c r="J2" s="4"/>
    </row>
    <row r="3" spans="1:31" ht="15.75" x14ac:dyDescent="0.3">
      <c r="B3" s="4" t="s">
        <v>17</v>
      </c>
      <c r="C3" s="5">
        <v>591.79999999999995</v>
      </c>
      <c r="D3" s="2" t="s">
        <v>2</v>
      </c>
      <c r="F3" s="4" t="s">
        <v>5</v>
      </c>
      <c r="G3" s="37">
        <v>1.3809100000000001</v>
      </c>
      <c r="H3" s="37"/>
      <c r="J3" s="4"/>
    </row>
    <row r="4" spans="1:31" ht="15.75" x14ac:dyDescent="0.3">
      <c r="B4" s="4" t="s">
        <v>18</v>
      </c>
      <c r="C4" s="5">
        <v>41</v>
      </c>
      <c r="D4" s="2" t="s">
        <v>7</v>
      </c>
      <c r="F4" s="4" t="s">
        <v>8</v>
      </c>
      <c r="G4" s="37">
        <v>-2.8344</v>
      </c>
      <c r="H4" s="37"/>
      <c r="J4" s="4"/>
    </row>
    <row r="5" spans="1:31" ht="15.75" x14ac:dyDescent="0.3">
      <c r="B5" s="4" t="s">
        <v>18</v>
      </c>
      <c r="C5" s="5">
        <v>4100</v>
      </c>
      <c r="D5" s="2" t="s">
        <v>9</v>
      </c>
      <c r="F5" s="4" t="s">
        <v>10</v>
      </c>
      <c r="G5" s="37">
        <v>-2.7916799999999999</v>
      </c>
      <c r="H5" s="37"/>
      <c r="J5" s="4"/>
    </row>
    <row r="6" spans="1:31" ht="15.75" x14ac:dyDescent="0.3">
      <c r="B6" s="4" t="s">
        <v>19</v>
      </c>
      <c r="C6" s="5">
        <v>315.61</v>
      </c>
      <c r="D6" s="2" t="s">
        <v>20</v>
      </c>
      <c r="F6" s="4" t="s">
        <v>21</v>
      </c>
      <c r="G6" s="2">
        <v>309</v>
      </c>
      <c r="I6" s="7">
        <f>G6/C3</f>
        <v>0.5221358567083475</v>
      </c>
      <c r="J6" s="2" t="s">
        <v>22</v>
      </c>
    </row>
    <row r="7" spans="1:31" ht="15.75" x14ac:dyDescent="0.3">
      <c r="B7" s="4" t="s">
        <v>19</v>
      </c>
      <c r="C7" s="5">
        <v>0.31561</v>
      </c>
      <c r="D7" s="46" t="s">
        <v>23</v>
      </c>
      <c r="F7" s="4" t="s">
        <v>24</v>
      </c>
      <c r="G7" s="2">
        <v>591.79999999999995</v>
      </c>
      <c r="I7" s="7">
        <f>G7/C3</f>
        <v>1</v>
      </c>
      <c r="J7" s="2" t="s">
        <v>25</v>
      </c>
    </row>
    <row r="8" spans="1:31" ht="15.75" x14ac:dyDescent="0.3">
      <c r="B8" s="4" t="s">
        <v>26</v>
      </c>
      <c r="C8" s="5">
        <v>0.26300000000000001</v>
      </c>
      <c r="F8" s="4" t="s">
        <v>27</v>
      </c>
      <c r="G8" s="18">
        <v>383.8</v>
      </c>
      <c r="H8" s="18"/>
      <c r="I8" s="7">
        <f>G8/C3</f>
        <v>0.64852990875295713</v>
      </c>
      <c r="J8" s="2" t="s">
        <v>28</v>
      </c>
    </row>
    <row r="9" spans="1:31" x14ac:dyDescent="0.2">
      <c r="B9" s="9" t="s">
        <v>29</v>
      </c>
      <c r="C9" s="5">
        <v>0.26300000000000001</v>
      </c>
      <c r="F9" s="4"/>
      <c r="G9" s="2">
        <v>101.325</v>
      </c>
    </row>
    <row r="10" spans="1:31" x14ac:dyDescent="0.2">
      <c r="B10" s="2" t="s">
        <v>11</v>
      </c>
      <c r="C10" s="5">
        <v>8.3145100000000003</v>
      </c>
      <c r="D10" s="2" t="s">
        <v>12</v>
      </c>
    </row>
    <row r="12" spans="1:31" ht="15.75" x14ac:dyDescent="0.3">
      <c r="C12" s="218" t="s">
        <v>145</v>
      </c>
      <c r="D12" s="31" t="s">
        <v>96</v>
      </c>
      <c r="E12" s="34">
        <f>27/64*(C10*C3)^2/C5</f>
        <v>2491.28363430425</v>
      </c>
      <c r="J12" s="5"/>
    </row>
    <row r="13" spans="1:31" x14ac:dyDescent="0.2">
      <c r="B13" s="2">
        <v>1.8189894035458565E-12</v>
      </c>
      <c r="D13" s="31" t="s">
        <v>46</v>
      </c>
      <c r="E13" s="34">
        <v>848.57330401438003</v>
      </c>
    </row>
    <row r="14" spans="1:31" x14ac:dyDescent="0.2">
      <c r="D14" s="31" t="s">
        <v>97</v>
      </c>
      <c r="E14" s="219">
        <f>' T = Tb'!B14</f>
        <v>0.11928554873417722</v>
      </c>
      <c r="M14" s="34"/>
    </row>
    <row r="15" spans="1:31" ht="18.75" x14ac:dyDescent="0.3">
      <c r="B15" s="2">
        <v>0.25000000000028649</v>
      </c>
      <c r="D15" s="31" t="s">
        <v>73</v>
      </c>
      <c r="E15" s="97">
        <f>'a = a(T)'!J21</f>
        <v>0.86345398619431124</v>
      </c>
      <c r="M15" s="34"/>
      <c r="N15" s="34"/>
      <c r="O15" s="98"/>
      <c r="P15" s="34"/>
      <c r="Q15" s="34"/>
      <c r="R15" s="34"/>
      <c r="S15" s="34"/>
      <c r="T15" s="34"/>
      <c r="U15" s="34"/>
      <c r="V15" s="98"/>
      <c r="W15" s="98"/>
      <c r="X15" s="34"/>
      <c r="Y15" s="34"/>
      <c r="Z15" s="34"/>
      <c r="AA15" s="34"/>
      <c r="AB15" s="34"/>
      <c r="AC15" s="34"/>
      <c r="AD15" s="34"/>
      <c r="AE15" s="34"/>
    </row>
    <row r="16" spans="1:31" x14ac:dyDescent="0.2">
      <c r="B16" s="2">
        <v>0</v>
      </c>
      <c r="D16" s="218" t="s">
        <v>146</v>
      </c>
      <c r="E16" s="155">
        <f>' T = Tb'!B19</f>
        <v>0</v>
      </c>
      <c r="M16" s="34"/>
      <c r="N16" s="34"/>
      <c r="O16" s="31"/>
      <c r="P16" s="97"/>
      <c r="Q16" s="34"/>
      <c r="R16" s="34"/>
      <c r="S16" s="34"/>
      <c r="T16" s="34"/>
      <c r="U16" s="31"/>
      <c r="V16" s="97"/>
      <c r="W16" s="97"/>
      <c r="X16" s="31"/>
      <c r="Y16" s="32"/>
      <c r="Z16" s="32"/>
      <c r="AA16" s="32"/>
      <c r="AB16" s="34"/>
      <c r="AC16" s="34"/>
      <c r="AD16" s="34"/>
      <c r="AE16" s="34"/>
    </row>
    <row r="17" spans="1:32" ht="13.5" thickBot="1" x14ac:dyDescent="0.25">
      <c r="M17" s="34"/>
      <c r="N17" s="34"/>
      <c r="O17" s="31"/>
      <c r="P17" s="36"/>
      <c r="Q17" s="34"/>
      <c r="R17" s="34"/>
      <c r="S17" s="34"/>
      <c r="T17" s="34"/>
      <c r="U17" s="31"/>
      <c r="V17" s="36"/>
      <c r="W17" s="36"/>
      <c r="X17" s="34"/>
      <c r="Y17" s="32"/>
      <c r="Z17" s="32"/>
      <c r="AA17" s="32"/>
      <c r="AB17" s="34"/>
      <c r="AC17" s="34"/>
      <c r="AD17" s="34"/>
      <c r="AE17" s="34"/>
    </row>
    <row r="18" spans="1:32" x14ac:dyDescent="0.2">
      <c r="J18" s="48"/>
      <c r="K18" s="216" t="s">
        <v>144</v>
      </c>
      <c r="L18" s="50"/>
      <c r="M18" s="50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2"/>
      <c r="Z18" s="32"/>
      <c r="AA18" s="32"/>
      <c r="AB18" s="34"/>
      <c r="AC18" s="34"/>
      <c r="AD18" s="34"/>
      <c r="AE18" s="34"/>
    </row>
    <row r="19" spans="1:32" ht="23.25" x14ac:dyDescent="0.6">
      <c r="A19" s="99" t="s">
        <v>117</v>
      </c>
      <c r="B19" s="100" t="s">
        <v>81</v>
      </c>
      <c r="C19" s="101" t="s">
        <v>118</v>
      </c>
      <c r="D19" s="101" t="s">
        <v>118</v>
      </c>
      <c r="E19" s="101" t="s">
        <v>118</v>
      </c>
      <c r="F19" s="101" t="s">
        <v>118</v>
      </c>
      <c r="G19" s="100"/>
      <c r="H19" s="101" t="s">
        <v>118</v>
      </c>
      <c r="I19" s="100" t="s">
        <v>82</v>
      </c>
      <c r="J19" s="102" t="s">
        <v>104</v>
      </c>
      <c r="K19" s="103" t="s">
        <v>119</v>
      </c>
      <c r="L19" s="104" t="s">
        <v>120</v>
      </c>
      <c r="M19" s="242" t="s">
        <v>83</v>
      </c>
      <c r="N19" s="105"/>
      <c r="O19" s="103"/>
      <c r="P19" s="106"/>
      <c r="Q19" s="103"/>
      <c r="R19" s="65"/>
      <c r="S19" s="65"/>
      <c r="T19" s="65"/>
      <c r="U19" s="68"/>
      <c r="V19" s="98"/>
      <c r="W19" s="68"/>
      <c r="X19" s="68"/>
      <c r="Y19" s="65"/>
      <c r="Z19" s="65"/>
      <c r="AA19" s="65"/>
      <c r="AB19" s="68"/>
      <c r="AC19" s="34"/>
      <c r="AD19" s="34"/>
      <c r="AE19" s="34"/>
      <c r="AF19" s="34"/>
    </row>
    <row r="20" spans="1:32" ht="13.5" thickBot="1" x14ac:dyDescent="0.25">
      <c r="A20" s="61"/>
      <c r="B20" s="34"/>
      <c r="C20" s="34" t="s">
        <v>84</v>
      </c>
      <c r="D20" s="34" t="s">
        <v>85</v>
      </c>
      <c r="E20" s="34" t="s">
        <v>86</v>
      </c>
      <c r="F20" s="34" t="s">
        <v>136</v>
      </c>
      <c r="G20" s="34"/>
      <c r="H20" s="34" t="s">
        <v>48</v>
      </c>
      <c r="I20" s="107">
        <f>AVERAGE(I21:I41)</f>
        <v>0.92673043580366643</v>
      </c>
      <c r="J20" s="62"/>
      <c r="K20" s="34"/>
      <c r="L20" s="34"/>
      <c r="M20" s="194"/>
      <c r="N20" s="62"/>
      <c r="O20" s="34"/>
      <c r="P20" s="34"/>
      <c r="Q20" s="34"/>
      <c r="R20" s="34"/>
      <c r="S20" s="43"/>
      <c r="T20" s="34"/>
      <c r="U20" s="34"/>
      <c r="V20" s="34"/>
      <c r="W20" s="34"/>
      <c r="X20" s="34"/>
      <c r="Y20" s="34"/>
      <c r="Z20" s="43"/>
      <c r="AA20" s="34"/>
      <c r="AB20" s="34"/>
      <c r="AC20" s="34"/>
      <c r="AD20" s="34"/>
      <c r="AE20" s="34"/>
      <c r="AF20" s="34"/>
    </row>
    <row r="21" spans="1:32" ht="15.75" x14ac:dyDescent="0.25">
      <c r="A21" s="274">
        <f t="shared" ref="A21:A56" si="0">B21-273.15</f>
        <v>22.050000000000011</v>
      </c>
      <c r="B21" s="275">
        <v>295.2</v>
      </c>
      <c r="C21" s="275">
        <v>-1528</v>
      </c>
      <c r="D21" s="275"/>
      <c r="E21" s="275"/>
      <c r="F21" s="275"/>
      <c r="G21" s="276">
        <v>-1528</v>
      </c>
      <c r="H21" s="277">
        <v>-1553.4251427364823</v>
      </c>
      <c r="I21" s="288">
        <f t="shared" ref="I21:I29" si="1">100*ABS((G21-H21)/G21)</f>
        <v>1.6639491319687343</v>
      </c>
      <c r="J21" s="50">
        <f t="shared" ref="J21:J29" si="2">(1-B21/$C$3)</f>
        <v>0.50118283203785063</v>
      </c>
      <c r="K21" s="50">
        <f t="shared" ref="K21:K56" si="3">$E$15*J21</f>
        <v>0.43274831413523607</v>
      </c>
      <c r="L21" s="289">
        <f t="shared" ref="L21:L56" si="4">$E$12*EXP(K21)</f>
        <v>3840.2843278292867</v>
      </c>
      <c r="M21" s="290">
        <f>($E$14-$E$13/($C$10*B21))*1000</f>
        <v>-226.44388247185211</v>
      </c>
      <c r="N21" s="42"/>
      <c r="O21" s="76"/>
      <c r="P21" s="76"/>
      <c r="Q21" s="34"/>
      <c r="R21" s="42"/>
      <c r="S21" s="74"/>
      <c r="T21" s="75"/>
      <c r="U21" s="75"/>
      <c r="V21" s="76"/>
      <c r="W21" s="76"/>
      <c r="X21" s="76"/>
      <c r="Y21" s="42"/>
      <c r="Z21" s="74"/>
      <c r="AA21" s="75"/>
      <c r="AB21" s="75"/>
      <c r="AC21" s="34"/>
      <c r="AD21" s="34"/>
      <c r="AE21" s="34"/>
      <c r="AF21" s="34"/>
    </row>
    <row r="22" spans="1:32" ht="15.75" x14ac:dyDescent="0.25">
      <c r="A22" s="278">
        <f t="shared" si="0"/>
        <v>35.050000000000011</v>
      </c>
      <c r="B22" s="279">
        <v>308.2</v>
      </c>
      <c r="C22" s="279">
        <v>-1352</v>
      </c>
      <c r="D22" s="279"/>
      <c r="E22" s="279"/>
      <c r="F22" s="279"/>
      <c r="G22" s="106">
        <v>-1352</v>
      </c>
      <c r="H22" s="280">
        <v>-1371.8822365025565</v>
      </c>
      <c r="I22" s="108">
        <f t="shared" si="1"/>
        <v>1.4705796229701518</v>
      </c>
      <c r="J22" s="34">
        <f t="shared" si="2"/>
        <v>0.47921595133491046</v>
      </c>
      <c r="K22" s="34">
        <f t="shared" si="3"/>
        <v>0.41378092342802753</v>
      </c>
      <c r="L22" s="42">
        <f t="shared" si="4"/>
        <v>3768.13060168122</v>
      </c>
      <c r="M22" s="291">
        <f t="shared" ref="M22:M29" si="5">($E$14-$E$13/($C$10*B22))*1000</f>
        <v>-211.86087596413512</v>
      </c>
      <c r="N22" s="42"/>
      <c r="O22" s="76"/>
      <c r="P22" s="76"/>
      <c r="Q22" s="34"/>
      <c r="R22" s="42"/>
      <c r="S22" s="74"/>
      <c r="T22" s="75"/>
      <c r="U22" s="75"/>
      <c r="V22" s="76"/>
      <c r="W22" s="76"/>
      <c r="X22" s="76"/>
      <c r="Y22" s="42"/>
      <c r="Z22" s="74"/>
      <c r="AA22" s="75"/>
      <c r="AB22" s="75"/>
      <c r="AC22" s="34"/>
      <c r="AD22" s="34"/>
      <c r="AE22" s="34"/>
      <c r="AF22" s="34"/>
    </row>
    <row r="23" spans="1:32" ht="15.75" x14ac:dyDescent="0.25">
      <c r="A23" s="278">
        <f t="shared" si="0"/>
        <v>35.220000000000027</v>
      </c>
      <c r="B23" s="281">
        <v>308.37</v>
      </c>
      <c r="C23" s="281">
        <v>-1394</v>
      </c>
      <c r="D23" s="279"/>
      <c r="E23" s="279"/>
      <c r="F23" s="279"/>
      <c r="G23" s="106">
        <v>-1394</v>
      </c>
      <c r="H23" s="280">
        <v>-1369.7402154140821</v>
      </c>
      <c r="I23" s="108">
        <f t="shared" si="1"/>
        <v>1.7403001855034392</v>
      </c>
      <c r="J23" s="34">
        <f t="shared" si="2"/>
        <v>0.47892869212571809</v>
      </c>
      <c r="K23" s="34">
        <f t="shared" si="3"/>
        <v>0.41353288831877932</v>
      </c>
      <c r="L23" s="42">
        <f t="shared" si="4"/>
        <v>3767.1960888965518</v>
      </c>
      <c r="M23" s="291">
        <f t="shared" si="5"/>
        <v>-211.67831964478262</v>
      </c>
      <c r="N23" s="42"/>
      <c r="O23" s="76"/>
      <c r="P23" s="76"/>
      <c r="Q23" s="34"/>
      <c r="R23" s="42"/>
      <c r="S23" s="74"/>
      <c r="T23" s="75"/>
      <c r="U23" s="75"/>
      <c r="V23" s="76"/>
      <c r="W23" s="76"/>
      <c r="X23" s="76"/>
      <c r="Y23" s="42"/>
      <c r="Z23" s="74"/>
      <c r="AA23" s="75"/>
      <c r="AB23" s="75"/>
      <c r="AC23" s="34"/>
      <c r="AD23" s="34"/>
      <c r="AE23" s="34"/>
      <c r="AF23" s="34"/>
    </row>
    <row r="24" spans="1:32" ht="15.75" x14ac:dyDescent="0.25">
      <c r="A24" s="278">
        <f t="shared" si="0"/>
        <v>50.050000000000011</v>
      </c>
      <c r="B24" s="279">
        <v>323.2</v>
      </c>
      <c r="C24" s="279">
        <v>-1202</v>
      </c>
      <c r="D24" s="279"/>
      <c r="E24" s="279"/>
      <c r="F24" s="279"/>
      <c r="G24" s="106">
        <v>-1202</v>
      </c>
      <c r="H24" s="280">
        <v>-1201.9999193855576</v>
      </c>
      <c r="I24" s="108">
        <f t="shared" si="1"/>
        <v>6.7066923766832278E-6</v>
      </c>
      <c r="J24" s="34">
        <f t="shared" si="2"/>
        <v>0.4538695505238256</v>
      </c>
      <c r="K24" s="34">
        <f t="shared" si="3"/>
        <v>0.39189547261201757</v>
      </c>
      <c r="L24" s="42">
        <f t="shared" si="4"/>
        <v>3686.5592336585419</v>
      </c>
      <c r="M24" s="291">
        <f t="shared" si="5"/>
        <v>-196.4920753129139</v>
      </c>
      <c r="N24" s="42"/>
      <c r="O24" s="76"/>
      <c r="P24" s="76"/>
      <c r="Q24" s="34"/>
      <c r="R24" s="42"/>
      <c r="S24" s="74"/>
      <c r="T24" s="75"/>
      <c r="U24" s="75"/>
      <c r="V24" s="76"/>
      <c r="W24" s="76"/>
      <c r="X24" s="76"/>
      <c r="Y24" s="42"/>
      <c r="Z24" s="74"/>
      <c r="AA24" s="75"/>
      <c r="AB24" s="75"/>
      <c r="AC24" s="34"/>
      <c r="AD24" s="34"/>
      <c r="AE24" s="34"/>
      <c r="AF24" s="34"/>
    </row>
    <row r="25" spans="1:32" ht="15.75" x14ac:dyDescent="0.25">
      <c r="A25" s="278">
        <f t="shared" si="0"/>
        <v>57.970000000000027</v>
      </c>
      <c r="B25" s="281">
        <v>331.12</v>
      </c>
      <c r="C25" s="281">
        <v>-1123</v>
      </c>
      <c r="D25" s="279"/>
      <c r="E25" s="279"/>
      <c r="F25" s="279"/>
      <c r="G25" s="282">
        <v>-1123</v>
      </c>
      <c r="H25" s="280">
        <v>-1125.8100927340374</v>
      </c>
      <c r="I25" s="108">
        <f t="shared" si="1"/>
        <v>0.25023087569344837</v>
      </c>
      <c r="J25" s="34">
        <f t="shared" si="2"/>
        <v>0.44048665089557282</v>
      </c>
      <c r="K25" s="34">
        <f t="shared" si="3"/>
        <v>0.38033995458116432</v>
      </c>
      <c r="L25" s="42">
        <f t="shared" si="4"/>
        <v>3644.2043197511134</v>
      </c>
      <c r="M25" s="291">
        <f t="shared" si="5"/>
        <v>-188.93904685660513</v>
      </c>
      <c r="N25" s="42"/>
      <c r="O25" s="76"/>
      <c r="P25" s="76"/>
      <c r="Q25" s="34"/>
      <c r="R25" s="42"/>
      <c r="S25" s="74"/>
      <c r="T25" s="75"/>
      <c r="U25" s="75"/>
      <c r="V25" s="76"/>
      <c r="W25" s="76"/>
      <c r="X25" s="76"/>
      <c r="Y25" s="42"/>
      <c r="Z25" s="74"/>
      <c r="AA25" s="75"/>
      <c r="AB25" s="75"/>
      <c r="AC25" s="34"/>
      <c r="AD25" s="34"/>
      <c r="AE25" s="34"/>
      <c r="AF25" s="34"/>
    </row>
    <row r="26" spans="1:32" ht="15.75" x14ac:dyDescent="0.25">
      <c r="A26" s="278">
        <f t="shared" si="0"/>
        <v>58.010000000000048</v>
      </c>
      <c r="B26" s="281">
        <v>331.16</v>
      </c>
      <c r="C26" s="279"/>
      <c r="D26" s="279"/>
      <c r="E26" s="279"/>
      <c r="F26" s="279">
        <v>-1125</v>
      </c>
      <c r="G26" s="106">
        <v>-1125</v>
      </c>
      <c r="H26" s="280">
        <v>-1125.4457492301674</v>
      </c>
      <c r="I26" s="108">
        <f t="shared" si="1"/>
        <v>3.9622153792657225E-2</v>
      </c>
      <c r="J26" s="34">
        <f t="shared" si="2"/>
        <v>0.44041906049340984</v>
      </c>
      <c r="K26" s="34">
        <f t="shared" si="3"/>
        <v>0.3802815933789882</v>
      </c>
      <c r="L26" s="42">
        <f t="shared" si="4"/>
        <v>3643.9916458120506</v>
      </c>
      <c r="M26" s="291">
        <f t="shared" si="5"/>
        <v>-188.90181716756166</v>
      </c>
      <c r="N26" s="42"/>
      <c r="O26" s="76"/>
      <c r="P26" s="76"/>
      <c r="Q26" s="34"/>
      <c r="R26" s="42"/>
      <c r="S26" s="74"/>
      <c r="T26" s="75"/>
      <c r="U26" s="75"/>
      <c r="V26" s="76"/>
      <c r="W26" s="76"/>
      <c r="X26" s="76"/>
      <c r="Y26" s="42"/>
      <c r="Z26" s="74"/>
      <c r="AA26" s="75"/>
      <c r="AB26" s="75"/>
      <c r="AC26" s="34"/>
      <c r="AD26" s="34"/>
      <c r="AE26" s="34"/>
      <c r="AF26" s="34"/>
    </row>
    <row r="27" spans="1:32" ht="15.75" x14ac:dyDescent="0.25">
      <c r="A27" s="278">
        <f t="shared" si="0"/>
        <v>60.010000000000048</v>
      </c>
      <c r="B27" s="281">
        <v>333.16</v>
      </c>
      <c r="C27" s="279"/>
      <c r="D27" s="279"/>
      <c r="E27" s="279"/>
      <c r="F27" s="279">
        <v>-1117</v>
      </c>
      <c r="G27" s="106">
        <v>-1117</v>
      </c>
      <c r="H27" s="280">
        <v>-1107.4751363971145</v>
      </c>
      <c r="I27" s="108">
        <f t="shared" si="1"/>
        <v>0.8527183171786471</v>
      </c>
      <c r="J27" s="34">
        <f t="shared" si="2"/>
        <v>0.43703954038526516</v>
      </c>
      <c r="K27" s="34">
        <f t="shared" si="3"/>
        <v>0.37736353327018685</v>
      </c>
      <c r="L27" s="42">
        <f t="shared" si="4"/>
        <v>3633.3737585046383</v>
      </c>
      <c r="M27" s="291">
        <f t="shared" si="5"/>
        <v>-187.05173092730632</v>
      </c>
      <c r="N27" s="42"/>
      <c r="O27" s="76"/>
      <c r="P27" s="76"/>
      <c r="Q27" s="34"/>
      <c r="R27" s="42"/>
      <c r="S27" s="74"/>
      <c r="T27" s="75"/>
      <c r="U27" s="75"/>
      <c r="V27" s="76"/>
      <c r="W27" s="76"/>
      <c r="X27" s="76"/>
      <c r="Y27" s="42"/>
      <c r="Z27" s="74"/>
      <c r="AA27" s="75"/>
      <c r="AB27" s="75"/>
      <c r="AC27" s="34"/>
      <c r="AD27" s="34"/>
      <c r="AE27" s="34"/>
      <c r="AF27" s="34"/>
    </row>
    <row r="28" spans="1:32" ht="15.75" x14ac:dyDescent="0.25">
      <c r="A28" s="278">
        <f t="shared" si="0"/>
        <v>62.010000000000048</v>
      </c>
      <c r="B28" s="281">
        <v>335.16</v>
      </c>
      <c r="C28" s="279"/>
      <c r="D28" s="279"/>
      <c r="E28" s="279"/>
      <c r="F28" s="279">
        <v>-1103</v>
      </c>
      <c r="G28" s="106">
        <v>-1103</v>
      </c>
      <c r="H28" s="280">
        <v>-1089.9764381434163</v>
      </c>
      <c r="I28" s="108">
        <f t="shared" si="1"/>
        <v>1.1807399688652478</v>
      </c>
      <c r="J28" s="34">
        <f t="shared" si="2"/>
        <v>0.43366002027712058</v>
      </c>
      <c r="K28" s="34">
        <f t="shared" si="3"/>
        <v>0.3744454731613856</v>
      </c>
      <c r="L28" s="42">
        <f t="shared" si="4"/>
        <v>3622.7868096685042</v>
      </c>
      <c r="M28" s="291">
        <f t="shared" si="5"/>
        <v>-185.22372472333515</v>
      </c>
      <c r="N28" s="42"/>
      <c r="O28" s="76"/>
      <c r="P28" s="76"/>
      <c r="Q28" s="34"/>
      <c r="R28" s="42"/>
      <c r="S28" s="74"/>
      <c r="T28" s="75"/>
      <c r="U28" s="75"/>
      <c r="V28" s="76"/>
      <c r="W28" s="76"/>
      <c r="X28" s="76"/>
      <c r="Y28" s="42"/>
      <c r="Z28" s="74"/>
      <c r="AA28" s="75"/>
      <c r="AB28" s="75"/>
      <c r="AC28" s="34"/>
      <c r="AD28" s="34"/>
      <c r="AE28" s="34"/>
      <c r="AF28" s="34"/>
    </row>
    <row r="29" spans="1:32" ht="15.75" x14ac:dyDescent="0.25">
      <c r="A29" s="278">
        <f t="shared" si="0"/>
        <v>64.490000000000009</v>
      </c>
      <c r="B29" s="281">
        <v>337.64</v>
      </c>
      <c r="C29" s="281">
        <v>-1065</v>
      </c>
      <c r="D29" s="279"/>
      <c r="E29" s="279"/>
      <c r="F29" s="279"/>
      <c r="G29" s="106">
        <v>-1065</v>
      </c>
      <c r="H29" s="280">
        <v>-1068.9086510201907</v>
      </c>
      <c r="I29" s="108">
        <f t="shared" si="1"/>
        <v>0.36700948546391982</v>
      </c>
      <c r="J29" s="34">
        <f t="shared" si="2"/>
        <v>0.4294694153430213</v>
      </c>
      <c r="K29" s="34">
        <f t="shared" si="3"/>
        <v>0.37082707862647202</v>
      </c>
      <c r="L29" s="42">
        <f t="shared" si="4"/>
        <v>3609.7018252698258</v>
      </c>
      <c r="M29" s="291">
        <f t="shared" si="5"/>
        <v>-182.98707326564463</v>
      </c>
      <c r="N29" s="42"/>
      <c r="O29" s="76"/>
      <c r="P29" s="76"/>
      <c r="Q29" s="34"/>
      <c r="R29" s="42"/>
      <c r="S29" s="74"/>
      <c r="T29" s="75"/>
      <c r="U29" s="75"/>
      <c r="V29" s="76"/>
      <c r="W29" s="76"/>
      <c r="X29" s="76"/>
      <c r="Y29" s="42"/>
      <c r="Z29" s="74"/>
      <c r="AA29" s="75"/>
      <c r="AB29" s="75"/>
      <c r="AC29" s="34"/>
      <c r="AD29" s="34"/>
      <c r="AE29" s="34"/>
      <c r="AF29" s="34"/>
    </row>
    <row r="30" spans="1:32" ht="15.75" x14ac:dyDescent="0.25">
      <c r="A30" s="278">
        <f t="shared" si="0"/>
        <v>65.010000000000048</v>
      </c>
      <c r="B30" s="281">
        <v>338.16</v>
      </c>
      <c r="C30" s="279"/>
      <c r="D30" s="279"/>
      <c r="E30" s="279"/>
      <c r="F30" s="281">
        <v>-1088</v>
      </c>
      <c r="G30" s="106">
        <v>-1088</v>
      </c>
      <c r="H30" s="280">
        <v>-1064.5771693359547</v>
      </c>
      <c r="I30" s="108">
        <f t="shared" ref="I30:I41" si="6">100*ABS((G30-H30)/G30)</f>
        <v>2.1528337007394529</v>
      </c>
      <c r="J30" s="34">
        <f t="shared" ref="J30:J41" si="7">(1-B30/$C$3)</f>
        <v>0.42859074011490361</v>
      </c>
      <c r="K30" s="34">
        <f t="shared" si="3"/>
        <v>0.37006838299818362</v>
      </c>
      <c r="L30" s="42">
        <f t="shared" si="4"/>
        <v>3606.9641989194602</v>
      </c>
      <c r="M30" s="291">
        <f t="shared" ref="M30:M41" si="8">($E$14-$E$13/($C$10*B30))*1000</f>
        <v>-182.52225849322946</v>
      </c>
      <c r="N30" s="42"/>
      <c r="O30" s="76"/>
      <c r="P30" s="76"/>
      <c r="Q30" s="34"/>
      <c r="R30" s="42"/>
      <c r="S30" s="74"/>
      <c r="T30" s="75"/>
      <c r="U30" s="75"/>
      <c r="V30" s="76"/>
      <c r="W30" s="76"/>
      <c r="X30" s="76"/>
      <c r="Y30" s="42"/>
      <c r="Z30" s="74"/>
      <c r="AA30" s="75"/>
      <c r="AB30" s="75"/>
      <c r="AC30" s="34"/>
      <c r="AD30" s="34"/>
      <c r="AE30" s="34"/>
      <c r="AF30" s="34"/>
    </row>
    <row r="31" spans="1:32" ht="15.75" x14ac:dyDescent="0.25">
      <c r="A31" s="278">
        <f t="shared" si="0"/>
        <v>67.150000000000034</v>
      </c>
      <c r="B31" s="279">
        <v>340.3</v>
      </c>
      <c r="C31" s="279"/>
      <c r="D31" s="279">
        <v>-1046</v>
      </c>
      <c r="E31" s="279"/>
      <c r="F31" s="279"/>
      <c r="G31" s="106">
        <v>-1046</v>
      </c>
      <c r="H31" s="280">
        <v>-1047.0557924951452</v>
      </c>
      <c r="I31" s="108">
        <f t="shared" si="6"/>
        <v>0.10093618500431832</v>
      </c>
      <c r="J31" s="34">
        <f t="shared" si="7"/>
        <v>0.42497465359918885</v>
      </c>
      <c r="K31" s="34">
        <f t="shared" si="3"/>
        <v>0.36694605868176622</v>
      </c>
      <c r="L31" s="42">
        <f t="shared" si="4"/>
        <v>3595.7196505912352</v>
      </c>
      <c r="M31" s="291">
        <f t="shared" si="8"/>
        <v>-180.62431929996865</v>
      </c>
      <c r="N31" s="42"/>
      <c r="O31" s="76"/>
      <c r="P31" s="76"/>
      <c r="Q31" s="34"/>
      <c r="R31" s="42"/>
      <c r="S31" s="74"/>
      <c r="T31" s="75"/>
      <c r="U31" s="75"/>
      <c r="V31" s="76"/>
      <c r="W31" s="76"/>
      <c r="X31" s="76"/>
      <c r="Y31" s="42"/>
      <c r="Z31" s="74"/>
      <c r="AA31" s="75"/>
      <c r="AB31" s="75"/>
      <c r="AC31" s="34"/>
      <c r="AD31" s="34"/>
      <c r="AE31" s="34"/>
      <c r="AF31" s="34"/>
    </row>
    <row r="32" spans="1:32" ht="15.75" x14ac:dyDescent="0.25">
      <c r="A32" s="278">
        <f t="shared" si="0"/>
        <v>68.010000000000048</v>
      </c>
      <c r="B32" s="281">
        <v>341.16</v>
      </c>
      <c r="C32" s="279"/>
      <c r="D32" s="279"/>
      <c r="E32" s="279"/>
      <c r="F32" s="281">
        <v>-1054</v>
      </c>
      <c r="G32" s="106">
        <v>-1054</v>
      </c>
      <c r="H32" s="280">
        <v>-1040.149627924374</v>
      </c>
      <c r="I32" s="108">
        <f t="shared" si="6"/>
        <v>1.3140770470233354</v>
      </c>
      <c r="J32" s="34">
        <f t="shared" si="7"/>
        <v>0.42352145995268664</v>
      </c>
      <c r="K32" s="34">
        <f t="shared" si="3"/>
        <v>0.36569129283498164</v>
      </c>
      <c r="L32" s="42">
        <f t="shared" si="4"/>
        <v>3591.2106938131346</v>
      </c>
      <c r="M32" s="291">
        <f t="shared" si="8"/>
        <v>-179.86830310079711</v>
      </c>
      <c r="N32" s="42"/>
      <c r="O32" s="76"/>
      <c r="P32" s="76"/>
      <c r="Q32" s="34"/>
      <c r="R32" s="42"/>
      <c r="S32" s="74"/>
      <c r="T32" s="75"/>
      <c r="U32" s="75"/>
      <c r="V32" s="76"/>
      <c r="W32" s="76"/>
      <c r="X32" s="76"/>
      <c r="Y32" s="42"/>
      <c r="Z32" s="74"/>
      <c r="AA32" s="75"/>
      <c r="AB32" s="75"/>
      <c r="AC32" s="34"/>
      <c r="AD32" s="34"/>
      <c r="AE32" s="34"/>
      <c r="AF32" s="34"/>
    </row>
    <row r="33" spans="1:32" ht="15.75" x14ac:dyDescent="0.25">
      <c r="A33" s="278">
        <f t="shared" si="0"/>
        <v>70.010000000000048</v>
      </c>
      <c r="B33" s="281">
        <v>343.16</v>
      </c>
      <c r="C33" s="281">
        <v>-1023</v>
      </c>
      <c r="D33" s="279"/>
      <c r="E33" s="279"/>
      <c r="F33" s="279"/>
      <c r="G33" s="106">
        <v>-1023</v>
      </c>
      <c r="H33" s="280">
        <v>-1024.3798272990332</v>
      </c>
      <c r="I33" s="108">
        <f t="shared" si="6"/>
        <v>0.13488047888887539</v>
      </c>
      <c r="J33" s="34">
        <f t="shared" si="7"/>
        <v>0.42014193984454196</v>
      </c>
      <c r="K33" s="34">
        <f t="shared" si="3"/>
        <v>0.36277323272618028</v>
      </c>
      <c r="L33" s="42">
        <f t="shared" si="4"/>
        <v>3580.7465999977976</v>
      </c>
      <c r="M33" s="291">
        <f t="shared" si="8"/>
        <v>-178.12477907797992</v>
      </c>
      <c r="N33" s="42"/>
      <c r="O33" s="76"/>
      <c r="P33" s="76"/>
      <c r="Q33" s="34"/>
      <c r="R33" s="42"/>
      <c r="S33" s="74"/>
      <c r="T33" s="75"/>
      <c r="U33" s="75"/>
      <c r="V33" s="76"/>
      <c r="W33" s="76"/>
      <c r="X33" s="76"/>
      <c r="Y33" s="42"/>
      <c r="Z33" s="74"/>
      <c r="AA33" s="75"/>
      <c r="AB33" s="75"/>
      <c r="AC33" s="34"/>
      <c r="AD33" s="34"/>
      <c r="AE33" s="34"/>
      <c r="AF33" s="34"/>
    </row>
    <row r="34" spans="1:32" ht="15.75" x14ac:dyDescent="0.25">
      <c r="A34" s="278">
        <f t="shared" si="0"/>
        <v>70.010000000000048</v>
      </c>
      <c r="B34" s="281">
        <v>343.16</v>
      </c>
      <c r="C34" s="279"/>
      <c r="D34" s="279"/>
      <c r="E34" s="279"/>
      <c r="F34" s="281">
        <v>-1035</v>
      </c>
      <c r="G34" s="106">
        <v>-1035</v>
      </c>
      <c r="H34" s="280">
        <v>-1024.3798272990332</v>
      </c>
      <c r="I34" s="108">
        <f t="shared" si="6"/>
        <v>1.0261036426054884</v>
      </c>
      <c r="J34" s="34">
        <f t="shared" si="7"/>
        <v>0.42014193984454196</v>
      </c>
      <c r="K34" s="34">
        <f t="shared" si="3"/>
        <v>0.36277323272618028</v>
      </c>
      <c r="L34" s="42">
        <f t="shared" si="4"/>
        <v>3580.7465999977976</v>
      </c>
      <c r="M34" s="291">
        <f t="shared" si="8"/>
        <v>-178.12477907797992</v>
      </c>
      <c r="N34" s="42"/>
      <c r="O34" s="76"/>
      <c r="P34" s="76"/>
      <c r="Q34" s="34"/>
      <c r="R34" s="42"/>
      <c r="S34" s="74"/>
      <c r="T34" s="75"/>
      <c r="U34" s="75"/>
      <c r="V34" s="76"/>
      <c r="W34" s="76"/>
      <c r="X34" s="76"/>
      <c r="Y34" s="42"/>
      <c r="Z34" s="74"/>
      <c r="AA34" s="75"/>
      <c r="AB34" s="75"/>
      <c r="AC34" s="34"/>
      <c r="AD34" s="34"/>
      <c r="AE34" s="34"/>
      <c r="AF34" s="34"/>
    </row>
    <row r="35" spans="1:32" ht="15.75" x14ac:dyDescent="0.25">
      <c r="A35" s="278">
        <f t="shared" si="0"/>
        <v>70.050000000000011</v>
      </c>
      <c r="B35" s="281">
        <v>343.2</v>
      </c>
      <c r="C35" s="281">
        <v>-1035</v>
      </c>
      <c r="D35" s="279"/>
      <c r="E35" s="279"/>
      <c r="F35" s="279"/>
      <c r="G35" s="106">
        <v>-1035</v>
      </c>
      <c r="H35" s="280">
        <v>-1024.0685143870032</v>
      </c>
      <c r="I35" s="108">
        <f t="shared" si="6"/>
        <v>1.0561821848306054</v>
      </c>
      <c r="J35" s="34">
        <f t="shared" si="7"/>
        <v>0.4200743494423792</v>
      </c>
      <c r="K35" s="34">
        <f t="shared" si="3"/>
        <v>0.36271487152400439</v>
      </c>
      <c r="L35" s="42">
        <f t="shared" si="4"/>
        <v>3580.5376294194803</v>
      </c>
      <c r="M35" s="291">
        <f t="shared" si="8"/>
        <v>-178.0901158696102</v>
      </c>
      <c r="N35" s="42"/>
      <c r="O35" s="76"/>
      <c r="P35" s="76"/>
      <c r="Q35" s="34"/>
      <c r="R35" s="42"/>
      <c r="S35" s="74"/>
      <c r="T35" s="75"/>
      <c r="U35" s="75"/>
      <c r="V35" s="76"/>
      <c r="W35" s="76"/>
      <c r="X35" s="76"/>
      <c r="Y35" s="42"/>
      <c r="Z35" s="74"/>
      <c r="AA35" s="75"/>
      <c r="AB35" s="75"/>
      <c r="AC35" s="34"/>
      <c r="AD35" s="34"/>
      <c r="AE35" s="34"/>
      <c r="AF35" s="34"/>
    </row>
    <row r="36" spans="1:32" ht="15.75" x14ac:dyDescent="0.25">
      <c r="A36" s="278">
        <f t="shared" si="0"/>
        <v>75.010000000000048</v>
      </c>
      <c r="B36" s="281">
        <v>348.16</v>
      </c>
      <c r="C36" s="279"/>
      <c r="D36" s="279"/>
      <c r="E36" s="279"/>
      <c r="F36" s="281">
        <v>-1011</v>
      </c>
      <c r="G36" s="106">
        <v>-1011</v>
      </c>
      <c r="H36" s="280">
        <v>-986.65817970657918</v>
      </c>
      <c r="I36" s="108">
        <f t="shared" si="6"/>
        <v>2.4076973583996861</v>
      </c>
      <c r="J36" s="34">
        <f t="shared" si="7"/>
        <v>0.41169313957418041</v>
      </c>
      <c r="K36" s="34">
        <f t="shared" si="3"/>
        <v>0.355478082454177</v>
      </c>
      <c r="L36" s="42">
        <f t="shared" si="4"/>
        <v>3554.7195664533633</v>
      </c>
      <c r="M36" s="291">
        <f t="shared" si="8"/>
        <v>-173.85360594189081</v>
      </c>
      <c r="N36" s="42"/>
      <c r="O36" s="76"/>
      <c r="P36" s="76"/>
      <c r="Q36" s="34"/>
      <c r="R36" s="42"/>
      <c r="S36" s="74"/>
      <c r="T36" s="75"/>
      <c r="U36" s="75"/>
      <c r="V36" s="76"/>
      <c r="W36" s="76"/>
      <c r="X36" s="76"/>
      <c r="Y36" s="42"/>
      <c r="Z36" s="74"/>
      <c r="AA36" s="75"/>
      <c r="AB36" s="75"/>
      <c r="AC36" s="34"/>
      <c r="AD36" s="34"/>
      <c r="AE36" s="34"/>
      <c r="AF36" s="34"/>
    </row>
    <row r="37" spans="1:32" ht="15.75" x14ac:dyDescent="0.25">
      <c r="A37" s="278">
        <f t="shared" si="0"/>
        <v>75.950000000000045</v>
      </c>
      <c r="B37" s="279">
        <v>349.1</v>
      </c>
      <c r="C37" s="279"/>
      <c r="D37" s="279">
        <v>-969</v>
      </c>
      <c r="E37" s="279"/>
      <c r="F37" s="279"/>
      <c r="G37" s="106">
        <v>-969</v>
      </c>
      <c r="H37" s="280">
        <v>-979.8261686398223</v>
      </c>
      <c r="I37" s="108">
        <f t="shared" si="6"/>
        <v>1.1172516656163363</v>
      </c>
      <c r="J37" s="34">
        <f t="shared" si="7"/>
        <v>0.41010476512335237</v>
      </c>
      <c r="K37" s="34">
        <f t="shared" si="3"/>
        <v>0.35410659420304036</v>
      </c>
      <c r="L37" s="42">
        <f t="shared" si="4"/>
        <v>3549.8476519822802</v>
      </c>
      <c r="M37" s="291">
        <f t="shared" si="8"/>
        <v>-173.06428825241642</v>
      </c>
      <c r="N37" s="42"/>
      <c r="O37" s="76"/>
      <c r="P37" s="76"/>
      <c r="Q37" s="34"/>
      <c r="R37" s="42"/>
      <c r="S37" s="74"/>
      <c r="T37" s="75"/>
      <c r="U37" s="75"/>
      <c r="V37" s="76"/>
      <c r="W37" s="76"/>
      <c r="X37" s="76"/>
      <c r="Y37" s="42"/>
      <c r="Z37" s="74"/>
      <c r="AA37" s="75"/>
      <c r="AB37" s="75"/>
      <c r="AC37" s="34"/>
      <c r="AD37" s="34"/>
      <c r="AE37" s="34"/>
      <c r="AF37" s="34"/>
    </row>
    <row r="38" spans="1:32" ht="15.75" x14ac:dyDescent="0.25">
      <c r="A38" s="278">
        <f t="shared" si="0"/>
        <v>80.050000000000011</v>
      </c>
      <c r="B38" s="281">
        <v>353.2</v>
      </c>
      <c r="C38" s="279"/>
      <c r="D38" s="281"/>
      <c r="E38" s="281">
        <v>-944</v>
      </c>
      <c r="F38" s="279"/>
      <c r="G38" s="106">
        <v>-944</v>
      </c>
      <c r="H38" s="283">
        <v>-950.93521986706446</v>
      </c>
      <c r="I38" s="108">
        <f t="shared" si="6"/>
        <v>0.73466312151106572</v>
      </c>
      <c r="J38" s="34">
        <f t="shared" si="7"/>
        <v>0.40317674890165589</v>
      </c>
      <c r="K38" s="34">
        <f t="shared" si="3"/>
        <v>0.34812457097999766</v>
      </c>
      <c r="L38" s="42">
        <f t="shared" si="4"/>
        <v>3528.6757693721615</v>
      </c>
      <c r="M38" s="291">
        <f t="shared" si="8"/>
        <v>-169.67064631684158</v>
      </c>
      <c r="N38" s="42"/>
      <c r="O38" s="76"/>
      <c r="P38" s="76"/>
      <c r="Q38" s="34"/>
      <c r="R38" s="42"/>
      <c r="S38" s="74"/>
      <c r="T38" s="75"/>
      <c r="U38" s="75"/>
      <c r="V38" s="76"/>
      <c r="W38" s="76"/>
      <c r="X38" s="76"/>
      <c r="Y38" s="42"/>
      <c r="Z38" s="74"/>
      <c r="AA38" s="75"/>
      <c r="AB38" s="75"/>
      <c r="AC38" s="34"/>
      <c r="AD38" s="34"/>
      <c r="AE38" s="34"/>
      <c r="AF38" s="34"/>
    </row>
    <row r="39" spans="1:32" ht="15.75" x14ac:dyDescent="0.25">
      <c r="A39" s="278">
        <f t="shared" si="0"/>
        <v>81.330000000000041</v>
      </c>
      <c r="B39" s="281">
        <v>354.48</v>
      </c>
      <c r="C39" s="281">
        <v>-938</v>
      </c>
      <c r="D39" s="279"/>
      <c r="E39" s="279"/>
      <c r="F39" s="279"/>
      <c r="G39" s="106">
        <v>-938</v>
      </c>
      <c r="H39" s="283">
        <v>-942.20786564672312</v>
      </c>
      <c r="I39" s="108">
        <f t="shared" si="6"/>
        <v>0.44859974911760359</v>
      </c>
      <c r="J39" s="34">
        <f t="shared" si="7"/>
        <v>0.40101385603244333</v>
      </c>
      <c r="K39" s="34">
        <f t="shared" si="3"/>
        <v>0.34625701251036484</v>
      </c>
      <c r="L39" s="42">
        <f t="shared" si="4"/>
        <v>3522.0919108364519</v>
      </c>
      <c r="M39" s="291">
        <f t="shared" si="8"/>
        <v>-168.62724773394467</v>
      </c>
      <c r="N39" s="42"/>
      <c r="O39" s="76"/>
      <c r="P39" s="76"/>
      <c r="Q39" s="34"/>
      <c r="R39" s="42"/>
      <c r="S39" s="74"/>
      <c r="T39" s="75"/>
      <c r="U39" s="75"/>
      <c r="V39" s="76"/>
      <c r="W39" s="76"/>
      <c r="X39" s="76"/>
      <c r="Y39" s="42"/>
      <c r="Z39" s="74"/>
      <c r="AA39" s="75"/>
      <c r="AB39" s="75"/>
      <c r="AC39" s="34"/>
      <c r="AD39" s="34"/>
      <c r="AE39" s="34"/>
      <c r="AF39" s="34"/>
    </row>
    <row r="40" spans="1:32" ht="15.75" x14ac:dyDescent="0.25">
      <c r="A40" s="278">
        <f t="shared" si="0"/>
        <v>81.81</v>
      </c>
      <c r="B40" s="281">
        <v>354.96</v>
      </c>
      <c r="C40" s="281">
        <v>-939</v>
      </c>
      <c r="D40" s="279"/>
      <c r="E40" s="279"/>
      <c r="F40" s="279"/>
      <c r="G40" s="106">
        <v>-939</v>
      </c>
      <c r="H40" s="283">
        <v>-938.96981690713687</v>
      </c>
      <c r="I40" s="108">
        <f t="shared" si="6"/>
        <v>3.2143868863819115E-3</v>
      </c>
      <c r="J40" s="34">
        <f t="shared" si="7"/>
        <v>0.40020277120648862</v>
      </c>
      <c r="K40" s="34">
        <f t="shared" si="3"/>
        <v>0.3455566780842525</v>
      </c>
      <c r="L40" s="42">
        <f t="shared" si="4"/>
        <v>3519.6261321549928</v>
      </c>
      <c r="M40" s="291">
        <f t="shared" si="8"/>
        <v>-168.23791332357536</v>
      </c>
      <c r="N40" s="42"/>
      <c r="O40" s="76"/>
      <c r="P40" s="76"/>
      <c r="Q40" s="34"/>
      <c r="R40" s="42"/>
      <c r="S40" s="74"/>
      <c r="T40" s="75"/>
      <c r="U40" s="75"/>
      <c r="V40" s="76"/>
      <c r="W40" s="76"/>
      <c r="X40" s="76"/>
      <c r="Y40" s="42"/>
      <c r="Z40" s="74"/>
      <c r="AA40" s="75"/>
      <c r="AB40" s="75"/>
      <c r="AC40" s="34"/>
      <c r="AD40" s="34"/>
      <c r="AE40" s="34"/>
      <c r="AF40" s="34"/>
    </row>
    <row r="41" spans="1:32" ht="15.75" x14ac:dyDescent="0.25">
      <c r="A41" s="278">
        <f t="shared" si="0"/>
        <v>89.850000000000023</v>
      </c>
      <c r="B41" s="279">
        <v>363</v>
      </c>
      <c r="C41" s="279"/>
      <c r="D41" s="279">
        <v>-900</v>
      </c>
      <c r="E41" s="279"/>
      <c r="F41" s="279"/>
      <c r="G41" s="106">
        <v>-900</v>
      </c>
      <c r="H41" s="283">
        <v>-887.40231135187298</v>
      </c>
      <c r="I41" s="108">
        <f t="shared" si="6"/>
        <v>1.3997431831252243</v>
      </c>
      <c r="J41" s="34">
        <f t="shared" si="7"/>
        <v>0.38661710037174712</v>
      </c>
      <c r="K41" s="34">
        <f t="shared" si="3"/>
        <v>0.33382607644687118</v>
      </c>
      <c r="L41" s="42">
        <f t="shared" si="4"/>
        <v>3478.5800185747685</v>
      </c>
      <c r="M41" s="291">
        <f t="shared" si="8"/>
        <v>-161.86962507303997</v>
      </c>
      <c r="N41" s="42"/>
      <c r="O41" s="76"/>
      <c r="P41" s="76"/>
      <c r="Q41" s="34"/>
      <c r="R41" s="42"/>
      <c r="S41" s="74"/>
      <c r="T41" s="75"/>
      <c r="U41" s="75"/>
      <c r="V41" s="76"/>
      <c r="W41" s="76"/>
      <c r="X41" s="76"/>
      <c r="Y41" s="42"/>
      <c r="Z41" s="74"/>
      <c r="AA41" s="75"/>
      <c r="AB41" s="75"/>
      <c r="AC41" s="34"/>
      <c r="AD41" s="34"/>
      <c r="AE41" s="34"/>
      <c r="AF41" s="34"/>
    </row>
    <row r="42" spans="1:32" ht="15.75" x14ac:dyDescent="0.25">
      <c r="A42" s="278">
        <f t="shared" si="0"/>
        <v>90.050000000000011</v>
      </c>
      <c r="B42" s="281">
        <v>363.2</v>
      </c>
      <c r="C42" s="279"/>
      <c r="D42" s="281"/>
      <c r="E42" s="281">
        <v>-891</v>
      </c>
      <c r="F42" s="279"/>
      <c r="G42" s="106">
        <v>-891</v>
      </c>
      <c r="H42" s="282">
        <v>-886.18082529771573</v>
      </c>
      <c r="I42" s="108">
        <f t="shared" ref="I42:I56" si="9">100*ABS((G42-H42)/G42)</f>
        <v>0.5408725816256198</v>
      </c>
      <c r="J42" s="34">
        <f t="shared" ref="J42:J56" si="10">(1-B42/$C$3)</f>
        <v>0.38627914836093269</v>
      </c>
      <c r="K42" s="34">
        <f t="shared" si="3"/>
        <v>0.3335342704359911</v>
      </c>
      <c r="L42" s="42">
        <f t="shared" si="4"/>
        <v>3477.5650961034617</v>
      </c>
      <c r="M42" s="291">
        <f t="shared" ref="M42:M56" si="11">($E$14-$E$13/($C$10*B42))*1000</f>
        <v>-161.71480394208893</v>
      </c>
      <c r="N42" s="42"/>
      <c r="O42" s="76"/>
      <c r="P42" s="76"/>
      <c r="Q42" s="34"/>
      <c r="R42" s="42"/>
      <c r="S42" s="74"/>
      <c r="T42" s="75"/>
      <c r="U42" s="75"/>
      <c r="V42" s="34"/>
      <c r="W42" s="76"/>
      <c r="X42" s="76"/>
      <c r="Y42" s="42"/>
      <c r="Z42" s="74"/>
      <c r="AA42" s="75"/>
      <c r="AB42" s="75"/>
      <c r="AC42" s="34"/>
      <c r="AD42" s="34"/>
      <c r="AE42" s="34"/>
      <c r="AF42" s="34"/>
    </row>
    <row r="43" spans="1:32" ht="15.75" x14ac:dyDescent="0.25">
      <c r="A43" s="278">
        <f t="shared" si="0"/>
        <v>100.05000000000001</v>
      </c>
      <c r="B43" s="279">
        <v>373.2</v>
      </c>
      <c r="C43" s="279"/>
      <c r="D43" s="279">
        <v>-814</v>
      </c>
      <c r="E43" s="279"/>
      <c r="F43" s="279"/>
      <c r="G43" s="106">
        <v>-814</v>
      </c>
      <c r="H43" s="282">
        <v>-828.55238633540421</v>
      </c>
      <c r="I43" s="108">
        <f t="shared" si="9"/>
        <v>1.787762449066856</v>
      </c>
      <c r="J43" s="34">
        <f t="shared" si="10"/>
        <v>0.36938154782020949</v>
      </c>
      <c r="K43" s="34">
        <f t="shared" si="3"/>
        <v>0.31894396989198448</v>
      </c>
      <c r="L43" s="42">
        <f t="shared" si="4"/>
        <v>3427.1947291402189</v>
      </c>
      <c r="M43" s="291">
        <f t="shared" si="11"/>
        <v>-154.18531967959515</v>
      </c>
      <c r="N43" s="34"/>
      <c r="O43" s="34"/>
      <c r="P43" s="34"/>
      <c r="Q43" s="34"/>
      <c r="R43" s="34"/>
      <c r="S43" s="34"/>
      <c r="T43" s="109"/>
      <c r="U43" s="109"/>
      <c r="V43" s="34"/>
      <c r="W43" s="76"/>
      <c r="X43" s="76"/>
      <c r="Y43" s="42"/>
      <c r="Z43" s="34"/>
      <c r="AA43" s="109"/>
      <c r="AB43" s="109"/>
      <c r="AC43" s="34"/>
      <c r="AD43" s="34"/>
      <c r="AE43" s="34"/>
      <c r="AF43" s="34"/>
    </row>
    <row r="44" spans="1:32" ht="15.75" x14ac:dyDescent="0.25">
      <c r="A44" s="278">
        <f t="shared" si="0"/>
        <v>100.05000000000001</v>
      </c>
      <c r="B44" s="281">
        <v>373.2</v>
      </c>
      <c r="C44" s="279"/>
      <c r="D44" s="281"/>
      <c r="E44" s="281">
        <v>-833</v>
      </c>
      <c r="F44" s="279"/>
      <c r="G44" s="106">
        <v>-833</v>
      </c>
      <c r="H44" s="106">
        <v>-828.55238633540421</v>
      </c>
      <c r="I44" s="108">
        <f t="shared" si="9"/>
        <v>0.53392721063574944</v>
      </c>
      <c r="J44" s="34">
        <f t="shared" si="10"/>
        <v>0.36938154782020949</v>
      </c>
      <c r="K44" s="34">
        <f t="shared" si="3"/>
        <v>0.31894396989198448</v>
      </c>
      <c r="L44" s="42">
        <f t="shared" si="4"/>
        <v>3427.1947291402189</v>
      </c>
      <c r="M44" s="291">
        <f t="shared" si="11"/>
        <v>-154.18531967959515</v>
      </c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</row>
    <row r="45" spans="1:32" ht="15.75" x14ac:dyDescent="0.25">
      <c r="A45" s="278">
        <f t="shared" si="0"/>
        <v>103.75</v>
      </c>
      <c r="B45" s="279">
        <v>376.9</v>
      </c>
      <c r="C45" s="279"/>
      <c r="D45" s="281">
        <v>-830</v>
      </c>
      <c r="E45" s="279"/>
      <c r="F45" s="279"/>
      <c r="G45" s="106">
        <v>-830</v>
      </c>
      <c r="H45" s="106">
        <v>-808.8241667071245</v>
      </c>
      <c r="I45" s="108">
        <f t="shared" si="9"/>
        <v>2.5513052160090961</v>
      </c>
      <c r="J45" s="34">
        <f t="shared" si="10"/>
        <v>0.36312943562014188</v>
      </c>
      <c r="K45" s="34">
        <f t="shared" si="3"/>
        <v>0.313545558690702</v>
      </c>
      <c r="L45" s="42">
        <f t="shared" si="4"/>
        <v>3408.7431720824848</v>
      </c>
      <c r="M45" s="291">
        <f t="shared" si="11"/>
        <v>-151.5006759726943</v>
      </c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</row>
    <row r="46" spans="1:32" ht="15.75" x14ac:dyDescent="0.25">
      <c r="A46" s="278">
        <f t="shared" si="0"/>
        <v>107.32000000000005</v>
      </c>
      <c r="B46" s="281">
        <v>380.47</v>
      </c>
      <c r="C46" s="281">
        <v>-785</v>
      </c>
      <c r="D46" s="279"/>
      <c r="E46" s="279"/>
      <c r="F46" s="279"/>
      <c r="G46" s="106">
        <v>-785</v>
      </c>
      <c r="H46" s="106">
        <v>-790.53627645935626</v>
      </c>
      <c r="I46" s="108">
        <f t="shared" si="9"/>
        <v>0.70525814768869544</v>
      </c>
      <c r="J46" s="34">
        <f t="shared" si="10"/>
        <v>0.35709699222710367</v>
      </c>
      <c r="K46" s="34">
        <f t="shared" si="3"/>
        <v>0.30833682139649166</v>
      </c>
      <c r="L46" s="42">
        <f t="shared" si="4"/>
        <v>3391.0340854244032</v>
      </c>
      <c r="M46" s="291">
        <f t="shared" si="11"/>
        <v>-148.95985324763433</v>
      </c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</row>
    <row r="47" spans="1:32" ht="15.75" x14ac:dyDescent="0.25">
      <c r="A47" s="278">
        <f t="shared" si="0"/>
        <v>110.05000000000001</v>
      </c>
      <c r="B47" s="281">
        <v>383.2</v>
      </c>
      <c r="C47" s="279"/>
      <c r="D47" s="281"/>
      <c r="E47" s="281">
        <v>-808</v>
      </c>
      <c r="F47" s="279"/>
      <c r="G47" s="106">
        <v>-808</v>
      </c>
      <c r="H47" s="106">
        <v>-777.02244829578797</v>
      </c>
      <c r="I47" s="108">
        <f t="shared" si="9"/>
        <v>3.8338554089371328</v>
      </c>
      <c r="J47" s="34">
        <f t="shared" si="10"/>
        <v>0.35248394727948629</v>
      </c>
      <c r="K47" s="34">
        <f t="shared" si="3"/>
        <v>0.30435366934797786</v>
      </c>
      <c r="L47" s="42">
        <f t="shared" si="4"/>
        <v>3377.5539456061565</v>
      </c>
      <c r="M47" s="291">
        <f t="shared" si="11"/>
        <v>-147.04881476274306</v>
      </c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</row>
    <row r="48" spans="1:32" ht="15.75" x14ac:dyDescent="0.25">
      <c r="A48" s="278">
        <f t="shared" si="0"/>
        <v>119.95000000000005</v>
      </c>
      <c r="B48" s="279">
        <v>393.1</v>
      </c>
      <c r="C48" s="279"/>
      <c r="D48" s="279">
        <v>-729</v>
      </c>
      <c r="E48" s="279"/>
      <c r="F48" s="279"/>
      <c r="G48" s="106">
        <v>-729</v>
      </c>
      <c r="H48" s="106">
        <v>-731.18154681885221</v>
      </c>
      <c r="I48" s="108">
        <f t="shared" si="9"/>
        <v>0.29925196417725813</v>
      </c>
      <c r="J48" s="34">
        <f t="shared" si="10"/>
        <v>0.33575532274417019</v>
      </c>
      <c r="K48" s="34">
        <f t="shared" si="3"/>
        <v>0.28990927180941123</v>
      </c>
      <c r="L48" s="42">
        <f t="shared" si="4"/>
        <v>3329.117870809117</v>
      </c>
      <c r="M48" s="291">
        <f t="shared" si="11"/>
        <v>-140.34133524450465</v>
      </c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</row>
    <row r="49" spans="1:31" customFormat="1" ht="15.75" x14ac:dyDescent="0.25">
      <c r="A49" s="278">
        <f t="shared" si="0"/>
        <v>131.85000000000002</v>
      </c>
      <c r="B49" s="281">
        <v>405</v>
      </c>
      <c r="C49" s="281">
        <v>-724</v>
      </c>
      <c r="D49" s="279"/>
      <c r="E49" s="279"/>
      <c r="F49" s="279"/>
      <c r="G49" s="279">
        <v>-724</v>
      </c>
      <c r="H49" s="279">
        <v>-681.92902404246922</v>
      </c>
      <c r="I49" s="108">
        <f t="shared" si="9"/>
        <v>5.8109082814269026</v>
      </c>
      <c r="J49" s="34">
        <f t="shared" si="10"/>
        <v>0.31564717810070964</v>
      </c>
      <c r="K49" s="34">
        <f t="shared" si="3"/>
        <v>0.27254681416204346</v>
      </c>
      <c r="L49" s="42">
        <f t="shared" si="4"/>
        <v>3271.8151007429465</v>
      </c>
      <c r="M49" s="291">
        <f t="shared" si="11"/>
        <v>-132.71279223377303</v>
      </c>
    </row>
    <row r="50" spans="1:31" ht="15.75" x14ac:dyDescent="0.25">
      <c r="A50" s="278">
        <f t="shared" si="0"/>
        <v>135.85000000000002</v>
      </c>
      <c r="B50" s="279">
        <v>409</v>
      </c>
      <c r="C50" s="279"/>
      <c r="D50" s="281">
        <v>-668</v>
      </c>
      <c r="E50" s="279"/>
      <c r="F50" s="279"/>
      <c r="G50" s="280">
        <v>-668</v>
      </c>
      <c r="H50" s="279">
        <v>-666.64433512854578</v>
      </c>
      <c r="I50" s="108">
        <f t="shared" si="9"/>
        <v>0.20294384303206936</v>
      </c>
      <c r="J50" s="34">
        <f t="shared" si="10"/>
        <v>0.30888813788442038</v>
      </c>
      <c r="K50" s="34">
        <f t="shared" si="3"/>
        <v>0.2667106939444408</v>
      </c>
      <c r="L50" s="42">
        <f t="shared" si="4"/>
        <v>3252.7760057485953</v>
      </c>
      <c r="M50" s="291">
        <f t="shared" si="11"/>
        <v>-130.24826078176372</v>
      </c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</row>
    <row r="51" spans="1:31" ht="15.75" x14ac:dyDescent="0.25">
      <c r="A51" s="278">
        <f t="shared" si="0"/>
        <v>142.93</v>
      </c>
      <c r="B51" s="281">
        <v>416.08</v>
      </c>
      <c r="C51" s="281">
        <v>-641</v>
      </c>
      <c r="D51" s="279"/>
      <c r="E51" s="279"/>
      <c r="F51" s="279"/>
      <c r="G51" s="280">
        <v>-641</v>
      </c>
      <c r="H51" s="279">
        <v>-641.00247566633141</v>
      </c>
      <c r="I51" s="108">
        <f t="shared" si="9"/>
        <v>3.8621939647527317E-4</v>
      </c>
      <c r="J51" s="34">
        <f t="shared" si="10"/>
        <v>0.29692463670158831</v>
      </c>
      <c r="K51" s="34">
        <f t="shared" si="3"/>
        <v>0.2563807611592841</v>
      </c>
      <c r="L51" s="42">
        <f t="shared" si="4"/>
        <v>3219.3480000212744</v>
      </c>
      <c r="M51" s="291">
        <f t="shared" si="11"/>
        <v>-126.0022038422981</v>
      </c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</row>
    <row r="52" spans="1:31" ht="15.75" x14ac:dyDescent="0.25">
      <c r="A52" s="278">
        <f t="shared" si="0"/>
        <v>143.35000000000002</v>
      </c>
      <c r="B52" s="281">
        <v>416.5</v>
      </c>
      <c r="C52" s="281">
        <v>-638</v>
      </c>
      <c r="D52" s="279"/>
      <c r="E52" s="279"/>
      <c r="F52" s="279"/>
      <c r="G52" s="280">
        <v>-638</v>
      </c>
      <c r="H52" s="279">
        <v>-639.53522397044071</v>
      </c>
      <c r="I52" s="108">
        <f t="shared" si="9"/>
        <v>0.2406307163700174</v>
      </c>
      <c r="J52" s="34">
        <f t="shared" si="10"/>
        <v>0.29621493747887795</v>
      </c>
      <c r="K52" s="34">
        <f t="shared" si="3"/>
        <v>0.25576796853643585</v>
      </c>
      <c r="L52" s="42">
        <f t="shared" si="4"/>
        <v>3217.3758116494378</v>
      </c>
      <c r="M52" s="291">
        <f t="shared" si="11"/>
        <v>-125.75485484810334</v>
      </c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</row>
    <row r="53" spans="1:31" ht="15.75" x14ac:dyDescent="0.25">
      <c r="A53" s="278">
        <f t="shared" si="0"/>
        <v>151.05000000000001</v>
      </c>
      <c r="B53" s="279">
        <v>424.2</v>
      </c>
      <c r="C53" s="279"/>
      <c r="D53" s="281">
        <v>-572</v>
      </c>
      <c r="E53" s="279"/>
      <c r="F53" s="279"/>
      <c r="G53" s="282">
        <v>-572</v>
      </c>
      <c r="H53" s="106">
        <v>-613.63652817040577</v>
      </c>
      <c r="I53" s="108">
        <f t="shared" si="9"/>
        <v>7.2791133165045059</v>
      </c>
      <c r="J53" s="34">
        <f t="shared" si="10"/>
        <v>0.28320378506252109</v>
      </c>
      <c r="K53" s="34">
        <f t="shared" si="3"/>
        <v>0.24453343711755077</v>
      </c>
      <c r="L53" s="42">
        <f t="shared" si="4"/>
        <v>3181.4323838398891</v>
      </c>
      <c r="M53" s="291">
        <f t="shared" si="11"/>
        <v>-121.30692673027318</v>
      </c>
    </row>
    <row r="54" spans="1:31" ht="15.75" x14ac:dyDescent="0.25">
      <c r="A54" s="278">
        <f t="shared" si="0"/>
        <v>156.55000000000001</v>
      </c>
      <c r="B54" s="279">
        <v>429.7</v>
      </c>
      <c r="C54" s="279">
        <v>-599</v>
      </c>
      <c r="D54" s="279"/>
      <c r="E54" s="279"/>
      <c r="F54" s="279"/>
      <c r="G54" s="106">
        <v>-599</v>
      </c>
      <c r="H54" s="106">
        <v>-596.23421528284291</v>
      </c>
      <c r="I54" s="108">
        <f t="shared" si="9"/>
        <v>0.46173367565226869</v>
      </c>
      <c r="J54" s="34">
        <f t="shared" si="10"/>
        <v>0.27391010476512334</v>
      </c>
      <c r="K54" s="34">
        <f t="shared" si="3"/>
        <v>0.23650877181834715</v>
      </c>
      <c r="L54" s="42">
        <f t="shared" si="4"/>
        <v>3156.0046149071768</v>
      </c>
      <c r="M54" s="291">
        <f t="shared" si="11"/>
        <v>-118.22743262961112</v>
      </c>
    </row>
    <row r="55" spans="1:31" ht="15.75" x14ac:dyDescent="0.25">
      <c r="A55" s="278">
        <f t="shared" si="0"/>
        <v>164.65000000000003</v>
      </c>
      <c r="B55" s="279">
        <v>437.8</v>
      </c>
      <c r="C55" s="279"/>
      <c r="D55" s="281">
        <v>-516</v>
      </c>
      <c r="E55" s="279"/>
      <c r="F55" s="279"/>
      <c r="G55" s="106">
        <v>-516</v>
      </c>
      <c r="H55" s="106">
        <v>-572.127002525835</v>
      </c>
      <c r="I55" s="108">
        <f t="shared" si="9"/>
        <v>10.877326070898254</v>
      </c>
      <c r="J55" s="34">
        <f t="shared" si="10"/>
        <v>0.2602230483271375</v>
      </c>
      <c r="K55" s="34">
        <f t="shared" si="3"/>
        <v>0.22469062837770176</v>
      </c>
      <c r="L55" s="42">
        <f t="shared" si="4"/>
        <v>3118.9260312372785</v>
      </c>
      <c r="M55" s="291">
        <f t="shared" si="11"/>
        <v>-113.83306271401798</v>
      </c>
    </row>
    <row r="56" spans="1:31" ht="16.5" thickBot="1" x14ac:dyDescent="0.3">
      <c r="A56" s="284">
        <f t="shared" si="0"/>
        <v>184.52000000000004</v>
      </c>
      <c r="B56" s="285">
        <v>457.67</v>
      </c>
      <c r="C56" s="286">
        <v>-521</v>
      </c>
      <c r="D56" s="285"/>
      <c r="E56" s="285"/>
      <c r="F56" s="285"/>
      <c r="G56" s="287">
        <v>-521</v>
      </c>
      <c r="H56" s="287">
        <v>-519.70224906586725</v>
      </c>
      <c r="I56" s="292">
        <f t="shared" si="9"/>
        <v>0.24908847104275442</v>
      </c>
      <c r="J56" s="85">
        <f t="shared" si="10"/>
        <v>0.22664751605272038</v>
      </c>
      <c r="K56" s="85">
        <f t="shared" si="3"/>
        <v>0.19569970119676056</v>
      </c>
      <c r="L56" s="84">
        <f t="shared" si="4"/>
        <v>3029.803586932404</v>
      </c>
      <c r="M56" s="293">
        <f t="shared" si="11"/>
        <v>-103.71208731804347</v>
      </c>
    </row>
    <row r="57" spans="1:31" ht="15.75" x14ac:dyDescent="0.25">
      <c r="A57" s="187"/>
      <c r="B57" s="187"/>
      <c r="C57" s="187"/>
      <c r="D57" s="187"/>
      <c r="E57" s="187"/>
      <c r="F57" s="187"/>
      <c r="G57" s="31"/>
      <c r="H57" s="31"/>
      <c r="I57" s="31"/>
      <c r="J57" s="34"/>
    </row>
    <row r="58" spans="1:31" ht="15.75" x14ac:dyDescent="0.25">
      <c r="A58" s="187"/>
      <c r="B58" s="188"/>
      <c r="C58" s="187"/>
      <c r="D58" s="187"/>
      <c r="E58" s="187"/>
      <c r="F58" s="188"/>
      <c r="G58" s="31"/>
      <c r="H58" s="31"/>
      <c r="I58" s="31"/>
      <c r="J58" s="34"/>
    </row>
    <row r="59" spans="1:31" ht="15.75" x14ac:dyDescent="0.25">
      <c r="A59" s="187"/>
      <c r="B59" s="187"/>
      <c r="C59" s="187"/>
      <c r="D59" s="187"/>
      <c r="E59" s="187"/>
      <c r="F59" s="187"/>
      <c r="G59" s="31"/>
      <c r="H59" s="31"/>
      <c r="I59" s="31"/>
      <c r="J59" s="34"/>
    </row>
    <row r="60" spans="1:31" ht="15.75" x14ac:dyDescent="0.25">
      <c r="A60" s="187"/>
      <c r="B60" s="188"/>
      <c r="C60" s="188"/>
      <c r="D60" s="187"/>
      <c r="E60" s="187"/>
      <c r="F60" s="187"/>
      <c r="G60" s="31"/>
      <c r="H60" s="31"/>
      <c r="I60" s="31"/>
      <c r="J60" s="34"/>
    </row>
    <row r="61" spans="1:31" ht="15.75" x14ac:dyDescent="0.25">
      <c r="A61" s="187"/>
      <c r="B61" s="188"/>
      <c r="C61" s="188"/>
      <c r="D61" s="188"/>
      <c r="E61" s="187"/>
      <c r="F61" s="187"/>
      <c r="G61" s="31"/>
      <c r="H61" s="31"/>
      <c r="I61" s="31"/>
      <c r="J61" s="34"/>
    </row>
    <row r="62" spans="1:31" ht="15.75" x14ac:dyDescent="0.25">
      <c r="A62" s="187"/>
      <c r="B62" s="188"/>
      <c r="C62" s="187"/>
      <c r="D62" s="187"/>
      <c r="E62" s="187"/>
      <c r="F62" s="187"/>
      <c r="G62" s="167"/>
      <c r="H62" s="189"/>
      <c r="I62" s="167"/>
      <c r="J62" s="34"/>
    </row>
    <row r="63" spans="1:31" ht="15.75" x14ac:dyDescent="0.25">
      <c r="A63" s="187"/>
      <c r="B63" s="188"/>
      <c r="C63" s="187"/>
      <c r="D63" s="187"/>
      <c r="E63" s="187"/>
      <c r="F63" s="188"/>
      <c r="G63" s="167"/>
      <c r="H63" s="189"/>
      <c r="I63" s="167"/>
      <c r="J63" s="34"/>
    </row>
    <row r="64" spans="1:31" ht="15.75" x14ac:dyDescent="0.25">
      <c r="A64" s="187"/>
      <c r="B64" s="188"/>
      <c r="C64" s="188"/>
      <c r="D64" s="187"/>
      <c r="E64" s="187"/>
      <c r="F64" s="188"/>
      <c r="G64" s="167"/>
      <c r="H64" s="189"/>
      <c r="I64" s="167"/>
      <c r="J64" s="34"/>
    </row>
    <row r="65" spans="1:10" ht="15.75" x14ac:dyDescent="0.25">
      <c r="A65" s="187"/>
      <c r="B65" s="188"/>
      <c r="C65" s="188"/>
      <c r="D65" s="187"/>
      <c r="E65" s="187"/>
      <c r="F65" s="187"/>
      <c r="G65" s="167"/>
      <c r="H65" s="167"/>
      <c r="I65" s="167"/>
      <c r="J65" s="34"/>
    </row>
    <row r="66" spans="1:10" ht="15.75" x14ac:dyDescent="0.25">
      <c r="A66" s="187"/>
      <c r="B66" s="188"/>
      <c r="C66" s="187"/>
      <c r="D66" s="187"/>
      <c r="E66" s="187"/>
      <c r="F66" s="188"/>
      <c r="G66" s="167"/>
      <c r="H66" s="167"/>
      <c r="I66" s="190"/>
      <c r="J66" s="34"/>
    </row>
    <row r="67" spans="1:10" ht="15.75" x14ac:dyDescent="0.25">
      <c r="A67" s="187"/>
      <c r="B67" s="187"/>
      <c r="C67" s="187"/>
      <c r="D67" s="187"/>
      <c r="E67" s="187"/>
      <c r="F67" s="187"/>
      <c r="G67" s="166"/>
      <c r="H67" s="169"/>
      <c r="I67" s="168"/>
      <c r="J67" s="34"/>
    </row>
    <row r="68" spans="1:10" x14ac:dyDescent="0.2">
      <c r="A68" s="166"/>
      <c r="B68" s="170"/>
      <c r="C68" s="166"/>
      <c r="D68" s="166"/>
      <c r="E68" s="166"/>
      <c r="F68" s="170"/>
      <c r="G68" s="166"/>
      <c r="H68" s="169"/>
      <c r="I68" s="168"/>
      <c r="J68" s="34"/>
    </row>
    <row r="69" spans="1:10" x14ac:dyDescent="0.2">
      <c r="A69" s="166"/>
      <c r="B69" s="170"/>
      <c r="C69" s="166"/>
      <c r="D69" s="170"/>
      <c r="E69" s="170"/>
      <c r="F69" s="166"/>
      <c r="G69" s="166"/>
      <c r="H69" s="169"/>
      <c r="I69" s="168"/>
      <c r="J69" s="34"/>
    </row>
    <row r="70" spans="1:10" x14ac:dyDescent="0.2">
      <c r="A70" s="166"/>
      <c r="B70" s="166"/>
      <c r="C70" s="166"/>
      <c r="D70" s="166"/>
      <c r="E70" s="166"/>
      <c r="F70" s="166"/>
      <c r="G70" s="166"/>
      <c r="H70" s="169"/>
      <c r="I70" s="168"/>
      <c r="J70" s="34"/>
    </row>
    <row r="71" spans="1:10" x14ac:dyDescent="0.2">
      <c r="A71" s="171"/>
      <c r="B71" s="166"/>
      <c r="C71" s="166"/>
      <c r="D71" s="166"/>
      <c r="E71" s="166"/>
      <c r="F71" s="166"/>
      <c r="G71" s="166"/>
      <c r="H71" s="169"/>
      <c r="I71" s="168"/>
      <c r="J71" s="34"/>
    </row>
    <row r="72" spans="1:10" x14ac:dyDescent="0.2">
      <c r="A72" s="171"/>
      <c r="B72" s="170"/>
      <c r="C72" s="166"/>
      <c r="D72" s="166"/>
      <c r="E72" s="166"/>
      <c r="F72" s="170"/>
      <c r="G72" s="166"/>
      <c r="H72" s="169"/>
      <c r="I72" s="168"/>
      <c r="J72" s="34"/>
    </row>
    <row r="73" spans="1:10" x14ac:dyDescent="0.2">
      <c r="A73" s="171"/>
      <c r="B73" s="166"/>
      <c r="C73" s="166"/>
      <c r="D73" s="166"/>
      <c r="E73" s="166"/>
      <c r="F73" s="166"/>
      <c r="G73" s="166"/>
      <c r="H73" s="169"/>
      <c r="I73" s="168"/>
      <c r="J73" s="34"/>
    </row>
    <row r="74" spans="1:10" x14ac:dyDescent="0.2">
      <c r="A74" s="171"/>
      <c r="B74" s="170"/>
      <c r="C74" s="170"/>
      <c r="D74" s="166"/>
      <c r="E74" s="166"/>
      <c r="F74" s="166"/>
      <c r="G74" s="166"/>
      <c r="H74" s="169"/>
      <c r="I74" s="168"/>
      <c r="J74" s="34"/>
    </row>
    <row r="75" spans="1:10" x14ac:dyDescent="0.2">
      <c r="A75" s="171"/>
      <c r="B75" s="170"/>
      <c r="C75" s="170"/>
      <c r="D75" s="170"/>
      <c r="E75" s="166"/>
      <c r="F75" s="166"/>
      <c r="G75" s="166"/>
      <c r="H75" s="169"/>
      <c r="I75" s="168"/>
      <c r="J75" s="34"/>
    </row>
    <row r="76" spans="1:10" x14ac:dyDescent="0.2">
      <c r="A76" s="171"/>
      <c r="B76" s="170"/>
      <c r="C76" s="166"/>
      <c r="D76" s="166"/>
      <c r="E76" s="166"/>
      <c r="F76" s="166"/>
      <c r="G76" s="166"/>
      <c r="H76" s="169"/>
      <c r="I76" s="168"/>
      <c r="J76" s="34"/>
    </row>
    <row r="77" spans="1:10" x14ac:dyDescent="0.2">
      <c r="A77" s="166"/>
      <c r="B77" s="170"/>
      <c r="C77" s="166"/>
      <c r="D77" s="166"/>
      <c r="E77" s="166"/>
      <c r="F77" s="170"/>
      <c r="G77" s="166"/>
      <c r="H77" s="169"/>
      <c r="I77" s="168"/>
      <c r="J77" s="34"/>
    </row>
    <row r="78" spans="1:10" x14ac:dyDescent="0.2">
      <c r="A78" s="166"/>
      <c r="B78" s="170"/>
      <c r="C78" s="170"/>
      <c r="D78" s="166"/>
      <c r="E78" s="166"/>
      <c r="F78" s="170"/>
      <c r="G78" s="166"/>
      <c r="H78" s="169"/>
      <c r="I78" s="168"/>
      <c r="J78" s="34"/>
    </row>
    <row r="79" spans="1:10" x14ac:dyDescent="0.2">
      <c r="A79" s="166"/>
      <c r="B79" s="170"/>
      <c r="C79" s="170"/>
      <c r="D79" s="166"/>
      <c r="E79" s="166"/>
      <c r="F79" s="166"/>
      <c r="G79" s="166"/>
      <c r="H79" s="169"/>
      <c r="I79" s="168"/>
      <c r="J79" s="34"/>
    </row>
    <row r="80" spans="1:10" x14ac:dyDescent="0.2">
      <c r="A80" s="166"/>
      <c r="B80" s="170"/>
      <c r="C80" s="166"/>
      <c r="D80" s="166"/>
      <c r="E80" s="166"/>
      <c r="F80" s="170"/>
      <c r="G80" s="166"/>
      <c r="H80" s="169"/>
      <c r="I80" s="168"/>
      <c r="J80" s="34"/>
    </row>
    <row r="81" spans="1:10" x14ac:dyDescent="0.2">
      <c r="A81" s="166"/>
      <c r="B81" s="166"/>
      <c r="C81" s="166"/>
      <c r="D81" s="166"/>
      <c r="E81" s="166"/>
      <c r="F81" s="166"/>
      <c r="G81" s="166"/>
      <c r="H81" s="169"/>
      <c r="I81" s="168"/>
      <c r="J81" s="34"/>
    </row>
    <row r="82" spans="1:10" x14ac:dyDescent="0.2">
      <c r="A82" s="166"/>
      <c r="B82" s="166"/>
      <c r="C82" s="166"/>
      <c r="D82" s="166"/>
      <c r="E82" s="166"/>
      <c r="F82" s="166"/>
      <c r="G82" s="166"/>
      <c r="H82" s="169"/>
      <c r="I82" s="168"/>
      <c r="J82" s="34"/>
    </row>
    <row r="83" spans="1:10" x14ac:dyDescent="0.2">
      <c r="A83" s="172"/>
      <c r="B83" s="172"/>
      <c r="C83" s="173"/>
      <c r="D83" s="173"/>
      <c r="E83" s="173"/>
      <c r="F83" s="173"/>
      <c r="G83" s="173"/>
      <c r="H83" s="174"/>
      <c r="I83" s="175"/>
    </row>
    <row r="84" spans="1:10" x14ac:dyDescent="0.2">
      <c r="A84" s="34"/>
      <c r="B84" s="34"/>
    </row>
    <row r="85" spans="1:10" x14ac:dyDescent="0.2">
      <c r="A85" s="34"/>
      <c r="B85" s="34"/>
    </row>
    <row r="86" spans="1:10" x14ac:dyDescent="0.2">
      <c r="A86" s="34"/>
      <c r="B86" s="34"/>
    </row>
  </sheetData>
  <phoneticPr fontId="25" type="noConversion"/>
  <pageMargins left="0.75" right="0.75" top="1" bottom="1" header="0.5" footer="0.5"/>
  <headerFooter alignWithMargins="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H41"/>
  <sheetViews>
    <sheetView workbookViewId="0">
      <selection activeCell="A12" sqref="A12"/>
    </sheetView>
  </sheetViews>
  <sheetFormatPr defaultColWidth="8" defaultRowHeight="12.75" x14ac:dyDescent="0.2"/>
  <cols>
    <col min="1" max="2" width="8" style="2" customWidth="1"/>
    <col min="3" max="3" width="7.625" style="2" customWidth="1"/>
    <col min="4" max="4" width="14.75" style="2" customWidth="1"/>
    <col min="5" max="5" width="11" style="2" customWidth="1"/>
    <col min="6" max="16384" width="8" style="2"/>
  </cols>
  <sheetData>
    <row r="1" spans="1:8" ht="18" x14ac:dyDescent="0.25">
      <c r="B1" s="1" t="str">
        <f>' T = Tb'!A1</f>
        <v>Benzene</v>
      </c>
      <c r="E1" s="2" t="s">
        <v>87</v>
      </c>
    </row>
    <row r="2" spans="1:8" x14ac:dyDescent="0.2">
      <c r="B2" s="4" t="s">
        <v>15</v>
      </c>
      <c r="C2" s="5">
        <f>' T = Tb'!B2</f>
        <v>78.114000000000004</v>
      </c>
    </row>
    <row r="3" spans="1:8" ht="15.75" x14ac:dyDescent="0.3">
      <c r="B3" s="4" t="s">
        <v>17</v>
      </c>
      <c r="C3" s="5">
        <f>' T = Tb'!B3</f>
        <v>562.16</v>
      </c>
    </row>
    <row r="4" spans="1:8" ht="15.75" x14ac:dyDescent="0.3">
      <c r="B4" s="4" t="s">
        <v>18</v>
      </c>
      <c r="C4" s="5">
        <f>' T = Tb'!B4</f>
        <v>48.98</v>
      </c>
    </row>
    <row r="5" spans="1:8" ht="15.75" x14ac:dyDescent="0.3">
      <c r="B5" s="4" t="s">
        <v>18</v>
      </c>
      <c r="C5" s="5">
        <f>' T = Tb'!B5</f>
        <v>4898</v>
      </c>
    </row>
    <row r="6" spans="1:8" ht="15.75" x14ac:dyDescent="0.3">
      <c r="B6" s="4" t="s">
        <v>19</v>
      </c>
      <c r="C6" s="5">
        <f>' T = Tb'!B6</f>
        <v>256</v>
      </c>
    </row>
    <row r="7" spans="1:8" ht="15.75" x14ac:dyDescent="0.3">
      <c r="B7" s="4" t="s">
        <v>19</v>
      </c>
      <c r="C7" s="5">
        <f>' T = Tb'!B7</f>
        <v>0.25600000000000001</v>
      </c>
      <c r="D7" s="110">
        <f>D41</f>
        <v>0.35785664620253166</v>
      </c>
    </row>
    <row r="8" spans="1:8" ht="15.75" x14ac:dyDescent="0.3">
      <c r="B8" s="4" t="s">
        <v>26</v>
      </c>
      <c r="C8" s="5">
        <f>' T = Tb'!B8</f>
        <v>0.26800000000000002</v>
      </c>
      <c r="F8" s="2" t="s">
        <v>88</v>
      </c>
    </row>
    <row r="9" spans="1:8" x14ac:dyDescent="0.2">
      <c r="B9" s="9" t="s">
        <v>29</v>
      </c>
      <c r="C9" s="5">
        <f>' T = Tb'!B9</f>
        <v>0.21</v>
      </c>
      <c r="F9" s="2" t="s">
        <v>89</v>
      </c>
    </row>
    <row r="10" spans="1:8" ht="14.25" x14ac:dyDescent="0.25">
      <c r="B10" s="2" t="s">
        <v>11</v>
      </c>
      <c r="C10" s="5">
        <v>8.3145100000000003</v>
      </c>
      <c r="F10" s="63" t="s">
        <v>121</v>
      </c>
    </row>
    <row r="12" spans="1:8" x14ac:dyDescent="0.2">
      <c r="C12" s="4"/>
    </row>
    <row r="15" spans="1:8" x14ac:dyDescent="0.2">
      <c r="A15" s="99"/>
      <c r="B15" s="100"/>
      <c r="C15" s="100"/>
      <c r="D15" s="231" t="s">
        <v>170</v>
      </c>
      <c r="E15" s="238" t="s">
        <v>90</v>
      </c>
      <c r="F15" s="239" t="s">
        <v>150</v>
      </c>
      <c r="G15" s="100">
        <v>-5.0110732936280843E-2</v>
      </c>
      <c r="H15" s="159"/>
    </row>
    <row r="16" spans="1:8" x14ac:dyDescent="0.2">
      <c r="A16" s="61"/>
      <c r="B16" s="34"/>
      <c r="C16" s="34"/>
      <c r="D16" s="232" t="s">
        <v>78</v>
      </c>
      <c r="E16" s="232" t="s">
        <v>78</v>
      </c>
      <c r="F16" s="176" t="s">
        <v>151</v>
      </c>
      <c r="G16" s="34">
        <v>2.1846049427841967</v>
      </c>
      <c r="H16" s="160"/>
    </row>
    <row r="17" spans="1:8" ht="14.25" x14ac:dyDescent="0.25">
      <c r="A17" s="61"/>
      <c r="B17" s="68" t="s">
        <v>49</v>
      </c>
      <c r="C17" s="68" t="s">
        <v>45</v>
      </c>
      <c r="D17" s="233" t="s">
        <v>103</v>
      </c>
      <c r="E17" s="233" t="s">
        <v>103</v>
      </c>
      <c r="F17" s="177" t="s">
        <v>91</v>
      </c>
      <c r="G17" s="163"/>
      <c r="H17" s="240" t="s">
        <v>152</v>
      </c>
    </row>
    <row r="18" spans="1:8" x14ac:dyDescent="0.2">
      <c r="A18" s="223"/>
      <c r="B18" s="43" t="s">
        <v>2</v>
      </c>
      <c r="C18" s="43" t="s">
        <v>7</v>
      </c>
      <c r="D18" s="234" t="s">
        <v>23</v>
      </c>
      <c r="E18" s="234" t="s">
        <v>23</v>
      </c>
      <c r="F18" s="178" t="s">
        <v>23</v>
      </c>
      <c r="G18" s="178"/>
      <c r="H18" s="160"/>
    </row>
    <row r="19" spans="1:8" ht="15.75" x14ac:dyDescent="0.25">
      <c r="A19" s="224" t="s">
        <v>79</v>
      </c>
      <c r="B19" s="34"/>
      <c r="C19" s="34"/>
      <c r="D19" s="235">
        <v>0.18002054668564504</v>
      </c>
      <c r="E19" s="235"/>
      <c r="F19" s="179"/>
      <c r="G19" s="222"/>
      <c r="H19" s="225">
        <f>SUM(H20:I41)</f>
        <v>1.3937915559433658</v>
      </c>
    </row>
    <row r="20" spans="1:8" x14ac:dyDescent="0.2">
      <c r="A20" s="224" t="s">
        <v>52</v>
      </c>
      <c r="B20" s="108">
        <f>Tmin!I1</f>
        <v>250</v>
      </c>
      <c r="C20" s="76">
        <f>Tmin!I3</f>
        <v>8.0836149165030638E-3</v>
      </c>
      <c r="D20" s="236">
        <f>Tmin!B15</f>
        <v>0.13085271658314221</v>
      </c>
      <c r="E20" s="236">
        <f t="shared" ref="E20:E41" si="0">$D$41*$C$8^((1-B20/$C$3)^0.2857)</f>
        <v>0.11757472155685131</v>
      </c>
      <c r="F20" s="76">
        <f>E20-D20</f>
        <v>-1.3277995026290901E-2</v>
      </c>
      <c r="G20" s="76">
        <f>$G$15*($G$16-B20/$C$3)</f>
        <v>-8.7187248010429041E-2</v>
      </c>
      <c r="H20" s="226">
        <f>ABS(G20-F20)</f>
        <v>7.3909252984138141E-2</v>
      </c>
    </row>
    <row r="21" spans="1:8" x14ac:dyDescent="0.2">
      <c r="A21" s="224" t="s">
        <v>53</v>
      </c>
      <c r="B21" s="108">
        <f>'T2'!I1</f>
        <v>260.33706553565617</v>
      </c>
      <c r="C21" s="76">
        <f>'T2'!I3</f>
        <v>1.6207266195744433E-2</v>
      </c>
      <c r="D21" s="236">
        <f>'T2'!B15</f>
        <v>0.13173101900813594</v>
      </c>
      <c r="E21" s="236">
        <f t="shared" si="0"/>
        <v>0.11883446742126928</v>
      </c>
      <c r="F21" s="76">
        <f t="shared" ref="F21:F41" si="1">E21-D21</f>
        <v>-1.2896551586866659E-2</v>
      </c>
      <c r="G21" s="76">
        <f t="shared" ref="G21:G41" si="2">$G$15*($G$16-B21/$C$3)</f>
        <v>-8.6265805840224655E-2</v>
      </c>
      <c r="H21" s="226">
        <f t="shared" ref="H21:H41" si="3">ABS(G21-F21)</f>
        <v>7.3369254253357996E-2</v>
      </c>
    </row>
    <row r="22" spans="1:8" x14ac:dyDescent="0.2">
      <c r="A22" s="224" t="s">
        <v>54</v>
      </c>
      <c r="B22" s="108">
        <f>'T3'!I1</f>
        <v>271.10155076686613</v>
      </c>
      <c r="C22" s="76">
        <f>'T3'!I3</f>
        <v>3.1258875210762156E-2</v>
      </c>
      <c r="D22" s="236">
        <f>'T3'!B15</f>
        <v>0.13269675752520102</v>
      </c>
      <c r="E22" s="236">
        <f t="shared" si="0"/>
        <v>0.12019440068140118</v>
      </c>
      <c r="F22" s="76">
        <f t="shared" si="1"/>
        <v>-1.2502356843799842E-2</v>
      </c>
      <c r="G22" s="76">
        <f t="shared" si="2"/>
        <v>-8.5306263637617383E-2</v>
      </c>
      <c r="H22" s="226">
        <f t="shared" si="3"/>
        <v>7.2803906793817541E-2</v>
      </c>
    </row>
    <row r="23" spans="1:8" x14ac:dyDescent="0.2">
      <c r="A23" s="224" t="s">
        <v>55</v>
      </c>
      <c r="B23" s="108">
        <f>'T4'!I1</f>
        <v>282.31112875524661</v>
      </c>
      <c r="C23" s="32">
        <f>'T4'!I3</f>
        <v>5.811723116708116E-2</v>
      </c>
      <c r="D23" s="236">
        <f>'T4'!B15</f>
        <v>0.13376234798893852</v>
      </c>
      <c r="E23" s="236">
        <f t="shared" si="0"/>
        <v>0.12166654147268409</v>
      </c>
      <c r="F23" s="76">
        <f t="shared" si="1"/>
        <v>-1.2095806516254429E-2</v>
      </c>
      <c r="G23" s="76">
        <f t="shared" si="2"/>
        <v>-8.4307046032479807E-2</v>
      </c>
      <c r="H23" s="226">
        <f t="shared" si="3"/>
        <v>7.2211239516225378E-2</v>
      </c>
    </row>
    <row r="24" spans="1:8" x14ac:dyDescent="0.2">
      <c r="A24" s="224" t="s">
        <v>56</v>
      </c>
      <c r="B24" s="108">
        <f>'T5'!I1</f>
        <v>293.9842033127988</v>
      </c>
      <c r="C24" s="32">
        <f>'T5'!I3</f>
        <v>0.10437433943134912</v>
      </c>
      <c r="D24" s="236">
        <f>'T5'!B15</f>
        <v>0.13494275384656634</v>
      </c>
      <c r="E24" s="236">
        <f t="shared" si="0"/>
        <v>0.12326506701272903</v>
      </c>
      <c r="F24" s="76">
        <f t="shared" si="1"/>
        <v>-1.1677686833837311E-2</v>
      </c>
      <c r="G24" s="76">
        <f t="shared" si="2"/>
        <v>-8.3266512515867461E-2</v>
      </c>
      <c r="H24" s="226">
        <f t="shared" si="3"/>
        <v>7.1588825682030149E-2</v>
      </c>
    </row>
    <row r="25" spans="1:8" x14ac:dyDescent="0.2">
      <c r="A25" s="224" t="s">
        <v>57</v>
      </c>
      <c r="B25" s="108">
        <f>'T6'!I1</f>
        <v>306.13993921716707</v>
      </c>
      <c r="C25" s="32">
        <f>'T6'!I3</f>
        <v>0.18143013473605477</v>
      </c>
      <c r="D25" s="236">
        <f>'T6'!B15</f>
        <v>0.13625617187566796</v>
      </c>
      <c r="E25" s="236">
        <f t="shared" si="0"/>
        <v>0.12500685580429594</v>
      </c>
      <c r="F25" s="76">
        <f t="shared" si="1"/>
        <v>-1.1249316071372029E-2</v>
      </c>
      <c r="G25" s="76">
        <f t="shared" si="2"/>
        <v>-8.2182954746642042E-2</v>
      </c>
      <c r="H25" s="226">
        <f t="shared" si="3"/>
        <v>7.0933638675270014E-2</v>
      </c>
    </row>
    <row r="26" spans="1:8" x14ac:dyDescent="0.2">
      <c r="A26" s="224" t="s">
        <v>58</v>
      </c>
      <c r="B26" s="108">
        <f>'T7'!I1</f>
        <v>318.79829367624569</v>
      </c>
      <c r="C26" s="32">
        <f>'T7'!I3</f>
        <v>0.30584494184815675</v>
      </c>
      <c r="D26" s="236">
        <f>'T7'!B15</f>
        <v>0.137724952917779</v>
      </c>
      <c r="E26" s="236">
        <f t="shared" si="0"/>
        <v>0.12691221501782052</v>
      </c>
      <c r="F26" s="76">
        <f t="shared" si="1"/>
        <v>-1.0812737899958486E-2</v>
      </c>
      <c r="G26" s="76">
        <f t="shared" si="2"/>
        <v>-8.1054593746728021E-2</v>
      </c>
      <c r="H26" s="226">
        <f t="shared" si="3"/>
        <v>7.0241855846769535E-2</v>
      </c>
    </row>
    <row r="27" spans="1:8" x14ac:dyDescent="0.2">
      <c r="A27" s="224" t="s">
        <v>59</v>
      </c>
      <c r="B27" s="108">
        <f>'T8'!I1</f>
        <v>331.9800490937925</v>
      </c>
      <c r="C27" s="32">
        <f>'T8'!I3</f>
        <v>0.50095379404491969</v>
      </c>
      <c r="D27" s="236">
        <f>'T8'!B15</f>
        <v>0.13937686391254375</v>
      </c>
      <c r="E27" s="236">
        <f t="shared" si="0"/>
        <v>0.12900587056836341</v>
      </c>
      <c r="F27" s="76">
        <f t="shared" si="1"/>
        <v>-1.0370993344180346E-2</v>
      </c>
      <c r="G27" s="76">
        <f t="shared" si="2"/>
        <v>-7.9879576980398034E-2</v>
      </c>
      <c r="H27" s="226">
        <f t="shared" si="3"/>
        <v>6.9508583636217688E-2</v>
      </c>
    </row>
    <row r="28" spans="1:8" x14ac:dyDescent="0.2">
      <c r="A28" s="224" t="s">
        <v>60</v>
      </c>
      <c r="B28" s="108">
        <f>'T9'!I1</f>
        <v>345.70684718984404</v>
      </c>
      <c r="C28" s="32">
        <f>'T9'!I3</f>
        <v>0.79873897287460038</v>
      </c>
      <c r="D28" s="236">
        <f>'T9'!B15</f>
        <v>0.14124685775470069</v>
      </c>
      <c r="E28" s="236">
        <f t="shared" si="0"/>
        <v>0.13131834294718078</v>
      </c>
      <c r="F28" s="76">
        <f t="shared" si="1"/>
        <v>-9.9285148075199114E-3</v>
      </c>
      <c r="G28" s="76">
        <f t="shared" si="2"/>
        <v>-7.8655975312791865E-2</v>
      </c>
      <c r="H28" s="226">
        <f t="shared" si="3"/>
        <v>6.8727460505271953E-2</v>
      </c>
    </row>
    <row r="29" spans="1:8" x14ac:dyDescent="0.2">
      <c r="A29" s="224" t="s">
        <v>61</v>
      </c>
      <c r="B29" s="108">
        <f>'T10'!I1</f>
        <v>360.00122453195002</v>
      </c>
      <c r="C29" s="32">
        <f>'T10'!I3</f>
        <v>1.2419565662834327</v>
      </c>
      <c r="D29" s="236">
        <f>'T10'!B15</f>
        <v>0.14337961869641269</v>
      </c>
      <c r="E29" s="236">
        <f t="shared" si="0"/>
        <v>0.13388790508150736</v>
      </c>
      <c r="F29" s="76">
        <f t="shared" si="1"/>
        <v>-9.4917136149053338E-3</v>
      </c>
      <c r="G29" s="76">
        <f t="shared" si="2"/>
        <v>-7.7381779842675358E-2</v>
      </c>
      <c r="H29" s="226">
        <f t="shared" si="3"/>
        <v>6.7890066227770024E-2</v>
      </c>
    </row>
    <row r="30" spans="1:8" x14ac:dyDescent="0.2">
      <c r="A30" s="224" t="s">
        <v>62</v>
      </c>
      <c r="B30" s="108">
        <f>'T11'!I1</f>
        <v>374.88664953556292</v>
      </c>
      <c r="C30" s="32">
        <f>'T11'!I3</f>
        <v>1.8865230429204805</v>
      </c>
      <c r="D30" s="236">
        <f>'T11'!B15</f>
        <v>0.14583332788469333</v>
      </c>
      <c r="E30" s="236">
        <f t="shared" si="0"/>
        <v>0.13676344632290516</v>
      </c>
      <c r="F30" s="76">
        <f t="shared" si="1"/>
        <v>-9.0698815617881734E-3</v>
      </c>
      <c r="G30" s="76">
        <f t="shared" si="2"/>
        <v>-7.6054898604239529E-2</v>
      </c>
      <c r="H30" s="226">
        <f t="shared" si="3"/>
        <v>6.6985017042451356E-2</v>
      </c>
    </row>
    <row r="31" spans="1:8" x14ac:dyDescent="0.2">
      <c r="A31" s="224" t="s">
        <v>63</v>
      </c>
      <c r="B31" s="108">
        <f>'T12'!I1</f>
        <v>390.38756099432965</v>
      </c>
      <c r="C31" s="32">
        <f>'T12'!I3</f>
        <v>2.804192214432971</v>
      </c>
      <c r="D31" s="236">
        <f>'T12'!B15</f>
        <v>0.14868527741384086</v>
      </c>
      <c r="E31" s="236">
        <f t="shared" si="0"/>
        <v>0.14000879985166451</v>
      </c>
      <c r="F31" s="76">
        <f t="shared" si="1"/>
        <v>-8.676477562176349E-3</v>
      </c>
      <c r="G31" s="76">
        <f t="shared" si="2"/>
        <v>-7.4673153132524719E-2</v>
      </c>
      <c r="H31" s="226">
        <f t="shared" si="3"/>
        <v>6.599667557034837E-2</v>
      </c>
    </row>
    <row r="32" spans="1:8" x14ac:dyDescent="0.2">
      <c r="A32" s="224" t="s">
        <v>64</v>
      </c>
      <c r="B32" s="108">
        <f>'T13'!I1</f>
        <v>406.52940820354308</v>
      </c>
      <c r="C32" s="108">
        <f>'T13'!I3</f>
        <v>4.0855960438249053</v>
      </c>
      <c r="D32" s="236">
        <f>'T13'!B15</f>
        <v>0.15204169021393446</v>
      </c>
      <c r="E32" s="236">
        <f t="shared" si="0"/>
        <v>0.14370953875276254</v>
      </c>
      <c r="F32" s="76">
        <f t="shared" si="1"/>
        <v>-8.3321514611719161E-3</v>
      </c>
      <c r="G32" s="76">
        <f t="shared" si="2"/>
        <v>-7.3234274886831069E-2</v>
      </c>
      <c r="H32" s="226">
        <f t="shared" si="3"/>
        <v>6.4902123425659153E-2</v>
      </c>
    </row>
    <row r="33" spans="1:8" x14ac:dyDescent="0.2">
      <c r="A33" s="224" t="s">
        <v>65</v>
      </c>
      <c r="B33" s="108">
        <f>'T14'!I1</f>
        <v>423.33869274262923</v>
      </c>
      <c r="C33" s="108">
        <f>'T14'!I3</f>
        <v>5.8437937282110406</v>
      </c>
      <c r="D33" s="236">
        <f>'T14'!B15</f>
        <v>0.15605155917878541</v>
      </c>
      <c r="E33" s="236">
        <f t="shared" si="0"/>
        <v>0.14798416162769309</v>
      </c>
      <c r="F33" s="76">
        <f t="shared" si="1"/>
        <v>-8.0673975510923146E-3</v>
      </c>
      <c r="G33" s="76">
        <f t="shared" si="2"/>
        <v>-7.1735901526243165E-2</v>
      </c>
      <c r="H33" s="226">
        <f t="shared" si="3"/>
        <v>6.366850397515085E-2</v>
      </c>
    </row>
    <row r="34" spans="1:8" x14ac:dyDescent="0.2">
      <c r="A34" s="224" t="s">
        <v>66</v>
      </c>
      <c r="B34" s="108">
        <f>'T15'!I1</f>
        <v>440.84301198526754</v>
      </c>
      <c r="C34" s="108">
        <f>'T15'!I3</f>
        <v>8.2185939153590262</v>
      </c>
      <c r="D34" s="236">
        <f>'T15'!B15</f>
        <v>0.16093467004790543</v>
      </c>
      <c r="E34" s="236">
        <f t="shared" si="0"/>
        <v>0.15300360751422382</v>
      </c>
      <c r="F34" s="76">
        <f t="shared" si="1"/>
        <v>-7.9310625336816154E-3</v>
      </c>
      <c r="G34" s="76">
        <f t="shared" si="2"/>
        <v>-7.0175573031154126E-2</v>
      </c>
      <c r="H34" s="226">
        <f t="shared" si="3"/>
        <v>6.2244510497472511E-2</v>
      </c>
    </row>
    <row r="35" spans="1:8" x14ac:dyDescent="0.2">
      <c r="A35" s="224" t="s">
        <v>67</v>
      </c>
      <c r="B35" s="108">
        <f>'T16'!I1</f>
        <v>459.07110440857866</v>
      </c>
      <c r="C35" s="108">
        <f>'T16'!I3</f>
        <v>11.382136605289334</v>
      </c>
      <c r="D35" s="236">
        <f>'T16'!B15</f>
        <v>0.16703169753244904</v>
      </c>
      <c r="E35" s="236">
        <f t="shared" si="0"/>
        <v>0.15902793691129152</v>
      </c>
      <c r="F35" s="76">
        <f t="shared" si="1"/>
        <v>-8.003760621157513E-3</v>
      </c>
      <c r="G35" s="76">
        <f t="shared" si="2"/>
        <v>-6.8550727664421551E-2</v>
      </c>
      <c r="H35" s="226">
        <f t="shared" si="3"/>
        <v>6.0546967043264038E-2</v>
      </c>
    </row>
    <row r="36" spans="1:8" x14ac:dyDescent="0.2">
      <c r="A36" s="224" t="s">
        <v>68</v>
      </c>
      <c r="B36" s="108">
        <f>'T17'!I1</f>
        <v>478.05289677576877</v>
      </c>
      <c r="C36" s="108">
        <f>'T17'!I3</f>
        <v>15.546672704686031</v>
      </c>
      <c r="D36" s="236">
        <f>'T17'!B15</f>
        <v>0.17490868126908923</v>
      </c>
      <c r="E36" s="236">
        <f t="shared" si="0"/>
        <v>0.16648246571799794</v>
      </c>
      <c r="F36" s="76">
        <f t="shared" si="1"/>
        <v>-8.4262155510912984E-3</v>
      </c>
      <c r="G36" s="76">
        <f t="shared" si="2"/>
        <v>-6.6858697765524083E-2</v>
      </c>
      <c r="H36" s="226">
        <f t="shared" si="3"/>
        <v>5.8432482214432785E-2</v>
      </c>
    </row>
    <row r="37" spans="1:8" x14ac:dyDescent="0.2">
      <c r="A37" s="224" t="s">
        <v>69</v>
      </c>
      <c r="B37" s="108">
        <f>'T18'!I1</f>
        <v>497.81955326969432</v>
      </c>
      <c r="C37" s="108">
        <f>'T18'!I3</f>
        <v>20.976510874317992</v>
      </c>
      <c r="D37" s="236">
        <f>'T18'!B15</f>
        <v>0.18561435472003968</v>
      </c>
      <c r="E37" s="236">
        <f t="shared" si="0"/>
        <v>0.17613945818733692</v>
      </c>
      <c r="F37" s="76">
        <f t="shared" si="1"/>
        <v>-9.4748965327027534E-3</v>
      </c>
      <c r="G37" s="76">
        <f t="shared" si="2"/>
        <v>-6.5096705370813857E-2</v>
      </c>
      <c r="H37" s="226">
        <f t="shared" si="3"/>
        <v>5.5621808838111103E-2</v>
      </c>
    </row>
    <row r="38" spans="1:8" x14ac:dyDescent="0.2">
      <c r="A38" s="224" t="s">
        <v>70</v>
      </c>
      <c r="B38" s="108">
        <f>'T19'!I1</f>
        <v>518.4035266580139</v>
      </c>
      <c r="C38" s="108">
        <f>'T19'!I3</f>
        <v>28.00886735613841</v>
      </c>
      <c r="D38" s="236">
        <f>'T19'!B15</f>
        <v>0.20140965729662019</v>
      </c>
      <c r="E38" s="236">
        <f t="shared" si="0"/>
        <v>0.18965578732450905</v>
      </c>
      <c r="F38" s="76">
        <f t="shared" si="1"/>
        <v>-1.1753869972111142E-2</v>
      </c>
      <c r="G38" s="76">
        <f t="shared" si="2"/>
        <v>-6.3261857652673822E-2</v>
      </c>
      <c r="H38" s="226">
        <f t="shared" si="3"/>
        <v>5.1507987680562681E-2</v>
      </c>
    </row>
    <row r="39" spans="1:8" x14ac:dyDescent="0.2">
      <c r="A39" s="224" t="s">
        <v>71</v>
      </c>
      <c r="B39" s="108">
        <f>'T20'!I1</f>
        <v>539.83861157393062</v>
      </c>
      <c r="C39" s="108">
        <f>'T20'!I3</f>
        <v>37.098209498714525</v>
      </c>
      <c r="D39" s="236">
        <f>'T20'!B15</f>
        <v>0.22893271681419078</v>
      </c>
      <c r="E39" s="236">
        <f t="shared" si="0"/>
        <v>0.21193635176288284</v>
      </c>
      <c r="F39" s="76">
        <f t="shared" si="1"/>
        <v>-1.6996365051307943E-2</v>
      </c>
      <c r="G39" s="76">
        <f t="shared" si="2"/>
        <v>-6.1351142170092347E-2</v>
      </c>
      <c r="H39" s="226">
        <f t="shared" si="3"/>
        <v>4.4354777118784404E-2</v>
      </c>
    </row>
    <row r="40" spans="1:8" x14ac:dyDescent="0.2">
      <c r="A40" s="224" t="s">
        <v>72</v>
      </c>
      <c r="B40" s="108">
        <f>'T21'!I1</f>
        <v>559.92786115739307</v>
      </c>
      <c r="C40" s="108">
        <f>'T21'!I3</f>
        <v>47.647861753356409</v>
      </c>
      <c r="D40" s="236">
        <f>'T21'!B15</f>
        <v>0.30339147603475525</v>
      </c>
      <c r="E40" s="236">
        <f t="shared" si="0"/>
        <v>0.27281627858057728</v>
      </c>
      <c r="F40" s="76">
        <f t="shared" si="1"/>
        <v>-3.0575197454177971E-2</v>
      </c>
      <c r="G40" s="76">
        <f t="shared" si="2"/>
        <v>-5.9560393947580649E-2</v>
      </c>
      <c r="H40" s="226">
        <f t="shared" si="3"/>
        <v>2.8985196493402678E-2</v>
      </c>
    </row>
    <row r="41" spans="1:8" x14ac:dyDescent="0.2">
      <c r="A41" s="227" t="s">
        <v>80</v>
      </c>
      <c r="B41" s="228">
        <f>C3</f>
        <v>562.16</v>
      </c>
      <c r="C41" s="229">
        <f>Tc!I3</f>
        <v>48.98</v>
      </c>
      <c r="D41" s="237">
        <f>Tc!B15</f>
        <v>0.35785664620253166</v>
      </c>
      <c r="E41" s="237">
        <f t="shared" si="0"/>
        <v>0.35785664620253166</v>
      </c>
      <c r="F41" s="76">
        <f t="shared" si="1"/>
        <v>0</v>
      </c>
      <c r="G41" s="230">
        <f t="shared" si="2"/>
        <v>-5.9361421922857129E-2</v>
      </c>
      <c r="H41" s="226">
        <f t="shared" si="3"/>
        <v>5.9361421922857129E-2</v>
      </c>
    </row>
  </sheetData>
  <phoneticPr fontId="25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80897" r:id="rId4">
          <objectPr defaultSize="0" autoPict="0" r:id="rId5">
            <anchor moveWithCells="1" sizeWithCells="1">
              <from>
                <xdr:col>4</xdr:col>
                <xdr:colOff>600075</xdr:colOff>
                <xdr:row>2</xdr:row>
                <xdr:rowOff>19050</xdr:rowOff>
              </from>
              <to>
                <xdr:col>7</xdr:col>
                <xdr:colOff>371475</xdr:colOff>
                <xdr:row>3</xdr:row>
                <xdr:rowOff>171450</xdr:rowOff>
              </to>
            </anchor>
          </objectPr>
        </oleObject>
      </mc:Choice>
      <mc:Fallback>
        <oleObject progId="Equation.3" shapeId="80897" r:id="rId4"/>
      </mc:Fallback>
    </mc:AlternateContent>
  </oleObjec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O107"/>
  <sheetViews>
    <sheetView workbookViewId="0">
      <selection activeCell="J10" sqref="J10"/>
    </sheetView>
  </sheetViews>
  <sheetFormatPr defaultColWidth="8" defaultRowHeight="12.75" x14ac:dyDescent="0.2"/>
  <cols>
    <col min="1" max="16384" width="8" style="2"/>
  </cols>
  <sheetData>
    <row r="1" spans="1:15" ht="18" x14ac:dyDescent="0.25">
      <c r="A1" s="1" t="s">
        <v>131</v>
      </c>
      <c r="D1" s="2" t="s">
        <v>92</v>
      </c>
      <c r="N1" s="15" t="s">
        <v>45</v>
      </c>
      <c r="O1" s="15" t="s">
        <v>148</v>
      </c>
    </row>
    <row r="2" spans="1:15" x14ac:dyDescent="0.2">
      <c r="D2" s="5"/>
      <c r="N2" s="2">
        <f>'Phase diagram'!C26</f>
        <v>8.0836149165030638E-3</v>
      </c>
      <c r="O2" s="2">
        <f>'Phase diagram'!D26</f>
        <v>0.13085271658314221</v>
      </c>
    </row>
    <row r="3" spans="1:15" x14ac:dyDescent="0.2">
      <c r="N3" s="2">
        <f>'Phase diagram'!C27</f>
        <v>1.6207266195744433E-2</v>
      </c>
      <c r="O3" s="2">
        <f>'Phase diagram'!D27</f>
        <v>0.13173101900813594</v>
      </c>
    </row>
    <row r="4" spans="1:15" x14ac:dyDescent="0.2">
      <c r="B4" s="18"/>
      <c r="N4" s="2">
        <f>'Phase diagram'!C28</f>
        <v>3.1258875210762156E-2</v>
      </c>
      <c r="O4" s="2">
        <f>'Phase diagram'!D28</f>
        <v>0.13269675752520102</v>
      </c>
    </row>
    <row r="5" spans="1:15" x14ac:dyDescent="0.2">
      <c r="N5" s="2">
        <f>'Phase diagram'!C29</f>
        <v>5.811723116708116E-2</v>
      </c>
      <c r="O5" s="2">
        <f>'Phase diagram'!D29</f>
        <v>0.13376234798893852</v>
      </c>
    </row>
    <row r="6" spans="1:15" x14ac:dyDescent="0.2">
      <c r="N6" s="2">
        <f>'Phase diagram'!C30</f>
        <v>0.10437433943134912</v>
      </c>
      <c r="O6" s="2">
        <f>'Phase diagram'!D30</f>
        <v>0.13494275384656634</v>
      </c>
    </row>
    <row r="7" spans="1:15" x14ac:dyDescent="0.2">
      <c r="N7" s="2">
        <f>'Phase diagram'!C31</f>
        <v>0.18143013473605477</v>
      </c>
      <c r="O7" s="2">
        <f>'Phase diagram'!D31</f>
        <v>0.13625617187566796</v>
      </c>
    </row>
    <row r="8" spans="1:15" x14ac:dyDescent="0.2">
      <c r="N8" s="2">
        <f>'Phase diagram'!C32</f>
        <v>0.30584494184815675</v>
      </c>
      <c r="O8" s="2">
        <f>'Phase diagram'!D32</f>
        <v>0.137724952917779</v>
      </c>
    </row>
    <row r="9" spans="1:15" x14ac:dyDescent="0.2">
      <c r="N9" s="2">
        <f>'Phase diagram'!C33</f>
        <v>0.50095379404491969</v>
      </c>
      <c r="O9" s="2">
        <f>'Phase diagram'!D33</f>
        <v>0.13937686391254375</v>
      </c>
    </row>
    <row r="10" spans="1:15" x14ac:dyDescent="0.2">
      <c r="N10" s="2">
        <f>'Phase diagram'!C34</f>
        <v>0.79873897287460038</v>
      </c>
      <c r="O10" s="2">
        <f>'Phase diagram'!D34</f>
        <v>0.14124685775470069</v>
      </c>
    </row>
    <row r="11" spans="1:15" x14ac:dyDescent="0.2">
      <c r="N11" s="2">
        <f>'Phase diagram'!C35</f>
        <v>1.2419565662834327</v>
      </c>
      <c r="O11" s="2">
        <f>'Phase diagram'!D35</f>
        <v>0.14337961869641269</v>
      </c>
    </row>
    <row r="12" spans="1:15" x14ac:dyDescent="0.2">
      <c r="N12" s="2">
        <f>'Phase diagram'!C36</f>
        <v>1.8865230429204805</v>
      </c>
      <c r="O12" s="2">
        <f>'Phase diagram'!D36</f>
        <v>0.14583332788469333</v>
      </c>
    </row>
    <row r="13" spans="1:15" x14ac:dyDescent="0.2">
      <c r="N13" s="2">
        <f>'Phase diagram'!C37</f>
        <v>2.804192214432971</v>
      </c>
      <c r="O13" s="2">
        <f>'Phase diagram'!D37</f>
        <v>0.14868527741384086</v>
      </c>
    </row>
    <row r="14" spans="1:15" x14ac:dyDescent="0.2">
      <c r="N14" s="2">
        <f>'Phase diagram'!C38</f>
        <v>4.0855960438249053</v>
      </c>
      <c r="O14" s="2">
        <f>'Phase diagram'!D38</f>
        <v>0.15204169021393446</v>
      </c>
    </row>
    <row r="15" spans="1:15" x14ac:dyDescent="0.2">
      <c r="N15" s="2">
        <f>'Phase diagram'!C39</f>
        <v>5.8437937282110406</v>
      </c>
      <c r="O15" s="2">
        <f>'Phase diagram'!D39</f>
        <v>0.15605155917878541</v>
      </c>
    </row>
    <row r="16" spans="1:15" x14ac:dyDescent="0.2">
      <c r="N16" s="2">
        <f>'Phase diagram'!C40</f>
        <v>8.2185939153590262</v>
      </c>
      <c r="O16" s="2">
        <f>'Phase diagram'!D40</f>
        <v>0.16093467004790543</v>
      </c>
    </row>
    <row r="17" spans="1:15" x14ac:dyDescent="0.2">
      <c r="N17" s="2">
        <f>'Phase diagram'!C41</f>
        <v>11.382136605289334</v>
      </c>
      <c r="O17" s="2">
        <f>'Phase diagram'!D41</f>
        <v>0.16703169753244904</v>
      </c>
    </row>
    <row r="18" spans="1:15" x14ac:dyDescent="0.2">
      <c r="N18" s="2">
        <f>'Phase diagram'!C42</f>
        <v>15.546672704686031</v>
      </c>
      <c r="O18" s="2">
        <f>'Phase diagram'!D42</f>
        <v>0.17490868126908923</v>
      </c>
    </row>
    <row r="19" spans="1:15" x14ac:dyDescent="0.2">
      <c r="N19" s="2">
        <f>'Phase diagram'!C43</f>
        <v>20.976510874317992</v>
      </c>
      <c r="O19" s="2">
        <f>'Phase diagram'!D43</f>
        <v>0.18561435472003968</v>
      </c>
    </row>
    <row r="20" spans="1:15" x14ac:dyDescent="0.2">
      <c r="N20" s="2">
        <f>'Phase diagram'!C44</f>
        <v>28.00886735613841</v>
      </c>
      <c r="O20" s="2">
        <f>'Phase diagram'!D44</f>
        <v>0.20140965729662019</v>
      </c>
    </row>
    <row r="21" spans="1:15" ht="13.5" thickBot="1" x14ac:dyDescent="0.25">
      <c r="N21" s="2">
        <f>'Phase diagram'!C45</f>
        <v>37.098209498714525</v>
      </c>
      <c r="O21" s="2">
        <f>'Phase diagram'!D45</f>
        <v>0.22893271681419078</v>
      </c>
    </row>
    <row r="22" spans="1:15" x14ac:dyDescent="0.2">
      <c r="A22" s="180">
        <f>1.5</f>
        <v>1.5</v>
      </c>
      <c r="B22" s="181"/>
      <c r="C22" s="181">
        <v>1</v>
      </c>
      <c r="D22" s="181"/>
      <c r="E22" s="181">
        <f>1-'T18'!I2</f>
        <v>0.88554780359629703</v>
      </c>
      <c r="F22" s="181"/>
      <c r="G22" s="181">
        <f>1-'T16'!I2</f>
        <v>0.81662000926529577</v>
      </c>
      <c r="H22" s="181"/>
      <c r="I22" s="181">
        <f>1-'T12'!I2</f>
        <v>0.69444208231522997</v>
      </c>
      <c r="J22" s="181"/>
      <c r="K22" s="181">
        <f>1-'T6'!I2</f>
        <v>0.54457794794572201</v>
      </c>
      <c r="L22" s="51"/>
      <c r="N22" s="2">
        <f>'Phase diagram'!C46</f>
        <v>47.647861753356409</v>
      </c>
      <c r="O22" s="2">
        <f>'Phase diagram'!D46</f>
        <v>0.30339147603475525</v>
      </c>
    </row>
    <row r="23" spans="1:15" x14ac:dyDescent="0.2">
      <c r="A23" s="243" t="s">
        <v>93</v>
      </c>
      <c r="B23" s="220" t="s">
        <v>93</v>
      </c>
      <c r="C23" s="220" t="s">
        <v>94</v>
      </c>
      <c r="D23" s="220" t="s">
        <v>94</v>
      </c>
      <c r="E23" s="182" t="s">
        <v>69</v>
      </c>
      <c r="F23" s="182" t="s">
        <v>69</v>
      </c>
      <c r="G23" s="182" t="s">
        <v>67</v>
      </c>
      <c r="H23" s="182" t="s">
        <v>67</v>
      </c>
      <c r="I23" s="182" t="s">
        <v>63</v>
      </c>
      <c r="J23" s="182" t="s">
        <v>63</v>
      </c>
      <c r="K23" s="182" t="s">
        <v>57</v>
      </c>
      <c r="L23" s="183" t="s">
        <v>57</v>
      </c>
      <c r="N23" s="2">
        <f>'Phase diagram'!C47</f>
        <v>48.98</v>
      </c>
      <c r="O23" s="2">
        <f>'Phase diagram'!D47</f>
        <v>0.35785664620253166</v>
      </c>
    </row>
    <row r="24" spans="1:15" ht="13.5" thickBot="1" x14ac:dyDescent="0.25">
      <c r="A24" s="184" t="s">
        <v>44</v>
      </c>
      <c r="B24" s="185" t="s">
        <v>45</v>
      </c>
      <c r="C24" s="185" t="s">
        <v>44</v>
      </c>
      <c r="D24" s="185" t="s">
        <v>45</v>
      </c>
      <c r="E24" s="185" t="s">
        <v>44</v>
      </c>
      <c r="F24" s="185" t="s">
        <v>45</v>
      </c>
      <c r="G24" s="185" t="s">
        <v>44</v>
      </c>
      <c r="H24" s="185" t="s">
        <v>45</v>
      </c>
      <c r="I24" s="185" t="s">
        <v>44</v>
      </c>
      <c r="J24" s="185" t="s">
        <v>45</v>
      </c>
      <c r="K24" s="185" t="s">
        <v>44</v>
      </c>
      <c r="L24" s="186" t="s">
        <v>45</v>
      </c>
    </row>
    <row r="25" spans="1:15" x14ac:dyDescent="0.2">
      <c r="A25" s="61">
        <f>'1.5 Tc'!A21</f>
        <v>0.02</v>
      </c>
      <c r="B25" s="34">
        <f>'1.5 Tc'!B21</f>
        <v>-1524.350400608465</v>
      </c>
      <c r="C25" s="34">
        <f>Tc!A21</f>
        <v>0.12047840422151899</v>
      </c>
      <c r="D25" s="34">
        <f>Tc!B21</f>
        <v>37887.597686501365</v>
      </c>
      <c r="E25" s="34">
        <f>'T18'!A21</f>
        <v>0.11929554873417722</v>
      </c>
      <c r="F25" s="34">
        <f>'T18'!B21</f>
        <v>4137665.7257436458</v>
      </c>
      <c r="G25" s="34">
        <f>'T16'!A21</f>
        <v>0.11929554873417722</v>
      </c>
      <c r="H25" s="34">
        <f>'T16'!B21</f>
        <v>3815406.3906968134</v>
      </c>
      <c r="I25" s="34">
        <f>'T12'!A21</f>
        <v>0.11929554873417722</v>
      </c>
      <c r="J25" s="34">
        <f>'T12'!B21</f>
        <v>3244170.5859191287</v>
      </c>
      <c r="K25" s="34">
        <f>'T6'!A21</f>
        <v>0.11929554873417722</v>
      </c>
      <c r="L25" s="160">
        <f>'T6'!B21</f>
        <v>2543447.1294419654</v>
      </c>
    </row>
    <row r="26" spans="1:15" x14ac:dyDescent="0.2">
      <c r="A26" s="61">
        <f>'1.5 Tc'!A22</f>
        <v>2.2000000000000002E-2</v>
      </c>
      <c r="B26" s="34">
        <f>'1.5 Tc'!B22</f>
        <v>-1512.7308496156561</v>
      </c>
      <c r="C26" s="34">
        <f>Tc!A22</f>
        <v>0.12650232443259496</v>
      </c>
      <c r="D26" s="34">
        <f>Tc!B22</f>
        <v>5300.8191005915069</v>
      </c>
      <c r="E26" s="34">
        <f>'T18'!A22</f>
        <v>0.1371898810443038</v>
      </c>
      <c r="F26" s="34">
        <f>'T18'!B22</f>
        <v>1207.8857803238961</v>
      </c>
      <c r="G26" s="34">
        <f>'T16'!A22</f>
        <v>0.1371898810443038</v>
      </c>
      <c r="H26" s="34">
        <f>'T16'!B22</f>
        <v>963.69449814180359</v>
      </c>
      <c r="I26" s="34">
        <f>'T12'!A22</f>
        <v>0.1371898810443038</v>
      </c>
      <c r="J26" s="34">
        <f>'T12'!B22</f>
        <v>519.37240529847031</v>
      </c>
      <c r="K26" s="34">
        <f>'T6'!A22</f>
        <v>0.1371898810443038</v>
      </c>
      <c r="L26" s="160">
        <f>'T6'!B22</f>
        <v>-57.693160855421738</v>
      </c>
    </row>
    <row r="27" spans="1:15" x14ac:dyDescent="0.2">
      <c r="A27" s="61">
        <f>'1.5 Tc'!A23</f>
        <v>2.4200000000000003E-2</v>
      </c>
      <c r="B27" s="34">
        <f>'1.5 Tc'!B23</f>
        <v>-1502.0754539609979</v>
      </c>
      <c r="C27" s="34">
        <f>Tc!A23</f>
        <v>0.13282744065422472</v>
      </c>
      <c r="D27" s="34">
        <f>Tc!B23</f>
        <v>2385.0211514109019</v>
      </c>
      <c r="E27" s="34">
        <f>'T18'!A23</f>
        <v>0.15776836320094936</v>
      </c>
      <c r="F27" s="34">
        <f>'T18'!B23</f>
        <v>240.85904837324924</v>
      </c>
      <c r="G27" s="34">
        <f>'T16'!A23</f>
        <v>0.15776836320094936</v>
      </c>
      <c r="H27" s="34">
        <f>'T16'!B23</f>
        <v>108.55843359680584</v>
      </c>
      <c r="I27" s="34">
        <f>'T12'!A23</f>
        <v>0.15776836320094936</v>
      </c>
      <c r="J27" s="34">
        <f>'T12'!B23</f>
        <v>-134.63220876420644</v>
      </c>
      <c r="K27" s="34">
        <f>'T6'!A23</f>
        <v>0.15776836320094936</v>
      </c>
      <c r="L27" s="160">
        <f>'T6'!B23</f>
        <v>-457.17135914615704</v>
      </c>
      <c r="N27" s="2">
        <f>N22</f>
        <v>47.647861753356409</v>
      </c>
      <c r="O27" s="2">
        <f>'Phase diagram'!F46</f>
        <v>0.43285019074197167</v>
      </c>
    </row>
    <row r="28" spans="1:15" x14ac:dyDescent="0.2">
      <c r="A28" s="61">
        <f>'1.5 Tc'!A24</f>
        <v>2.6620000000000005E-2</v>
      </c>
      <c r="B28" s="34">
        <f>'1.5 Tc'!B24</f>
        <v>-1492.8713472831132</v>
      </c>
      <c r="C28" s="34">
        <f>Tc!A24</f>
        <v>0.13946881268693595</v>
      </c>
      <c r="D28" s="34">
        <f>Tc!B24</f>
        <v>1348.4267683156963</v>
      </c>
      <c r="E28" s="34">
        <f>'T18'!A24</f>
        <v>0.18143361768109176</v>
      </c>
      <c r="F28" s="34">
        <f>'T18'!B24</f>
        <v>34.843128255667544</v>
      </c>
      <c r="G28" s="34">
        <f>'T16'!A24</f>
        <v>0.18143361768109176</v>
      </c>
      <c r="H28" s="34">
        <f>'T16'!B24</f>
        <v>-53.731337273540191</v>
      </c>
      <c r="I28" s="34">
        <f>'T12'!A24</f>
        <v>0.18143361768109176</v>
      </c>
      <c r="J28" s="34">
        <f>'T12'!B24</f>
        <v>-217.29823700819878</v>
      </c>
      <c r="K28" s="34">
        <f>'T6'!A24</f>
        <v>0.18143361768109176</v>
      </c>
      <c r="L28" s="160">
        <f>'T6'!B24</f>
        <v>-436.25934471140533</v>
      </c>
      <c r="N28" s="2">
        <f>N21</f>
        <v>37.098209498714525</v>
      </c>
      <c r="O28" s="2">
        <f>'Phase diagram'!F45</f>
        <v>0.71927521987358511</v>
      </c>
    </row>
    <row r="29" spans="1:15" x14ac:dyDescent="0.2">
      <c r="A29" s="61">
        <f>'1.5 Tc'!A25</f>
        <v>2.9282000000000006E-2</v>
      </c>
      <c r="B29" s="34">
        <f>'1.5 Tc'!B25</f>
        <v>-1485.7399210904246</v>
      </c>
      <c r="C29" s="34">
        <f>Tc!A25</f>
        <v>0.14644225332128274</v>
      </c>
      <c r="D29" s="34">
        <f>Tc!B25</f>
        <v>843.69710046041689</v>
      </c>
      <c r="E29" s="34">
        <f>'T18'!A25</f>
        <v>0.20864866033325549</v>
      </c>
      <c r="F29" s="34">
        <f>'T18'!B25</f>
        <v>-14.072525073152939</v>
      </c>
      <c r="G29" s="34">
        <f>'T16'!A25</f>
        <v>0.20864866033325549</v>
      </c>
      <c r="H29" s="34">
        <f>'T16'!B25</f>
        <v>-77.901484489224899</v>
      </c>
      <c r="I29" s="34">
        <f>'T12'!A25</f>
        <v>0.20864866033325549</v>
      </c>
      <c r="J29" s="34">
        <f>'T12'!B25</f>
        <v>-196.0050096908387</v>
      </c>
      <c r="K29" s="34">
        <f>'T6'!A25</f>
        <v>0.20864866033325549</v>
      </c>
      <c r="L29" s="160">
        <f>'T6'!B25</f>
        <v>-354.730836718918</v>
      </c>
      <c r="N29" s="2">
        <f>N20</f>
        <v>28.00886735613841</v>
      </c>
      <c r="O29" s="2">
        <f>'Phase diagram'!F44</f>
        <v>1.0514486356817634</v>
      </c>
    </row>
    <row r="30" spans="1:15" x14ac:dyDescent="0.2">
      <c r="A30" s="61">
        <f>'1.5 Tc'!A26</f>
        <v>3.2210200000000008E-2</v>
      </c>
      <c r="B30" s="34">
        <f>'1.5 Tc'!B26</f>
        <v>-1481.4791309822717</v>
      </c>
      <c r="C30" s="34">
        <f>Tc!A26</f>
        <v>0.15376436598734688</v>
      </c>
      <c r="D30" s="34">
        <f>Tc!B26</f>
        <v>559.76102002698576</v>
      </c>
      <c r="E30" s="34">
        <f>'T18'!A26</f>
        <v>0.23994595938324378</v>
      </c>
      <c r="F30" s="34">
        <f>'T18'!B26</f>
        <v>-17.832653857615661</v>
      </c>
      <c r="G30" s="34">
        <f>'T16'!A26</f>
        <v>0.23994595938324378</v>
      </c>
      <c r="H30" s="34">
        <f>'T16'!B26</f>
        <v>-65.536733721197962</v>
      </c>
      <c r="I30" s="34">
        <f>'T12'!A26</f>
        <v>0.23994595938324378</v>
      </c>
      <c r="J30" s="34">
        <f>'T12'!B26</f>
        <v>-153.84772227046327</v>
      </c>
      <c r="K30" s="34">
        <f>'T6'!A26</f>
        <v>0.23994595938324378</v>
      </c>
      <c r="L30" s="160">
        <f>'T6'!B26</f>
        <v>-272.65015898285509</v>
      </c>
      <c r="N30" s="2">
        <f>N19</f>
        <v>20.976510874317992</v>
      </c>
      <c r="O30" s="2">
        <f>'Phase diagram'!F43</f>
        <v>1.4754815179520717</v>
      </c>
    </row>
    <row r="31" spans="1:15" x14ac:dyDescent="0.2">
      <c r="A31" s="61">
        <f>'1.5 Tc'!A27</f>
        <v>3.5431220000000013E-2</v>
      </c>
      <c r="B31" s="34">
        <f>'1.5 Tc'!B27</f>
        <v>-1481.1249364311818</v>
      </c>
      <c r="C31" s="34">
        <f>Tc!A27</f>
        <v>0.16145258428671425</v>
      </c>
      <c r="D31" s="34">
        <f>Tc!B27</f>
        <v>386.58362791028497</v>
      </c>
      <c r="E31" s="34">
        <f>'T18'!A27</f>
        <v>0.27593785329073034</v>
      </c>
      <c r="F31" s="34">
        <f>'T18'!B27</f>
        <v>-8.6472713192010993</v>
      </c>
      <c r="G31" s="34">
        <f>'T16'!A27</f>
        <v>0.27593785329073034</v>
      </c>
      <c r="H31" s="34">
        <f>'T16'!B27</f>
        <v>-45.094886198159763</v>
      </c>
      <c r="I31" s="34">
        <f>'T12'!A27</f>
        <v>0.27593785329073034</v>
      </c>
      <c r="J31" s="34">
        <f>'T12'!B27</f>
        <v>-112.53800503317332</v>
      </c>
      <c r="K31" s="34">
        <f>'T6'!A27</f>
        <v>0.27593785329073034</v>
      </c>
      <c r="L31" s="160">
        <f>'T6'!B27</f>
        <v>-203.18825870660538</v>
      </c>
      <c r="N31" s="2">
        <f>N18</f>
        <v>15.546672704686031</v>
      </c>
      <c r="O31" s="2">
        <f>'Phase diagram'!F42</f>
        <v>2.041521578691778</v>
      </c>
    </row>
    <row r="32" spans="1:15" x14ac:dyDescent="0.2">
      <c r="A32" s="61">
        <f>'1.5 Tc'!A28</f>
        <v>3.8974342000000016E-2</v>
      </c>
      <c r="B32" s="34">
        <f>'1.5 Tc'!B28</f>
        <v>-1486.0435227546761</v>
      </c>
      <c r="C32" s="34">
        <f>Tc!A28</f>
        <v>0.16952521350104996</v>
      </c>
      <c r="D32" s="34">
        <f>Tc!B28</f>
        <v>275.58624726769546</v>
      </c>
      <c r="E32" s="34">
        <f>'T18'!A28</f>
        <v>0.31732853128433985</v>
      </c>
      <c r="F32" s="34">
        <f>'T18'!B28</f>
        <v>2.671698266198109</v>
      </c>
      <c r="G32" s="34">
        <f>'T16'!A28</f>
        <v>0.31732853128433985</v>
      </c>
      <c r="H32" s="34">
        <f>'T16'!B28</f>
        <v>-25.604829162007771</v>
      </c>
      <c r="I32" s="34">
        <f>'T12'!A28</f>
        <v>0.31732853128433985</v>
      </c>
      <c r="J32" s="34">
        <f>'T12'!B28</f>
        <v>-77.872246910745091</v>
      </c>
      <c r="K32" s="34">
        <f>'T6'!A28</f>
        <v>0.31732853128433985</v>
      </c>
      <c r="L32" s="160">
        <f>'T6'!B28</f>
        <v>-147.97554741161571</v>
      </c>
      <c r="N32" s="2">
        <f>N17</f>
        <v>11.382136605289334</v>
      </c>
      <c r="O32" s="2">
        <f>'Phase diagram'!F41</f>
        <v>2.8158083277094557</v>
      </c>
    </row>
    <row r="33" spans="1:15" x14ac:dyDescent="0.2">
      <c r="A33" s="61">
        <f>'1.5 Tc'!A29</f>
        <v>4.2871776200000024E-2</v>
      </c>
      <c r="B33" s="34">
        <f>'1.5 Tc'!B29</f>
        <v>-1498.0747186074213</v>
      </c>
      <c r="C33" s="34">
        <f>Tc!A29</f>
        <v>0.17800147417610246</v>
      </c>
      <c r="D33" s="34">
        <f>Tc!B29</f>
        <v>202.15379265691067</v>
      </c>
      <c r="E33" s="34">
        <f>'T18'!A29</f>
        <v>0.36492781097699079</v>
      </c>
      <c r="F33" s="34">
        <f>'T18'!B29</f>
        <v>12.487297607342425</v>
      </c>
      <c r="G33" s="34">
        <f>'T16'!A29</f>
        <v>0.36492781097699079</v>
      </c>
      <c r="H33" s="34">
        <f>'T16'!B29</f>
        <v>-9.7085409981214248</v>
      </c>
      <c r="I33" s="34">
        <f>'T12'!A29</f>
        <v>0.36492781097699079</v>
      </c>
      <c r="J33" s="34">
        <f>'T12'!B29</f>
        <v>-50.674352041831533</v>
      </c>
      <c r="K33" s="34">
        <f>'T6'!A29</f>
        <v>0.36492781097699079</v>
      </c>
      <c r="L33" s="160">
        <f>'T6'!B29</f>
        <v>-105.45390181384093</v>
      </c>
      <c r="N33" s="2">
        <f>N16</f>
        <v>8.2185939153590262</v>
      </c>
      <c r="O33" s="2">
        <f>'Phase diagram'!F40</f>
        <v>3.8954454897186128</v>
      </c>
    </row>
    <row r="34" spans="1:15" x14ac:dyDescent="0.2">
      <c r="A34" s="61">
        <f>'1.5 Tc'!A30</f>
        <v>4.715895382000003E-2</v>
      </c>
      <c r="B34" s="34">
        <f>'1.5 Tc'!B30</f>
        <v>-1519.763878446284</v>
      </c>
      <c r="C34" s="34">
        <f>Tc!A30</f>
        <v>0.18690154788490759</v>
      </c>
      <c r="D34" s="34">
        <f>Tc!B30</f>
        <v>152.587140093427</v>
      </c>
      <c r="E34" s="34">
        <f>'T18'!A30</f>
        <v>0.41966698262353935</v>
      </c>
      <c r="F34" s="34">
        <f>'T18'!B30</f>
        <v>19.825990487563921</v>
      </c>
      <c r="G34" s="34">
        <f>'T16'!A30</f>
        <v>0.41966698262353935</v>
      </c>
      <c r="H34" s="34">
        <f>'T16'!B30</f>
        <v>2.234510804491856</v>
      </c>
      <c r="I34" s="34">
        <f>'T12'!A30</f>
        <v>0.41966698262353935</v>
      </c>
      <c r="J34" s="34">
        <f>'T12'!B30</f>
        <v>-30.174167666542672</v>
      </c>
      <c r="K34" s="34">
        <f>'T6'!A30</f>
        <v>0.41966698262353935</v>
      </c>
      <c r="L34" s="160">
        <f>'T6'!B30</f>
        <v>-73.352661475403295</v>
      </c>
      <c r="N34" s="2">
        <f>N15</f>
        <v>5.8437937282110406</v>
      </c>
      <c r="O34" s="2">
        <f>'Phase diagram'!F39</f>
        <v>5.4280833101355412</v>
      </c>
    </row>
    <row r="35" spans="1:15" x14ac:dyDescent="0.2">
      <c r="A35" s="61">
        <f>'1.5 Tc'!A31</f>
        <v>5.1874849202000035E-2</v>
      </c>
      <c r="B35" s="34">
        <f>'1.5 Tc'!B31</f>
        <v>-1554.7536973375295</v>
      </c>
      <c r="C35" s="34">
        <f>Tc!A31</f>
        <v>0.19624662527915299</v>
      </c>
      <c r="D35" s="34">
        <f>Tc!B31</f>
        <v>118.73062633755529</v>
      </c>
      <c r="E35" s="34">
        <f>'T18'!A31</f>
        <v>0.48261703001707024</v>
      </c>
      <c r="F35" s="34">
        <f>'T18'!B31</f>
        <v>24.719455236563263</v>
      </c>
      <c r="G35" s="34">
        <f>'T16'!A31</f>
        <v>0.48261703001707024</v>
      </c>
      <c r="H35" s="34">
        <f>'T16'!B31</f>
        <v>10.660565117296811</v>
      </c>
      <c r="I35" s="34">
        <f>'T12'!A31</f>
        <v>0.48261703001707024</v>
      </c>
      <c r="J35" s="34">
        <f>'T12'!B31</f>
        <v>-15.187233721940647</v>
      </c>
      <c r="K35" s="34">
        <f>'T6'!A31</f>
        <v>0.48261703001707024</v>
      </c>
      <c r="L35" s="160">
        <f>'T6'!B31</f>
        <v>-49.482706204450707</v>
      </c>
      <c r="N35" s="2">
        <f>N14</f>
        <v>4.0855960438249053</v>
      </c>
      <c r="O35" s="2">
        <f>'Phase diagram'!F38</f>
        <v>7.6435197673646131</v>
      </c>
    </row>
    <row r="36" spans="1:15" x14ac:dyDescent="0.2">
      <c r="A36" s="61">
        <f>'1.5 Tc'!A32</f>
        <v>5.7062334122200041E-2</v>
      </c>
      <c r="B36" s="34">
        <f>'1.5 Tc'!B32</f>
        <v>-1608.4813679475615</v>
      </c>
      <c r="C36" s="34">
        <f>Tc!A32</f>
        <v>0.20605895654311066</v>
      </c>
      <c r="D36" s="34">
        <f>Tc!B32</f>
        <v>95.479107774686199</v>
      </c>
      <c r="E36" s="34">
        <f>'T18'!A32</f>
        <v>0.55500958451963078</v>
      </c>
      <c r="F36" s="34">
        <f>'T18'!B32</f>
        <v>27.54466200837599</v>
      </c>
      <c r="G36" s="34">
        <f>'T16'!A32</f>
        <v>0.55500958451963078</v>
      </c>
      <c r="H36" s="34">
        <f>'T16'!B32</f>
        <v>16.225020453699926</v>
      </c>
      <c r="I36" s="34">
        <f>'T12'!A32</f>
        <v>0.55500958451963078</v>
      </c>
      <c r="J36" s="34">
        <f>'T12'!B32</f>
        <v>-4.5410942649577279</v>
      </c>
      <c r="K36" s="34">
        <f>'T6'!A32</f>
        <v>0.55500958451963078</v>
      </c>
      <c r="L36" s="160">
        <f>'T6'!B32</f>
        <v>-31.971654842202625</v>
      </c>
      <c r="N36" s="2">
        <f>N13</f>
        <v>2.804192214432971</v>
      </c>
      <c r="O36" s="2">
        <f>'Phase diagram'!F37</f>
        <v>10.907111486584226</v>
      </c>
    </row>
    <row r="37" spans="1:15" x14ac:dyDescent="0.2">
      <c r="A37" s="61">
        <f>'1.5 Tc'!A33</f>
        <v>6.2768567534420047E-2</v>
      </c>
      <c r="B37" s="34">
        <f>'1.5 Tc'!B33</f>
        <v>-1689.4991622877767</v>
      </c>
      <c r="C37" s="34">
        <f>Tc!A33</f>
        <v>0.2163619043702662</v>
      </c>
      <c r="D37" s="34">
        <f>Tc!B33</f>
        <v>79.512659137376616</v>
      </c>
      <c r="E37" s="34">
        <f>'T18'!A33</f>
        <v>0.6382610221975753</v>
      </c>
      <c r="F37" s="34">
        <f>'T18'!B33</f>
        <v>28.754166818149951</v>
      </c>
      <c r="G37" s="34">
        <f>'T16'!A33</f>
        <v>0.6382610221975753</v>
      </c>
      <c r="H37" s="34">
        <f>'T16'!B33</f>
        <v>19.577926116932147</v>
      </c>
      <c r="I37" s="34">
        <f>'T12'!A33</f>
        <v>0.6382610221975753</v>
      </c>
      <c r="J37" s="34">
        <f>'T12'!B33</f>
        <v>2.7821582288027367</v>
      </c>
      <c r="K37" s="34">
        <f>'T6'!A33</f>
        <v>0.6382610221975753</v>
      </c>
      <c r="L37" s="160">
        <f>'T6'!B33</f>
        <v>-19.300704516432479</v>
      </c>
      <c r="N37" s="2">
        <f>N12</f>
        <v>1.8865230429204805</v>
      </c>
      <c r="O37" s="2">
        <f>'Phase diagram'!F36</f>
        <v>15.812312715495965</v>
      </c>
    </row>
    <row r="38" spans="1:15" x14ac:dyDescent="0.2">
      <c r="A38" s="61">
        <f>'1.5 Tc'!A34</f>
        <v>6.9045424287862062E-2</v>
      </c>
      <c r="B38" s="34">
        <f>'1.5 Tc'!B34</f>
        <v>-1812.1800204094789</v>
      </c>
      <c r="C38" s="34">
        <f>Tc!A34</f>
        <v>0.22717999958877952</v>
      </c>
      <c r="D38" s="34">
        <f>Tc!B34</f>
        <v>68.607881467236879</v>
      </c>
      <c r="E38" s="34">
        <f>'T18'!A34</f>
        <v>0.73400017552721153</v>
      </c>
      <c r="F38" s="34">
        <f>'T18'!B34</f>
        <v>28.769607924494785</v>
      </c>
      <c r="G38" s="34">
        <f>'T16'!A34</f>
        <v>0.73400017552721153</v>
      </c>
      <c r="H38" s="34">
        <f>'T16'!B34</f>
        <v>21.284070276814091</v>
      </c>
      <c r="I38" s="34">
        <f>'T12'!A34</f>
        <v>0.73400017552721153</v>
      </c>
      <c r="J38" s="34">
        <f>'T12'!B34</f>
        <v>7.6145052324548486</v>
      </c>
      <c r="K38" s="34">
        <f>'T6'!A34</f>
        <v>0.73400017552721153</v>
      </c>
      <c r="L38" s="160">
        <f>'T6'!B34</f>
        <v>-10.27256894954072</v>
      </c>
      <c r="N38" s="2">
        <f>N11</f>
        <v>1.2419565662834327</v>
      </c>
      <c r="O38" s="2">
        <f>'Phase diagram'!F35</f>
        <v>23.344750820334983</v>
      </c>
    </row>
    <row r="39" spans="1:15" x14ac:dyDescent="0.2">
      <c r="A39" s="61">
        <f>'1.5 Tc'!A35</f>
        <v>7.5949966716648276E-2</v>
      </c>
      <c r="B39" s="34">
        <f>'1.5 Tc'!B35</f>
        <v>-2002.8558279960562</v>
      </c>
      <c r="C39" s="34">
        <f>Tc!A35</f>
        <v>0.23172359958055511</v>
      </c>
      <c r="D39" s="34">
        <f>Tc!B35</f>
        <v>65.259894926199848</v>
      </c>
      <c r="E39" s="34">
        <f>'T18'!A35</f>
        <v>0.8441002018562932</v>
      </c>
      <c r="F39" s="34">
        <f>'T18'!B35</f>
        <v>27.945690583240811</v>
      </c>
      <c r="G39" s="34">
        <f>'T16'!A35</f>
        <v>0.8441002018562932</v>
      </c>
      <c r="H39" s="34">
        <f>'T16'!B35</f>
        <v>21.803606841145516</v>
      </c>
      <c r="I39" s="34">
        <f>'T12'!A35</f>
        <v>0.8441002018562932</v>
      </c>
      <c r="J39" s="34">
        <f>'T12'!B35</f>
        <v>10.613186009708002</v>
      </c>
      <c r="K39" s="34">
        <f>'T6'!A35</f>
        <v>0.8441002018562932</v>
      </c>
      <c r="L39" s="160">
        <f>'T6'!B35</f>
        <v>-3.9598590942625922</v>
      </c>
      <c r="N39" s="2">
        <f>N10</f>
        <v>0.79873897287460038</v>
      </c>
      <c r="O39" s="2">
        <f>'Phase diagram'!F34</f>
        <v>35.180248120405857</v>
      </c>
    </row>
    <row r="40" spans="1:15" x14ac:dyDescent="0.2">
      <c r="A40" s="61">
        <f>'1.5 Tc'!A36</f>
        <v>8.3544963388313104E-2</v>
      </c>
      <c r="B40" s="34">
        <f>'1.5 Tc'!B36</f>
        <v>-2315.8197714423768</v>
      </c>
      <c r="C40" s="34">
        <f>Tc!A36</f>
        <v>0.23635807157216621</v>
      </c>
      <c r="D40" s="34">
        <f>Tc!B36</f>
        <v>62.411869902535251</v>
      </c>
      <c r="E40" s="34">
        <f>'T18'!A36</f>
        <v>0.97071523213473709</v>
      </c>
      <c r="F40" s="34">
        <f>'T18'!B36</f>
        <v>26.564454549275361</v>
      </c>
      <c r="G40" s="34">
        <f>'T16'!A36</f>
        <v>0.97071523213473709</v>
      </c>
      <c r="H40" s="34">
        <f>'T16'!B36</f>
        <v>21.497233292485198</v>
      </c>
      <c r="I40" s="34">
        <f>'T12'!A36</f>
        <v>0.97071523213473709</v>
      </c>
      <c r="J40" s="34">
        <f>'T12'!B36</f>
        <v>12.286014555266725</v>
      </c>
      <c r="K40" s="34">
        <f>'T6'!A36</f>
        <v>0.97071523213473709</v>
      </c>
      <c r="L40" s="160">
        <f>'T6'!B36</f>
        <v>0.34717032180672502</v>
      </c>
      <c r="N40" s="2">
        <f>N9</f>
        <v>0.50095379404491969</v>
      </c>
      <c r="O40" s="2">
        <f>'Phase diagram'!F33</f>
        <v>54.239504994725849</v>
      </c>
    </row>
    <row r="41" spans="1:15" x14ac:dyDescent="0.2">
      <c r="A41" s="61">
        <f>'1.5 Tc'!A37</f>
        <v>9.1899459727144417E-2</v>
      </c>
      <c r="B41" s="34">
        <f>'1.5 Tc'!B37</f>
        <v>-2884.424720909572</v>
      </c>
      <c r="C41" s="34">
        <f>Tc!A37</f>
        <v>0.24108523300360954</v>
      </c>
      <c r="D41" s="34">
        <f>Tc!B37</f>
        <v>59.996433251859273</v>
      </c>
      <c r="E41" s="34">
        <f>'T18'!A37</f>
        <v>1.1163225169549476</v>
      </c>
      <c r="F41" s="34">
        <f>'T18'!B37</f>
        <v>24.841770205474166</v>
      </c>
      <c r="G41" s="34">
        <f>'T16'!A37</f>
        <v>1.1163225169549476</v>
      </c>
      <c r="H41" s="34">
        <f>'T16'!B37</f>
        <v>20.6400935741352</v>
      </c>
      <c r="I41" s="34">
        <f>'T12'!A37</f>
        <v>1.1163225169549476</v>
      </c>
      <c r="J41" s="34">
        <f>'T12'!B37</f>
        <v>13.019016235386568</v>
      </c>
      <c r="K41" s="34">
        <f>'T6'!A37</f>
        <v>1.1163225169549476</v>
      </c>
      <c r="L41" s="160">
        <f>'T6'!B37</f>
        <v>3.1867923939078993</v>
      </c>
      <c r="N41" s="2">
        <f>N8</f>
        <v>0.30584494184815675</v>
      </c>
      <c r="O41" s="2">
        <f>'Phase diagram'!F32</f>
        <v>85.747773096660865</v>
      </c>
    </row>
    <row r="42" spans="1:15" x14ac:dyDescent="0.2">
      <c r="A42" s="61">
        <f>'1.5 Tc'!A38</f>
        <v>0.10108940569985887</v>
      </c>
      <c r="B42" s="34">
        <f>'1.5 Tc'!B38</f>
        <v>-4148.7451984217123</v>
      </c>
      <c r="C42" s="34">
        <f>Tc!A38</f>
        <v>0.24590693766368174</v>
      </c>
      <c r="D42" s="34">
        <f>Tc!B38</f>
        <v>57.955094840277887</v>
      </c>
      <c r="E42" s="34">
        <f>'T18'!A38</f>
        <v>1.2837708944981896</v>
      </c>
      <c r="F42" s="34">
        <f>'T18'!B38</f>
        <v>22.937876830970236</v>
      </c>
      <c r="G42" s="34">
        <f>'T16'!A38</f>
        <v>1.2837708944981896</v>
      </c>
      <c r="H42" s="34">
        <f>'T16'!B38</f>
        <v>19.437479003281855</v>
      </c>
      <c r="I42" s="34">
        <f>'T12'!A38</f>
        <v>1.2837708944981896</v>
      </c>
      <c r="J42" s="34">
        <f>'T12'!B38</f>
        <v>13.101737144272342</v>
      </c>
      <c r="K42" s="34">
        <f>'T6'!A38</f>
        <v>1.2837708944981896</v>
      </c>
      <c r="L42" s="160">
        <f>'T6'!B38</f>
        <v>4.9641803364492532</v>
      </c>
      <c r="N42" s="2">
        <f>N7</f>
        <v>0.18143013473605477</v>
      </c>
      <c r="O42" s="2">
        <f>'Phase diagram'!F31</f>
        <v>139.31528939032131</v>
      </c>
    </row>
    <row r="43" spans="1:15" x14ac:dyDescent="0.2">
      <c r="A43" s="61">
        <f>'1.5 Tc'!A39</f>
        <v>0.11119834626984477</v>
      </c>
      <c r="B43" s="34">
        <f>'1.5 Tc'!B39</f>
        <v>-8937.7238263663403</v>
      </c>
      <c r="C43" s="34">
        <f>Tc!A39</f>
        <v>0.25082507641695539</v>
      </c>
      <c r="D43" s="34">
        <f>Tc!B39</f>
        <v>56.23698593664583</v>
      </c>
      <c r="E43" s="34">
        <f>'T18'!A39</f>
        <v>1.476336528672918</v>
      </c>
      <c r="F43" s="34">
        <f>'T18'!B39</f>
        <v>20.968332690693636</v>
      </c>
      <c r="G43" s="34">
        <f>'T16'!A39</f>
        <v>1.476336528672918</v>
      </c>
      <c r="H43" s="34">
        <f>'T16'!B39</f>
        <v>18.039449981468334</v>
      </c>
      <c r="I43" s="34">
        <f>'T12'!A39</f>
        <v>1.476336528672918</v>
      </c>
      <c r="J43" s="34">
        <f>'T12'!B39</f>
        <v>12.748719804265249</v>
      </c>
      <c r="K43" s="34">
        <f>'T6'!A39</f>
        <v>1.476336528672918</v>
      </c>
      <c r="L43" s="160">
        <f>'T6'!B39</f>
        <v>5.9822560490688419</v>
      </c>
      <c r="N43" s="2">
        <f>N6</f>
        <v>0.10437433943134912</v>
      </c>
      <c r="O43" s="2">
        <f>'Phase diagram'!F30</f>
        <v>233.14094623355646</v>
      </c>
    </row>
    <row r="44" spans="1:15" x14ac:dyDescent="0.2">
      <c r="A44" s="61">
        <f>'1.5 Tc'!A40</f>
        <v>0.12231818089682926</v>
      </c>
      <c r="B44" s="34">
        <f>'1.5 Tc'!B40</f>
        <v>22876.555791478324</v>
      </c>
      <c r="C44" s="34">
        <f>Tc!A40</f>
        <v>0.2558415779452945</v>
      </c>
      <c r="D44" s="34">
        <f>Tc!B40</f>
        <v>54.797797817839779</v>
      </c>
      <c r="E44" s="34">
        <f>'T18'!A40</f>
        <v>1.6977870079738555</v>
      </c>
      <c r="F44" s="34">
        <f>'T18'!B40</f>
        <v>19.013888339982572</v>
      </c>
      <c r="G44" s="34">
        <f>'T16'!A40</f>
        <v>1.6977870079738555</v>
      </c>
      <c r="H44" s="34">
        <f>'T16'!B40</f>
        <v>16.553361542746789</v>
      </c>
      <c r="I44" s="34">
        <f>'T12'!A40</f>
        <v>1.6977870079738555</v>
      </c>
      <c r="J44" s="34">
        <f>'T12'!B40</f>
        <v>12.116991466705521</v>
      </c>
      <c r="K44" s="34">
        <f>'T6'!A40</f>
        <v>1.6977870079738555</v>
      </c>
      <c r="L44" s="160">
        <f>'T6'!B40</f>
        <v>6.4659959836210188</v>
      </c>
      <c r="N44" s="2">
        <f>N5</f>
        <v>5.811723116708116E-2</v>
      </c>
      <c r="O44" s="2">
        <f>'Phase diagram'!F29</f>
        <v>402.76720497530511</v>
      </c>
    </row>
    <row r="45" spans="1:15" x14ac:dyDescent="0.2">
      <c r="A45" s="61">
        <f>'1.5 Tc'!A41</f>
        <v>0.13454999898651221</v>
      </c>
      <c r="B45" s="34">
        <f>'1.5 Tc'!B41</f>
        <v>4375.1122590528284</v>
      </c>
      <c r="C45" s="34">
        <f>Tc!A41</f>
        <v>0.26095840950420041</v>
      </c>
      <c r="D45" s="34">
        <f>Tc!B41</f>
        <v>53.598884962328633</v>
      </c>
      <c r="E45" s="34">
        <f>'T18'!A41</f>
        <v>1.9524550591699337</v>
      </c>
      <c r="F45" s="34">
        <f>'T18'!B41</f>
        <v>17.128798640174793</v>
      </c>
      <c r="G45" s="34">
        <f>'T16'!A41</f>
        <v>1.9524550591699337</v>
      </c>
      <c r="H45" s="34">
        <f>'T16'!B41</f>
        <v>15.054114967401997</v>
      </c>
      <c r="I45" s="34">
        <f>'T12'!A41</f>
        <v>1.9524550591699337</v>
      </c>
      <c r="J45" s="34">
        <f>'T12'!B41</f>
        <v>11.319951505857484</v>
      </c>
      <c r="K45" s="34">
        <f>'T6'!A41</f>
        <v>1.9524550591699337</v>
      </c>
      <c r="L45" s="160">
        <f>'T6'!B41</f>
        <v>6.5813303621101094</v>
      </c>
      <c r="N45" s="2">
        <f>N4</f>
        <v>3.1258875210762156E-2</v>
      </c>
      <c r="O45" s="2">
        <f>'Phase diagram'!F28</f>
        <v>719.90408409071586</v>
      </c>
    </row>
    <row r="46" spans="1:15" x14ac:dyDescent="0.2">
      <c r="A46" s="61">
        <f>'1.5 Tc'!A42</f>
        <v>0.14800499888516344</v>
      </c>
      <c r="B46" s="34">
        <f>'1.5 Tc'!B42</f>
        <v>2246.065655215702</v>
      </c>
      <c r="C46" s="34">
        <f>Tc!A42</f>
        <v>0.26617757769428441</v>
      </c>
      <c r="D46" s="34">
        <f>Tc!B42</f>
        <v>52.606504246405969</v>
      </c>
      <c r="E46" s="34">
        <f>'T18'!A42</f>
        <v>2.2453233180454237</v>
      </c>
      <c r="F46" s="34">
        <f>'T18'!B42</f>
        <v>15.347544949177232</v>
      </c>
      <c r="G46" s="34">
        <f>'T16'!A42</f>
        <v>2.2453233180454237</v>
      </c>
      <c r="H46" s="34">
        <f>'T16'!B42</f>
        <v>13.592312564122285</v>
      </c>
      <c r="I46" s="34">
        <f>'T12'!A42</f>
        <v>2.2453233180454237</v>
      </c>
      <c r="J46" s="34">
        <f>'T12'!B42</f>
        <v>10.438215065372214</v>
      </c>
      <c r="K46" s="34">
        <f>'T6'!A42</f>
        <v>2.2453233180454237</v>
      </c>
      <c r="L46" s="160">
        <f>'T6'!B42</f>
        <v>6.4497025081491293</v>
      </c>
      <c r="N46" s="2">
        <f>N3</f>
        <v>1.6207266195744433E-2</v>
      </c>
      <c r="O46" s="2">
        <f>'Phase diagram'!F27</f>
        <v>1334.2822139223372</v>
      </c>
    </row>
    <row r="47" spans="1:15" x14ac:dyDescent="0.2">
      <c r="A47" s="61">
        <f>'1.5 Tc'!A43</f>
        <v>0.16280549877367981</v>
      </c>
      <c r="B47" s="34">
        <f>'1.5 Tc'!B43</f>
        <v>1437.0253235590797</v>
      </c>
      <c r="C47" s="34">
        <f>Tc!A43</f>
        <v>0.2715011292481701</v>
      </c>
      <c r="D47" s="34">
        <f>Tc!B43</f>
        <v>51.791167070845916</v>
      </c>
      <c r="E47" s="34">
        <f>'T18'!A43</f>
        <v>2.5821218157522372</v>
      </c>
      <c r="F47" s="34">
        <f>'T18'!B43</f>
        <v>13.690128687001534</v>
      </c>
      <c r="G47" s="34">
        <f>'T16'!A43</f>
        <v>2.5821218157522372</v>
      </c>
      <c r="H47" s="34">
        <f>'T16'!B43</f>
        <v>12.200618086425063</v>
      </c>
      <c r="I47" s="34">
        <f>'T12'!A43</f>
        <v>2.5821218157522372</v>
      </c>
      <c r="J47" s="34">
        <f>'T12'!B43</f>
        <v>9.5279775829292923</v>
      </c>
      <c r="K47" s="34">
        <f>'T6'!A43</f>
        <v>2.5821218157522372</v>
      </c>
      <c r="L47" s="160">
        <f>'T6'!B43</f>
        <v>6.1592073187463621</v>
      </c>
      <c r="N47" s="2">
        <f>N2</f>
        <v>8.0836149165030638E-3</v>
      </c>
      <c r="O47" s="2">
        <f>'Phase diagram'!F26</f>
        <v>2570.0466781979353</v>
      </c>
    </row>
    <row r="48" spans="1:15" x14ac:dyDescent="0.2">
      <c r="A48" s="61">
        <f>'1.5 Tc'!A44</f>
        <v>0.1790860486510478</v>
      </c>
      <c r="B48" s="34">
        <f>'1.5 Tc'!B44</f>
        <v>1017.9874514607762</v>
      </c>
      <c r="C48" s="34">
        <f>Tc!A44</f>
        <v>0.27693115183313349</v>
      </c>
      <c r="D48" s="34">
        <f>Tc!B44</f>
        <v>51.127085692158396</v>
      </c>
      <c r="E48" s="34">
        <f>'T18'!A44</f>
        <v>2.9694400881150727</v>
      </c>
      <c r="F48" s="34">
        <f>'T18'!B44</f>
        <v>12.166159175932499</v>
      </c>
      <c r="G48" s="34">
        <f>'T16'!A44</f>
        <v>2.9694400881150727</v>
      </c>
      <c r="H48" s="34">
        <f>'T16'!B44</f>
        <v>10.898644638064312</v>
      </c>
      <c r="I48" s="34">
        <f>'T12'!A44</f>
        <v>2.9694400881150727</v>
      </c>
      <c r="J48" s="34">
        <f>'T12'!B44</f>
        <v>8.6274063421536091</v>
      </c>
      <c r="K48" s="34">
        <f>'T6'!A44</f>
        <v>2.9694400881150727</v>
      </c>
      <c r="L48" s="160">
        <f>'T6'!B44</f>
        <v>5.7730659095742594</v>
      </c>
    </row>
    <row r="49" spans="1:12" x14ac:dyDescent="0.2">
      <c r="A49" s="61">
        <f>'1.5 Tc'!A45</f>
        <v>0.19699465351615258</v>
      </c>
      <c r="B49" s="34">
        <f>'1.5 Tc'!B45</f>
        <v>765.72877032026747</v>
      </c>
      <c r="C49" s="34">
        <f>Tc!A45</f>
        <v>0.28246977486979619</v>
      </c>
      <c r="D49" s="34">
        <f>Tc!B45</f>
        <v>50.591698480152154</v>
      </c>
      <c r="E49" s="34">
        <f>'T18'!A45</f>
        <v>3.4148561013323331</v>
      </c>
      <c r="F49" s="34">
        <f>'T18'!B45</f>
        <v>10.777961027934488</v>
      </c>
      <c r="G49" s="34">
        <f>'T16'!A45</f>
        <v>3.4148561013323331</v>
      </c>
      <c r="H49" s="34">
        <f>'T16'!B45</f>
        <v>9.6966657487337375</v>
      </c>
      <c r="I49" s="34">
        <f>'T12'!A45</f>
        <v>3.4148561013323331</v>
      </c>
      <c r="J49" s="34">
        <f>'T12'!B45</f>
        <v>7.7614862593894873</v>
      </c>
      <c r="K49" s="34">
        <f>'T6'!A45</f>
        <v>3.4148561013323331</v>
      </c>
      <c r="L49" s="160">
        <f>'T6'!B45</f>
        <v>5.3360437453579221</v>
      </c>
    </row>
    <row r="50" spans="1:12" x14ac:dyDescent="0.2">
      <c r="A50" s="61">
        <f>'1.5 Tc'!A46</f>
        <v>0.21669411886776785</v>
      </c>
      <c r="B50" s="34">
        <f>'1.5 Tc'!B46</f>
        <v>599.60930852299032</v>
      </c>
      <c r="C50" s="34">
        <f>Tc!A46</f>
        <v>0.29659326361328603</v>
      </c>
      <c r="D50" s="34">
        <f>Tc!B46</f>
        <v>49.702057027211595</v>
      </c>
      <c r="E50" s="34">
        <f>'T18'!A46</f>
        <v>3.9270845165321826</v>
      </c>
      <c r="F50" s="34">
        <f>'T18'!B46</f>
        <v>9.5229036250917662</v>
      </c>
      <c r="G50" s="34">
        <f>'T16'!A46</f>
        <v>3.9270845165321826</v>
      </c>
      <c r="H50" s="34">
        <f>'T16'!B46</f>
        <v>8.5984028980594829</v>
      </c>
      <c r="I50" s="34">
        <f>'T12'!A46</f>
        <v>3.9270845165321826</v>
      </c>
      <c r="J50" s="34">
        <f>'T12'!B46</f>
        <v>6.9456681924741908</v>
      </c>
      <c r="K50" s="34">
        <f>'T6'!A46</f>
        <v>3.9270845165321826</v>
      </c>
      <c r="L50" s="160">
        <f>'T6'!B46</f>
        <v>4.8792912765124585</v>
      </c>
    </row>
    <row r="51" spans="1:12" x14ac:dyDescent="0.2">
      <c r="A51" s="61">
        <f>'1.5 Tc'!A47</f>
        <v>0.23836353075454464</v>
      </c>
      <c r="B51" s="34">
        <f>'1.5 Tc'!B47</f>
        <v>483.43261718629793</v>
      </c>
      <c r="C51" s="34">
        <f>Tc!A47</f>
        <v>0.31142292679395034</v>
      </c>
      <c r="D51" s="34">
        <f>Tc!B47</f>
        <v>49.243151696985585</v>
      </c>
      <c r="E51" s="34">
        <f>'T18'!A47</f>
        <v>4.5161471940120093</v>
      </c>
      <c r="F51" s="34">
        <f>'T18'!B47</f>
        <v>8.3951242221294677</v>
      </c>
      <c r="G51" s="34">
        <f>'T16'!A47</f>
        <v>4.5161471940120093</v>
      </c>
      <c r="H51" s="34">
        <f>'T16'!B47</f>
        <v>7.6030979474912108</v>
      </c>
      <c r="I51" s="34">
        <f>'T12'!A47</f>
        <v>4.5161471940120093</v>
      </c>
      <c r="J51" s="34">
        <f>'T12'!B47</f>
        <v>6.188597536464564</v>
      </c>
      <c r="K51" s="34">
        <f>'T6'!A47</f>
        <v>4.5161471940120093</v>
      </c>
      <c r="L51" s="160">
        <f>'T6'!B47</f>
        <v>4.4239805909434828</v>
      </c>
    </row>
    <row r="52" spans="1:12" x14ac:dyDescent="0.2">
      <c r="A52" s="61">
        <f>'1.5 Tc'!A48</f>
        <v>0.26219988382999915</v>
      </c>
      <c r="B52" s="34">
        <f>'1.5 Tc'!B48</f>
        <v>398.56219306283293</v>
      </c>
      <c r="C52" s="34">
        <f>Tc!A48</f>
        <v>0.32699407313364787</v>
      </c>
      <c r="D52" s="34">
        <f>Tc!B48</f>
        <v>49.044830756866652</v>
      </c>
      <c r="E52" s="34">
        <f>'T18'!A48</f>
        <v>5.1935692731138099</v>
      </c>
      <c r="F52" s="34">
        <f>'T18'!B48</f>
        <v>7.3867848284726714</v>
      </c>
      <c r="G52" s="34">
        <f>'T16'!A48</f>
        <v>5.1935692731138099</v>
      </c>
      <c r="H52" s="34">
        <f>'T16'!B48</f>
        <v>6.7070377484365045</v>
      </c>
      <c r="I52" s="34">
        <f>'T12'!A48</f>
        <v>5.1935692731138099</v>
      </c>
      <c r="J52" s="34">
        <f>'T12'!B48</f>
        <v>5.4941413367400944</v>
      </c>
      <c r="K52" s="34">
        <f>'T6'!A48</f>
        <v>5.1935692731138099</v>
      </c>
      <c r="L52" s="160">
        <f>'T6'!B48</f>
        <v>3.9840269379758273</v>
      </c>
    </row>
    <row r="53" spans="1:12" x14ac:dyDescent="0.2">
      <c r="A53" s="61">
        <f>'1.5 Tc'!A49</f>
        <v>0.28841987221299908</v>
      </c>
      <c r="B53" s="34">
        <f>'1.5 Tc'!B49</f>
        <v>334.44849216540041</v>
      </c>
      <c r="C53" s="34">
        <f>Tc!A49</f>
        <v>0.34334377679033029</v>
      </c>
      <c r="D53" s="34">
        <f>Tc!B49</f>
        <v>48.985668385598366</v>
      </c>
      <c r="E53" s="34">
        <f>'T18'!A49</f>
        <v>5.9726046640808805</v>
      </c>
      <c r="F53" s="34">
        <f>'T18'!B49</f>
        <v>6.4889747227640386</v>
      </c>
      <c r="G53" s="34">
        <f>'T16'!A49</f>
        <v>5.9726046640808805</v>
      </c>
      <c r="H53" s="34">
        <f>'T16'!B49</f>
        <v>5.9046628220939636</v>
      </c>
      <c r="I53" s="34">
        <f>'T12'!A49</f>
        <v>5.9726046640808805</v>
      </c>
      <c r="J53" s="34">
        <f>'T12'!B49</f>
        <v>4.8628835391972665</v>
      </c>
      <c r="K53" s="34">
        <f>'T6'!A49</f>
        <v>5.9726046640808805</v>
      </c>
      <c r="L53" s="160">
        <f>'T6'!B49</f>
        <v>3.5681171539044296</v>
      </c>
    </row>
    <row r="54" spans="1:12" x14ac:dyDescent="0.2">
      <c r="A54" s="61">
        <f>'1.5 Tc'!A50</f>
        <v>0.31726185943429902</v>
      </c>
      <c r="B54" s="34">
        <f>'1.5 Tc'!B50</f>
        <v>284.69198343453525</v>
      </c>
      <c r="C54" s="34">
        <f>Tc!A50</f>
        <v>0.3605109656298468</v>
      </c>
      <c r="D54" s="34">
        <f>Tc!B50</f>
        <v>48.979970784164308</v>
      </c>
      <c r="E54" s="34">
        <f>'T18'!A50</f>
        <v>6.8684953636930119</v>
      </c>
      <c r="F54" s="34">
        <f>'T18'!B50</f>
        <v>5.692346379659373</v>
      </c>
      <c r="G54" s="34">
        <f>'T16'!A50</f>
        <v>6.8684953636930119</v>
      </c>
      <c r="H54" s="34">
        <f>'T16'!B50</f>
        <v>5.1893627965349909</v>
      </c>
      <c r="I54" s="34">
        <f>'T12'!A50</f>
        <v>6.8684953636930119</v>
      </c>
      <c r="J54" s="34">
        <f>'T12'!B50</f>
        <v>4.2932191461390126</v>
      </c>
      <c r="K54" s="34">
        <f>'T6'!A50</f>
        <v>6.8684953636930119</v>
      </c>
      <c r="L54" s="160">
        <f>'T6'!B50</f>
        <v>3.1812148450495332</v>
      </c>
    </row>
    <row r="55" spans="1:12" x14ac:dyDescent="0.2">
      <c r="A55" s="61">
        <f>'1.5 Tc'!A51</f>
        <v>0.34898804537772893</v>
      </c>
      <c r="B55" s="34">
        <f>'1.5 Tc'!B51</f>
        <v>245.20185182581855</v>
      </c>
      <c r="C55" s="34">
        <f>Tc!A51</f>
        <v>0.37853651391133913</v>
      </c>
      <c r="D55" s="34">
        <f>Tc!B51</f>
        <v>48.968339260025132</v>
      </c>
      <c r="E55" s="34">
        <f>'T18'!A51</f>
        <v>7.8987696682469632</v>
      </c>
      <c r="F55" s="34">
        <f>'T18'!B51</f>
        <v>4.9875528265803339</v>
      </c>
      <c r="G55" s="34">
        <f>'T16'!A51</f>
        <v>7.8987696682469632</v>
      </c>
      <c r="H55" s="34">
        <f>'T16'!B51</f>
        <v>4.5540377616614069</v>
      </c>
      <c r="I55" s="34">
        <f>'T12'!A51</f>
        <v>7.8987696682469632</v>
      </c>
      <c r="J55" s="34">
        <f>'T12'!B51</f>
        <v>3.7821474465547902</v>
      </c>
      <c r="K55" s="34">
        <f>'T6'!A51</f>
        <v>7.8987696682469632</v>
      </c>
      <c r="L55" s="160">
        <f>'T6'!B51</f>
        <v>2.825671774470627</v>
      </c>
    </row>
    <row r="56" spans="1:12" x14ac:dyDescent="0.2">
      <c r="A56" s="61">
        <f>'1.5 Tc'!A52</f>
        <v>0.38388684991550187</v>
      </c>
      <c r="B56" s="34">
        <f>'1.5 Tc'!B52</f>
        <v>213.25434577382021</v>
      </c>
      <c r="C56" s="34">
        <f>Tc!A52</f>
        <v>0.39746333960690611</v>
      </c>
      <c r="D56" s="34">
        <f>Tc!B52</f>
        <v>48.910751888851316</v>
      </c>
      <c r="E56" s="34">
        <f>'T18'!A52</f>
        <v>9.0835851184840077</v>
      </c>
      <c r="F56" s="34">
        <f>'T18'!B52</f>
        <v>4.3655385985568902</v>
      </c>
      <c r="G56" s="34">
        <f>'T16'!A52</f>
        <v>9.0835851184840077</v>
      </c>
      <c r="H56" s="34">
        <f>'T16'!B52</f>
        <v>3.9914860784759183</v>
      </c>
      <c r="I56" s="34">
        <f>'T12'!A52</f>
        <v>9.0835851184840077</v>
      </c>
      <c r="J56" s="34">
        <f>'T12'!B52</f>
        <v>3.3258406406638317</v>
      </c>
      <c r="K56" s="34">
        <f>'T6'!A52</f>
        <v>9.0835851184840077</v>
      </c>
      <c r="L56" s="160">
        <f>'T6'!B52</f>
        <v>2.5020437854527562</v>
      </c>
    </row>
    <row r="57" spans="1:12" x14ac:dyDescent="0.2">
      <c r="A57" s="61">
        <f>'1.5 Tc'!A53</f>
        <v>0.42227553490705211</v>
      </c>
      <c r="B57" s="34">
        <f>'1.5 Tc'!B53</f>
        <v>186.97618012325773</v>
      </c>
      <c r="C57" s="34">
        <f>Tc!A53</f>
        <v>0.41733650658725141</v>
      </c>
      <c r="D57" s="34">
        <f>Tc!B53</f>
        <v>48.781452086492067</v>
      </c>
      <c r="E57" s="34">
        <f>'T18'!A53</f>
        <v>10.446122886256608</v>
      </c>
      <c r="F57" s="34">
        <f>'T18'!B53</f>
        <v>3.8177239547432431</v>
      </c>
      <c r="G57" s="34">
        <f>'T16'!A53</f>
        <v>10.446122886256608</v>
      </c>
      <c r="H57" s="34">
        <f>'T16'!B53</f>
        <v>3.494664617000649</v>
      </c>
      <c r="I57" s="34">
        <f>'T12'!A53</f>
        <v>10.446122886256608</v>
      </c>
      <c r="J57" s="34">
        <f>'T12'!B53</f>
        <v>2.9200457376650091</v>
      </c>
      <c r="K57" s="34">
        <f>'T6'!A53</f>
        <v>10.446122886256608</v>
      </c>
      <c r="L57" s="160">
        <f>'T6'!B53</f>
        <v>2.2096857491611535</v>
      </c>
    </row>
    <row r="58" spans="1:12" x14ac:dyDescent="0.2">
      <c r="A58" s="61">
        <f>'1.5 Tc'!A54</f>
        <v>0.46450308839775734</v>
      </c>
      <c r="B58" s="34">
        <f>'1.5 Tc'!B54</f>
        <v>165.04459994339734</v>
      </c>
      <c r="C58" s="34">
        <f>Tc!A54</f>
        <v>0.43820333191661398</v>
      </c>
      <c r="D58" s="34">
        <f>Tc!B54</f>
        <v>48.56514856755939</v>
      </c>
      <c r="E58" s="34">
        <f>'T18'!A54</f>
        <v>12.013041319195098</v>
      </c>
      <c r="F58" s="34">
        <f>'T18'!B54</f>
        <v>3.3361122747545879</v>
      </c>
      <c r="G58" s="34">
        <f>'T16'!A54</f>
        <v>12.013041319195098</v>
      </c>
      <c r="H58" s="34">
        <f>'T16'!B54</f>
        <v>3.0568561185250527</v>
      </c>
      <c r="I58" s="34">
        <f>'T12'!A54</f>
        <v>12.013041319195098</v>
      </c>
      <c r="J58" s="34">
        <f>'T12'!B54</f>
        <v>2.560363434070954</v>
      </c>
      <c r="K58" s="34">
        <f>'T6'!A54</f>
        <v>12.013041319195098</v>
      </c>
      <c r="L58" s="160">
        <f>'T6'!B54</f>
        <v>1.9471818146092901</v>
      </c>
    </row>
    <row r="59" spans="1:12" x14ac:dyDescent="0.2">
      <c r="A59" s="61">
        <f>'1.5 Tc'!A55</f>
        <v>0.51095339723753308</v>
      </c>
      <c r="B59" s="34">
        <f>'1.5 Tc'!B55</f>
        <v>146.50493007985403</v>
      </c>
      <c r="C59" s="34">
        <f>Tc!A55</f>
        <v>0.46011349851244471</v>
      </c>
      <c r="D59" s="34">
        <f>Tc!B55</f>
        <v>48.254176726280967</v>
      </c>
      <c r="E59" s="34">
        <f>'T18'!A55</f>
        <v>13.814997517074362</v>
      </c>
      <c r="F59" s="34">
        <f>'T18'!B55</f>
        <v>2.9133430304934236</v>
      </c>
      <c r="G59" s="34">
        <f>'T16'!A55</f>
        <v>13.814997517074362</v>
      </c>
      <c r="H59" s="34">
        <f>'T16'!B55</f>
        <v>2.6717697080032532</v>
      </c>
      <c r="I59" s="34">
        <f>'T12'!A55</f>
        <v>13.814997517074362</v>
      </c>
      <c r="J59" s="34">
        <f>'T12'!B55</f>
        <v>2.2424368438677593</v>
      </c>
      <c r="K59" s="34">
        <f>'T6'!A55</f>
        <v>13.814997517074362</v>
      </c>
      <c r="L59" s="160">
        <f>'T6'!B55</f>
        <v>1.7126533758613991</v>
      </c>
    </row>
    <row r="60" spans="1:12" x14ac:dyDescent="0.2">
      <c r="A60" s="61">
        <f>'1.5 Tc'!A56</f>
        <v>0.56204873696128643</v>
      </c>
      <c r="B60" s="34">
        <f>'1.5 Tc'!B56</f>
        <v>130.65520363441613</v>
      </c>
      <c r="C60" s="34">
        <f>Tc!A56</f>
        <v>0.48311917343806698</v>
      </c>
      <c r="D60" s="34">
        <f>Tc!B56</f>
        <v>47.846371099429831</v>
      </c>
      <c r="E60" s="34">
        <f>'T18'!A56</f>
        <v>15.887247144635515</v>
      </c>
      <c r="F60" s="34">
        <f>'T18'!B56</f>
        <v>2.5427069683928045</v>
      </c>
      <c r="G60" s="34">
        <f>'T16'!A56</f>
        <v>15.887247144635515</v>
      </c>
      <c r="H60" s="34">
        <f>'T16'!B56</f>
        <v>2.3335939597495896</v>
      </c>
      <c r="I60" s="34">
        <f>'T12'!A56</f>
        <v>15.887247144635515</v>
      </c>
      <c r="J60" s="34">
        <f>'T12'!B56</f>
        <v>1.9620747010810953</v>
      </c>
      <c r="K60" s="34">
        <f>'T6'!A56</f>
        <v>15.887247144635515</v>
      </c>
      <c r="L60" s="160">
        <f>'T6'!B56</f>
        <v>1.5039766441143143</v>
      </c>
    </row>
    <row r="61" spans="1:12" x14ac:dyDescent="0.2">
      <c r="A61" s="61">
        <f>'1.5 Tc'!A57</f>
        <v>0.61825361065741513</v>
      </c>
      <c r="B61" s="34">
        <f>'1.5 Tc'!B57</f>
        <v>116.97080008819421</v>
      </c>
      <c r="C61" s="34">
        <f>Tc!A57</f>
        <v>0.50727513210997033</v>
      </c>
      <c r="D61" s="34">
        <f>Tc!B57</f>
        <v>47.343467767511832</v>
      </c>
      <c r="E61" s="34">
        <f>'T18'!A57</f>
        <v>18.270334216330841</v>
      </c>
      <c r="F61" s="34">
        <f>'T18'!B57</f>
        <v>2.218135755623484</v>
      </c>
      <c r="G61" s="34">
        <f>'T16'!A57</f>
        <v>18.270334216330841</v>
      </c>
      <c r="H61" s="34">
        <f>'T16'!B57</f>
        <v>2.0370168884373525</v>
      </c>
      <c r="I61" s="34">
        <f>'T12'!A57</f>
        <v>18.270334216330841</v>
      </c>
      <c r="J61" s="34">
        <f>'T12'!B57</f>
        <v>1.7153273967007234</v>
      </c>
      <c r="K61" s="34">
        <f>'T6'!A57</f>
        <v>18.270334216330841</v>
      </c>
      <c r="L61" s="160">
        <f>'T6'!B57</f>
        <v>1.3189337365301974</v>
      </c>
    </row>
    <row r="62" spans="1:12" x14ac:dyDescent="0.2">
      <c r="A62" s="61">
        <f>'1.5 Tc'!A58</f>
        <v>0.68007897172315668</v>
      </c>
      <c r="B62" s="34">
        <f>'1.5 Tc'!B58</f>
        <v>105.05385789253465</v>
      </c>
      <c r="C62" s="34">
        <f>Tc!A58</f>
        <v>0.53263888871546883</v>
      </c>
      <c r="D62" s="34">
        <f>Tc!B58</f>
        <v>46.749904261761841</v>
      </c>
      <c r="E62" s="34">
        <f>'T18'!A58</f>
        <v>21.010884348780465</v>
      </c>
      <c r="F62" s="34">
        <f>'T18'!B58</f>
        <v>1.9341750323424463</v>
      </c>
      <c r="G62" s="34">
        <f>'T16'!A58</f>
        <v>21.010884348780465</v>
      </c>
      <c r="H62" s="34">
        <f>'T16'!B58</f>
        <v>1.7772234345063413</v>
      </c>
      <c r="I62" s="34">
        <f>'T12'!A58</f>
        <v>21.010884348780465</v>
      </c>
      <c r="J62" s="34">
        <f>'T12'!B58</f>
        <v>1.4985294806564593</v>
      </c>
      <c r="K62" s="34">
        <f>'T6'!A58</f>
        <v>21.010884348780465</v>
      </c>
      <c r="L62" s="160">
        <f>'T6'!B58</f>
        <v>1.1553151637737247</v>
      </c>
    </row>
    <row r="63" spans="1:12" x14ac:dyDescent="0.2">
      <c r="A63" s="61">
        <f>'1.5 Tc'!A59</f>
        <v>0.74808686889547238</v>
      </c>
      <c r="B63" s="34">
        <f>'1.5 Tc'!B59</f>
        <v>94.598530994879809</v>
      </c>
      <c r="C63" s="34">
        <f>Tc!A59</f>
        <v>0.55927083315124226</v>
      </c>
      <c r="D63" s="34">
        <f>Tc!B59</f>
        <v>46.071919257890734</v>
      </c>
      <c r="E63" s="34">
        <f>'T18'!A59</f>
        <v>24.162517001097534</v>
      </c>
      <c r="F63" s="34">
        <f>'T18'!B59</f>
        <v>1.6859473242469252</v>
      </c>
      <c r="G63" s="34">
        <f>'T16'!A59</f>
        <v>24.162517001097534</v>
      </c>
      <c r="H63" s="34">
        <f>'T16'!B59</f>
        <v>1.5498781524241132</v>
      </c>
      <c r="I63" s="34">
        <f>'T12'!A59</f>
        <v>24.162517001097534</v>
      </c>
      <c r="J63" s="34">
        <f>'T12'!B59</f>
        <v>1.3083186946786471</v>
      </c>
      <c r="K63" s="34">
        <f>'T6'!A59</f>
        <v>24.162517001097534</v>
      </c>
      <c r="L63" s="160">
        <f>'T6'!B59</f>
        <v>1.0109870486442598</v>
      </c>
    </row>
    <row r="64" spans="1:12" x14ac:dyDescent="0.2">
      <c r="A64" s="61">
        <f>'1.5 Tc'!A60</f>
        <v>0.82289555578501972</v>
      </c>
      <c r="B64" s="34">
        <f>'1.5 Tc'!B60</f>
        <v>85.366664384990344</v>
      </c>
      <c r="C64" s="34">
        <f>Tc!A60</f>
        <v>0.58723437480880436</v>
      </c>
      <c r="D64" s="34">
        <f>Tc!B60</f>
        <v>45.31687935379221</v>
      </c>
      <c r="E64" s="34">
        <f>'T18'!A60</f>
        <v>27.786894551262161</v>
      </c>
      <c r="F64" s="34">
        <f>'T18'!B60</f>
        <v>1.4691094119701216</v>
      </c>
      <c r="G64" s="34">
        <f>'T16'!A60</f>
        <v>27.786894551262161</v>
      </c>
      <c r="H64" s="34">
        <f>'T16'!B60</f>
        <v>1.35109866876908</v>
      </c>
      <c r="I64" s="34">
        <f>'T12'!A60</f>
        <v>27.786894551262161</v>
      </c>
      <c r="J64" s="34">
        <f>'T12'!B60</f>
        <v>1.1416389246930316</v>
      </c>
      <c r="K64" s="34">
        <f>'T6'!A60</f>
        <v>27.786894551262161</v>
      </c>
      <c r="L64" s="160">
        <f>'T6'!B60</f>
        <v>0.88393298247053753</v>
      </c>
    </row>
    <row r="65" spans="1:12" x14ac:dyDescent="0.2">
      <c r="A65" s="61">
        <f>'1.5 Tc'!A61</f>
        <v>0.90518511136352175</v>
      </c>
      <c r="B65" s="34">
        <f>'1.5 Tc'!B61</f>
        <v>77.170487743139802</v>
      </c>
      <c r="C65" s="34">
        <f>Tc!A61</f>
        <v>0.61659609354924461</v>
      </c>
      <c r="D65" s="34">
        <f>Tc!B61</f>
        <v>44.492778441644447</v>
      </c>
      <c r="E65" s="34">
        <f>'T18'!A61</f>
        <v>31.954928733951483</v>
      </c>
      <c r="F65" s="34">
        <f>'T18'!B61</f>
        <v>1.2798073754740094</v>
      </c>
      <c r="G65" s="34">
        <f>'T16'!A61</f>
        <v>31.954928733951483</v>
      </c>
      <c r="H65" s="34">
        <f>'T16'!B61</f>
        <v>1.1774238821185949</v>
      </c>
      <c r="I65" s="34">
        <f>'T12'!A61</f>
        <v>31.954928733951483</v>
      </c>
      <c r="J65" s="34">
        <f>'T12'!B61</f>
        <v>0.99573245771135932</v>
      </c>
      <c r="K65" s="34">
        <f>'T6'!A61</f>
        <v>31.954928733951483</v>
      </c>
      <c r="L65" s="160">
        <f>'T6'!B61</f>
        <v>0.77227785178751573</v>
      </c>
    </row>
    <row r="66" spans="1:12" x14ac:dyDescent="0.2">
      <c r="A66" s="61">
        <f>'1.5 Tc'!A62</f>
        <v>0.99570362249987399</v>
      </c>
      <c r="B66" s="34">
        <f>'1.5 Tc'!B62</f>
        <v>69.860134691093904</v>
      </c>
      <c r="C66" s="34">
        <f>Tc!A62</f>
        <v>0.64742589822670682</v>
      </c>
      <c r="D66" s="34">
        <f>Tc!B62</f>
        <v>43.607868569413512</v>
      </c>
      <c r="E66" s="34">
        <f>'T18'!A62</f>
        <v>36.748168044044206</v>
      </c>
      <c r="F66" s="34">
        <f>'T18'!B62</f>
        <v>1.1146315160429348</v>
      </c>
      <c r="G66" s="34">
        <f>'T16'!A62</f>
        <v>36.748168044044206</v>
      </c>
      <c r="H66" s="34">
        <f>'T16'!B62</f>
        <v>1.0257796953112237</v>
      </c>
      <c r="I66" s="34">
        <f>'T12'!A62</f>
        <v>36.748168044044206</v>
      </c>
      <c r="J66" s="34">
        <f>'T12'!B62</f>
        <v>0.86812543404238529</v>
      </c>
      <c r="K66" s="34">
        <f>'T6'!A62</f>
        <v>36.748168044044206</v>
      </c>
      <c r="L66" s="160">
        <f>'T6'!B62</f>
        <v>0.67429903781032907</v>
      </c>
    </row>
    <row r="67" spans="1:12" x14ac:dyDescent="0.2">
      <c r="A67" s="61">
        <f>'1.5 Tc'!A63</f>
        <v>1.0952739847498614</v>
      </c>
      <c r="B67" s="34">
        <f>'1.5 Tc'!B63</f>
        <v>63.314538747908244</v>
      </c>
      <c r="C67" s="34">
        <f>Tc!A63</f>
        <v>0.67979719313804221</v>
      </c>
      <c r="D67" s="34">
        <f>Tc!B63</f>
        <v>42.670391106947029</v>
      </c>
      <c r="E67" s="34">
        <f>'T18'!A63</f>
        <v>42.260393250650836</v>
      </c>
      <c r="F67" s="34">
        <f>'T18'!B63</f>
        <v>0.97057261623770386</v>
      </c>
      <c r="G67" s="34">
        <f>'T16'!A63</f>
        <v>42.260393250650836</v>
      </c>
      <c r="H67" s="34">
        <f>'T16'!B63</f>
        <v>0.89344420099544919</v>
      </c>
      <c r="I67" s="34">
        <f>'T12'!A63</f>
        <v>42.260393250650836</v>
      </c>
      <c r="J67" s="34">
        <f>'T12'!B63</f>
        <v>0.75660927598763028</v>
      </c>
      <c r="K67" s="34">
        <f>'T6'!A63</f>
        <v>42.260393250650836</v>
      </c>
      <c r="L67" s="160">
        <f>'T6'!B63</f>
        <v>0.58842894763869025</v>
      </c>
    </row>
    <row r="68" spans="1:12" x14ac:dyDescent="0.2">
      <c r="A68" s="61">
        <f>'1.5 Tc'!A64</f>
        <v>1.2048013832248476</v>
      </c>
      <c r="B68" s="34">
        <f>'1.5 Tc'!B64</f>
        <v>57.434727368116882</v>
      </c>
      <c r="C68" s="34">
        <f>Tc!A64</f>
        <v>0.71378705279494437</v>
      </c>
      <c r="D68" s="34">
        <f>Tc!B64</f>
        <v>41.688384441563031</v>
      </c>
      <c r="E68" s="34">
        <f>'T18'!A64</f>
        <v>48.59945223824846</v>
      </c>
      <c r="F68" s="34">
        <f>'T18'!B64</f>
        <v>0.84498046080704148</v>
      </c>
      <c r="G68" s="34">
        <f>'T16'!A64</f>
        <v>48.59945223824846</v>
      </c>
      <c r="H68" s="34">
        <f>'T16'!B64</f>
        <v>0.77801360581303403</v>
      </c>
      <c r="I68" s="34">
        <f>'T12'!A64</f>
        <v>48.59945223824846</v>
      </c>
      <c r="J68" s="34">
        <f>'T12'!B64</f>
        <v>0.65922005385040439</v>
      </c>
      <c r="K68" s="34">
        <f>'T6'!A64</f>
        <v>48.59945223824846</v>
      </c>
      <c r="L68" s="160">
        <f>'T6'!B64</f>
        <v>0.51325175925548461</v>
      </c>
    </row>
    <row r="69" spans="1:12" x14ac:dyDescent="0.2">
      <c r="A69" s="61">
        <f>'1.5 Tc'!A65</f>
        <v>1.3252815215473326</v>
      </c>
      <c r="B69" s="34">
        <f>'1.5 Tc'!B65</f>
        <v>52.138840347243615</v>
      </c>
      <c r="C69" s="34">
        <f>Tc!A65</f>
        <v>0.74947640543469163</v>
      </c>
      <c r="D69" s="34">
        <f>Tc!B65</f>
        <v>40.669550001706298</v>
      </c>
      <c r="E69" s="34">
        <f>'T18'!A65</f>
        <v>55.889370073985724</v>
      </c>
      <c r="F69" s="34">
        <f>'T18'!B65</f>
        <v>0.73552515700617105</v>
      </c>
      <c r="G69" s="34">
        <f>'T16'!A65</f>
        <v>55.889370073985724</v>
      </c>
      <c r="H69" s="34">
        <f>'T16'!B65</f>
        <v>0.67736971806890167</v>
      </c>
      <c r="I69" s="34">
        <f>'T12'!A65</f>
        <v>55.889370073985724</v>
      </c>
      <c r="J69" s="34">
        <f>'T12'!B65</f>
        <v>0.57421714687177539</v>
      </c>
      <c r="K69" s="34">
        <f>'T6'!A65</f>
        <v>55.889370073985724</v>
      </c>
      <c r="L69" s="160">
        <f>'T6'!B65</f>
        <v>0.44749646150679845</v>
      </c>
    </row>
    <row r="70" spans="1:12" x14ac:dyDescent="0.2">
      <c r="A70" s="61">
        <f>'1.5 Tc'!A66</f>
        <v>1.457809673702066</v>
      </c>
      <c r="B70" s="34">
        <f>'1.5 Tc'!B66</f>
        <v>47.358401076283208</v>
      </c>
      <c r="C70" s="34">
        <f>Tc!A66</f>
        <v>0.78695022570642625</v>
      </c>
      <c r="D70" s="34">
        <f>Tc!B66</f>
        <v>39.62116262661138</v>
      </c>
      <c r="E70" s="34">
        <f>'T18'!A66</f>
        <v>64.272775585083579</v>
      </c>
      <c r="F70" s="34">
        <f>'T18'!B66</f>
        <v>0.64016152158861173</v>
      </c>
      <c r="G70" s="34">
        <f>'T16'!A66</f>
        <v>64.272775585083579</v>
      </c>
      <c r="H70" s="34">
        <f>'T16'!B66</f>
        <v>0.58964949360246799</v>
      </c>
      <c r="I70" s="34">
        <f>'T12'!A66</f>
        <v>64.272775585083579</v>
      </c>
      <c r="J70" s="34">
        <f>'T12'!B66</f>
        <v>0.50006211595185723</v>
      </c>
      <c r="K70" s="34">
        <f>'T6'!A66</f>
        <v>64.272775585083579</v>
      </c>
      <c r="L70" s="160">
        <f>'T6'!B66</f>
        <v>0.39002767671953675</v>
      </c>
    </row>
    <row r="71" spans="1:12" x14ac:dyDescent="0.2">
      <c r="A71" s="61">
        <f>'1.5 Tc'!A67</f>
        <v>1.6035906410722727</v>
      </c>
      <c r="B71" s="34">
        <f>'1.5 Tc'!B67</f>
        <v>43.035505959818785</v>
      </c>
      <c r="C71" s="34">
        <f>Tc!A67</f>
        <v>0.82629773699174758</v>
      </c>
      <c r="D71" s="34">
        <f>Tc!B67</f>
        <v>38.55001451241624</v>
      </c>
      <c r="E71" s="34">
        <f>'T18'!A67</f>
        <v>73.913691922846112</v>
      </c>
      <c r="F71" s="34">
        <f>'T18'!B67</f>
        <v>0.55709661414074507</v>
      </c>
      <c r="G71" s="34">
        <f>'T16'!A67</f>
        <v>73.913691922846112</v>
      </c>
      <c r="H71" s="34">
        <f>'T16'!B67</f>
        <v>0.51321690104285</v>
      </c>
      <c r="I71" s="34">
        <f>'T12'!A67</f>
        <v>73.913691922846112</v>
      </c>
      <c r="J71" s="34">
        <f>'T12'!B67</f>
        <v>0.43539838543034615</v>
      </c>
      <c r="K71" s="34">
        <f>'T6'!A67</f>
        <v>73.913691922846112</v>
      </c>
      <c r="L71" s="160">
        <f>'T6'!B67</f>
        <v>0.33983531555357549</v>
      </c>
    </row>
    <row r="72" spans="1:12" x14ac:dyDescent="0.2">
      <c r="A72" s="61">
        <f>'1.5 Tc'!A68</f>
        <v>1.7639497051795001</v>
      </c>
      <c r="B72" s="34">
        <f>'1.5 Tc'!B68</f>
        <v>39.120691599307413</v>
      </c>
      <c r="C72" s="34">
        <f>Tc!A68</f>
        <v>0.86761262384133497</v>
      </c>
      <c r="D72" s="34">
        <f>Tc!B68</f>
        <v>37.462384423656701</v>
      </c>
      <c r="E72" s="34">
        <f>'T18'!A68</f>
        <v>85.000745711273026</v>
      </c>
      <c r="F72" s="34">
        <f>'T18'!B68</f>
        <v>0.48476037003355299</v>
      </c>
      <c r="G72" s="34">
        <f>'T16'!A68</f>
        <v>85.000745711273026</v>
      </c>
      <c r="H72" s="34">
        <f>'T16'!B68</f>
        <v>0.4466372052981018</v>
      </c>
      <c r="I72" s="34">
        <f>'T12'!A68</f>
        <v>85.000745711273026</v>
      </c>
      <c r="J72" s="34">
        <f>'T12'!B68</f>
        <v>0.3790321016680569</v>
      </c>
      <c r="K72" s="34">
        <f>'T6'!A68</f>
        <v>85.000745711273026</v>
      </c>
      <c r="L72" s="160">
        <f>'T6'!B68</f>
        <v>0.29602379195378054</v>
      </c>
    </row>
    <row r="73" spans="1:12" x14ac:dyDescent="0.2">
      <c r="A73" s="61">
        <f>'1.5 Tc'!A69</f>
        <v>1.9403446756974503</v>
      </c>
      <c r="B73" s="34">
        <f>'1.5 Tc'!B69</f>
        <v>35.571305351523364</v>
      </c>
      <c r="C73" s="34">
        <f>Tc!A69</f>
        <v>0.91099325503340178</v>
      </c>
      <c r="D73" s="34">
        <f>Tc!B69</f>
        <v>36.364025749081684</v>
      </c>
      <c r="E73" s="34">
        <f>'T18'!A69</f>
        <v>97.750857567963976</v>
      </c>
      <c r="F73" s="34">
        <f>'T18'!B69</f>
        <v>0.42177920431048593</v>
      </c>
      <c r="G73" s="34">
        <f>'T16'!A69</f>
        <v>97.750857567963976</v>
      </c>
      <c r="H73" s="34">
        <f>'T16'!B69</f>
        <v>0.38865365793962342</v>
      </c>
      <c r="I73" s="34">
        <f>'T12'!A69</f>
        <v>97.750857567963976</v>
      </c>
      <c r="J73" s="34">
        <f>'T12'!B69</f>
        <v>0.32991437329062928</v>
      </c>
      <c r="K73" s="34">
        <f>'T6'!A69</f>
        <v>97.750857567963976</v>
      </c>
      <c r="L73" s="160">
        <f>'T6'!B69</f>
        <v>0.25780129116612838</v>
      </c>
    </row>
    <row r="74" spans="1:12" x14ac:dyDescent="0.2">
      <c r="A74" s="61">
        <f>'1.5 Tc'!A70</f>
        <v>2.1343791432671955</v>
      </c>
      <c r="B74" s="34">
        <f>'1.5 Tc'!B70</f>
        <v>32.350251721573237</v>
      </c>
      <c r="C74" s="34">
        <f>Tc!A70</f>
        <v>0.95654291778507194</v>
      </c>
      <c r="D74" s="34">
        <f>Tc!B70</f>
        <v>35.260168439499232</v>
      </c>
      <c r="E74" s="34">
        <f>'T18'!A70</f>
        <v>112.41348620315857</v>
      </c>
      <c r="F74" s="34">
        <f>'T18'!B70</f>
        <v>0.36695240781778005</v>
      </c>
      <c r="G74" s="34">
        <f>'T16'!A70</f>
        <v>112.41348620315857</v>
      </c>
      <c r="H74" s="34">
        <f>'T16'!B70</f>
        <v>0.338166510850887</v>
      </c>
      <c r="I74" s="34">
        <f>'T12'!A70</f>
        <v>112.41348620315857</v>
      </c>
      <c r="J74" s="34">
        <f>'T12'!B70</f>
        <v>0.28712498417143673</v>
      </c>
      <c r="K74" s="34">
        <f>'T6'!A70</f>
        <v>112.41348620315857</v>
      </c>
      <c r="L74" s="160">
        <f>'T6'!B70</f>
        <v>0.22446941351654801</v>
      </c>
    </row>
    <row r="75" spans="1:12" x14ac:dyDescent="0.2">
      <c r="A75" s="61">
        <f>'1.5 Tc'!A71</f>
        <v>2.347817057593915</v>
      </c>
      <c r="B75" s="34">
        <f>'1.5 Tc'!B71</f>
        <v>29.425020691375018</v>
      </c>
      <c r="C75" s="34">
        <f>Tc!A71</f>
        <v>1.0043700636743256</v>
      </c>
      <c r="D75" s="34">
        <f>Tc!B71</f>
        <v>34.155530995137262</v>
      </c>
      <c r="E75" s="34">
        <f>'T18'!A71</f>
        <v>129.27550913363234</v>
      </c>
      <c r="F75" s="34">
        <f>'T18'!B71</f>
        <v>0.31923112954032329</v>
      </c>
      <c r="G75" s="34">
        <f>'T16'!A71</f>
        <v>129.27550913363234</v>
      </c>
      <c r="H75" s="34">
        <f>'T16'!B71</f>
        <v>0.29421422450480145</v>
      </c>
      <c r="I75" s="34">
        <f>'T12'!A71</f>
        <v>129.27550913363234</v>
      </c>
      <c r="J75" s="34">
        <f>'T12'!B71</f>
        <v>0.24985759240685151</v>
      </c>
      <c r="K75" s="34">
        <f>'T6'!A71</f>
        <v>129.27550913363234</v>
      </c>
      <c r="L75" s="160">
        <f>'T6'!B71</f>
        <v>0.195413394346658</v>
      </c>
    </row>
    <row r="76" spans="1:12" x14ac:dyDescent="0.2">
      <c r="A76" s="61">
        <f>'1.5 Tc'!A72</f>
        <v>2.5825987633533067</v>
      </c>
      <c r="B76" s="34">
        <f>'1.5 Tc'!B72</f>
        <v>26.766928478448257</v>
      </c>
      <c r="C76" s="34">
        <f>Tc!A72</f>
        <v>1.0545885668580419</v>
      </c>
      <c r="D76" s="34">
        <f>Tc!B72</f>
        <v>33.054339547484744</v>
      </c>
      <c r="E76" s="34">
        <f>'T18'!A72</f>
        <v>148.66683550367719</v>
      </c>
      <c r="F76" s="34">
        <f>'T18'!B72</f>
        <v>0.27769972758760508</v>
      </c>
      <c r="G76" s="34">
        <f>'T16'!A72</f>
        <v>148.66683550367719</v>
      </c>
      <c r="H76" s="34">
        <f>'T16'!B72</f>
        <v>0.25595671664801267</v>
      </c>
      <c r="I76" s="34">
        <f>'T12'!A72</f>
        <v>148.66683550367719</v>
      </c>
      <c r="J76" s="34">
        <f>'T12'!B72</f>
        <v>0.21740637687173414</v>
      </c>
      <c r="K76" s="34">
        <f>'T6'!A72</f>
        <v>148.66683550367719</v>
      </c>
      <c r="L76" s="160">
        <f>'T6'!B72</f>
        <v>0.17009301365194149</v>
      </c>
    </row>
    <row r="77" spans="1:12" x14ac:dyDescent="0.2">
      <c r="A77" s="61">
        <f>'1.5 Tc'!A73</f>
        <v>2.8408586396886375</v>
      </c>
      <c r="B77" s="34">
        <f>'1.5 Tc'!B73</f>
        <v>24.350519050693649</v>
      </c>
      <c r="C77" s="34">
        <f>Tc!A73</f>
        <v>1.107317995200944</v>
      </c>
      <c r="D77" s="34">
        <f>Tc!B73</f>
        <v>31.960351763672293</v>
      </c>
      <c r="E77" s="34">
        <f>'T18'!A73</f>
        <v>170.96686082922875</v>
      </c>
      <c r="F77" s="34">
        <f>'T18'!B73</f>
        <v>0.24155927055934767</v>
      </c>
      <c r="G77" s="34">
        <f>'T16'!A73</f>
        <v>170.96686082922875</v>
      </c>
      <c r="H77" s="34">
        <f>'T16'!B73</f>
        <v>0.22266048519620654</v>
      </c>
      <c r="I77" s="34">
        <f>'T12'!A73</f>
        <v>170.96686082922875</v>
      </c>
      <c r="J77" s="34">
        <f>'T12'!B73</f>
        <v>0.18915406014607961</v>
      </c>
      <c r="K77" s="34">
        <f>'T6'!A73</f>
        <v>170.96686082922875</v>
      </c>
      <c r="L77" s="160">
        <f>'T6'!B73</f>
        <v>0.14803424821432629</v>
      </c>
    </row>
    <row r="78" spans="1:12" x14ac:dyDescent="0.2">
      <c r="A78" s="61">
        <f>'1.5 Tc'!A74</f>
        <v>3.1249445036575016</v>
      </c>
      <c r="B78" s="34">
        <f>'1.5 Tc'!B74</f>
        <v>22.153087841054102</v>
      </c>
      <c r="C78" s="34">
        <f>Tc!A74</f>
        <v>1.1626838949609912</v>
      </c>
      <c r="D78" s="34">
        <f>Tc!B74</f>
        <v>30.876883834135132</v>
      </c>
      <c r="E78" s="34">
        <f>'T18'!A74</f>
        <v>196.61188995361306</v>
      </c>
      <c r="F78" s="34">
        <f>'T18'!B74</f>
        <v>0.21011297745288193</v>
      </c>
      <c r="G78" s="34">
        <f>'T16'!A74</f>
        <v>196.61188995361306</v>
      </c>
      <c r="H78" s="34">
        <f>'T16'!B74</f>
        <v>0.19368543652054102</v>
      </c>
      <c r="I78" s="34">
        <f>'T12'!A74</f>
        <v>196.61188995361306</v>
      </c>
      <c r="J78" s="34">
        <f>'T12'!B74</f>
        <v>0.16456121727279677</v>
      </c>
      <c r="K78" s="34">
        <f>'T6'!A74</f>
        <v>196.61188995361306</v>
      </c>
      <c r="L78" s="160">
        <f>'T6'!B74</f>
        <v>0.12882167737087014</v>
      </c>
    </row>
    <row r="79" spans="1:12" x14ac:dyDescent="0.2">
      <c r="A79" s="61">
        <f>'1.5 Tc'!A75</f>
        <v>3.4374389540232522</v>
      </c>
      <c r="B79" s="34">
        <f>'1.5 Tc'!B75</f>
        <v>20.154298806874987</v>
      </c>
      <c r="C79" s="34">
        <f>Tc!A75</f>
        <v>1.2208180897090408</v>
      </c>
      <c r="D79" s="34">
        <f>Tc!B75</f>
        <v>29.806839220158437</v>
      </c>
      <c r="E79" s="34">
        <f>'T18'!A75</f>
        <v>226.10367344665499</v>
      </c>
      <c r="F79" s="34">
        <f>'T18'!B75</f>
        <v>0.18275339521554215</v>
      </c>
      <c r="G79" s="34">
        <f>'T16'!A75</f>
        <v>226.10367344665499</v>
      </c>
      <c r="H79" s="34">
        <f>'T16'!B75</f>
        <v>0.16847325392556839</v>
      </c>
      <c r="I79" s="34">
        <f>'T12'!A75</f>
        <v>226.10367344665499</v>
      </c>
      <c r="J79" s="34">
        <f>'T12'!B75</f>
        <v>0.14315676995544119</v>
      </c>
      <c r="K79" s="34">
        <f>'T6'!A75</f>
        <v>226.10367344665499</v>
      </c>
      <c r="L79" s="160">
        <f>'T6'!B75</f>
        <v>0.112091625804001</v>
      </c>
    </row>
    <row r="80" spans="1:12" x14ac:dyDescent="0.2">
      <c r="A80" s="61">
        <f>'1.5 Tc'!A76</f>
        <v>3.7811828494255777</v>
      </c>
      <c r="B80" s="34">
        <f>'1.5 Tc'!B76</f>
        <v>18.335873181532534</v>
      </c>
      <c r="C80" s="34">
        <f>Tc!A76</f>
        <v>1.2818589941944929</v>
      </c>
      <c r="D80" s="34">
        <f>Tc!B76</f>
        <v>28.752738162713577</v>
      </c>
      <c r="E80" s="34">
        <f>'T18'!A76</f>
        <v>260.01922446365325</v>
      </c>
      <c r="F80" s="34">
        <f>'T18'!B76</f>
        <v>0.1589511266121679</v>
      </c>
      <c r="G80" s="34">
        <f>'T16'!A76</f>
        <v>260.01922446365325</v>
      </c>
      <c r="H80" s="34">
        <f>'T16'!B76</f>
        <v>0.14653714873806481</v>
      </c>
      <c r="I80" s="34">
        <f>'T12'!A76</f>
        <v>260.01922446365325</v>
      </c>
      <c r="J80" s="34">
        <f>'T12'!B76</f>
        <v>0.12452956250710995</v>
      </c>
      <c r="K80" s="34">
        <f>'T6'!A76</f>
        <v>260.01922446365325</v>
      </c>
      <c r="L80" s="160">
        <f>'T6'!B76</f>
        <v>9.7526009006459816E-2</v>
      </c>
    </row>
    <row r="81" spans="1:12" x14ac:dyDescent="0.2">
      <c r="A81" s="61">
        <f>'1.5 Tc'!A77</f>
        <v>4.1593011343681354</v>
      </c>
      <c r="B81" s="34">
        <f>'1.5 Tc'!B77</f>
        <v>16.681333630388188</v>
      </c>
      <c r="C81" s="34">
        <f>Tc!A77</f>
        <v>1.3459519439042176</v>
      </c>
      <c r="D81" s="34">
        <f>Tc!B77</f>
        <v>27.716747207633954</v>
      </c>
      <c r="E81" s="34">
        <f>'T18'!A77</f>
        <v>299.02210813320119</v>
      </c>
      <c r="F81" s="34">
        <f>'T18'!B77</f>
        <v>0.13824493594538587</v>
      </c>
      <c r="G81" s="34">
        <f>'T16'!A77</f>
        <v>299.02210813320119</v>
      </c>
      <c r="H81" s="34">
        <f>'T16'!B77</f>
        <v>0.1274528464376575</v>
      </c>
      <c r="I81" s="34">
        <f>'T12'!A77</f>
        <v>299.02210813320119</v>
      </c>
      <c r="J81" s="34">
        <f>'T12'!B77</f>
        <v>0.10832091698269401</v>
      </c>
      <c r="K81" s="34">
        <f>'T6'!A77</f>
        <v>299.02210813320119</v>
      </c>
      <c r="L81" s="160">
        <f>'T6'!B77</f>
        <v>8.4846836500362996E-2</v>
      </c>
    </row>
    <row r="82" spans="1:12" x14ac:dyDescent="0.2">
      <c r="A82" s="61">
        <f>'1.5 Tc'!A78</f>
        <v>4.5752312478049495</v>
      </c>
      <c r="B82" s="34">
        <f>'1.5 Tc'!B78</f>
        <v>15.175791527934569</v>
      </c>
      <c r="C82" s="34">
        <f>Tc!A78</f>
        <v>1.4132495410994286</v>
      </c>
      <c r="D82" s="34">
        <f>Tc!B78</f>
        <v>26.700708200051285</v>
      </c>
      <c r="E82" s="34">
        <f>'T18'!A78</f>
        <v>343.87542435318136</v>
      </c>
      <c r="F82" s="34">
        <f>'T18'!B78</f>
        <v>0.12023307542019301</v>
      </c>
      <c r="G82" s="34">
        <f>'T16'!A78</f>
        <v>343.87542435318136</v>
      </c>
      <c r="H82" s="34">
        <f>'T16'!B78</f>
        <v>0.11085067152980237</v>
      </c>
      <c r="I82" s="34">
        <f>'T12'!A78</f>
        <v>343.87542435318136</v>
      </c>
      <c r="J82" s="34">
        <f>'T12'!B78</f>
        <v>9.4218068920357501E-2</v>
      </c>
      <c r="K82" s="34">
        <f>'T6'!A78</f>
        <v>343.87542435318136</v>
      </c>
      <c r="L82" s="160">
        <f>'T6'!B78</f>
        <v>7.3811322361655329E-2</v>
      </c>
    </row>
    <row r="83" spans="1:12" x14ac:dyDescent="0.2">
      <c r="A83" s="61">
        <f>'1.5 Tc'!A79</f>
        <v>5.0327543725854449</v>
      </c>
      <c r="B83" s="34">
        <f>'1.5 Tc'!B79</f>
        <v>13.805768068109341</v>
      </c>
      <c r="C83" s="34">
        <f>Tc!A79</f>
        <v>1.4839120181544001</v>
      </c>
      <c r="D83" s="34">
        <f>Tc!B79</f>
        <v>25.706166355092911</v>
      </c>
      <c r="E83" s="34">
        <f>'T18'!A79</f>
        <v>395.45673800615856</v>
      </c>
      <c r="F83" s="34">
        <f>'T18'!B79</f>
        <v>0.10456568996954183</v>
      </c>
      <c r="G83" s="34">
        <f>'T16'!A79</f>
        <v>395.45673800615856</v>
      </c>
      <c r="H83" s="34">
        <f>'T16'!B79</f>
        <v>9.6408606602496019E-2</v>
      </c>
      <c r="I83" s="34">
        <f>'T12'!A79</f>
        <v>395.45673800615856</v>
      </c>
      <c r="J83" s="34">
        <f>'T12'!B79</f>
        <v>8.1948390875589944E-2</v>
      </c>
      <c r="K83" s="34">
        <f>'T6'!A79</f>
        <v>395.45673800615856</v>
      </c>
      <c r="L83" s="160">
        <f>'T6'!B79</f>
        <v>6.4207550568031568E-2</v>
      </c>
    </row>
    <row r="84" spans="1:12" x14ac:dyDescent="0.2">
      <c r="A84" s="61">
        <f>'1.5 Tc'!A80</f>
        <v>5.5360298098439902</v>
      </c>
      <c r="B84" s="34">
        <f>'1.5 Tc'!B80</f>
        <v>12.559042162838518</v>
      </c>
      <c r="C84" s="34">
        <f>Tc!A80</f>
        <v>1.5581076190621201</v>
      </c>
      <c r="D84" s="34">
        <f>Tc!B80</f>
        <v>24.734397131477291</v>
      </c>
      <c r="E84" s="34">
        <f>'T18'!A80</f>
        <v>454.77524870708231</v>
      </c>
      <c r="F84" s="34">
        <f>'T18'!B80</f>
        <v>9.0938172756215019E-2</v>
      </c>
      <c r="G84" s="34">
        <f>'T16'!A80</f>
        <v>454.77524870708231</v>
      </c>
      <c r="H84" s="34">
        <f>'T16'!B80</f>
        <v>8.3846212686833149E-2</v>
      </c>
      <c r="I84" s="34">
        <f>'T12'!A80</f>
        <v>454.77524870708231</v>
      </c>
      <c r="J84" s="34">
        <f>'T12'!B80</f>
        <v>7.1274317666565806E-2</v>
      </c>
      <c r="K84" s="34">
        <f>'T6'!A80</f>
        <v>454.77524870708231</v>
      </c>
      <c r="L84" s="160">
        <f>'T6'!B80</f>
        <v>5.5850643018898548E-2</v>
      </c>
    </row>
    <row r="85" spans="1:12" x14ac:dyDescent="0.2">
      <c r="A85" s="61">
        <f>'1.5 Tc'!A81</f>
        <v>6.0896327908283894</v>
      </c>
      <c r="B85" s="34">
        <f>'1.5 Tc'!B81</f>
        <v>11.424519765655848</v>
      </c>
      <c r="C85" s="34">
        <f>Tc!A81</f>
        <v>1.6360130000152262</v>
      </c>
      <c r="D85" s="34">
        <f>Tc!B81</f>
        <v>23.78643172715876</v>
      </c>
      <c r="E85" s="34">
        <f>'T18'!A81</f>
        <v>522.99153601314458</v>
      </c>
      <c r="F85" s="34">
        <f>'T18'!B81</f>
        <v>7.9085357095981385E-2</v>
      </c>
      <c r="G85" s="34">
        <f>'T16'!A81</f>
        <v>522.99153601314458</v>
      </c>
      <c r="H85" s="34">
        <f>'T16'!B81</f>
        <v>7.2919309308952837E-2</v>
      </c>
      <c r="I85" s="34">
        <f>'T12'!A81</f>
        <v>522.99153601314458</v>
      </c>
      <c r="J85" s="34">
        <f>'T12'!B81</f>
        <v>6.1988894414546483E-2</v>
      </c>
      <c r="K85" s="34">
        <f>'T6'!A81</f>
        <v>522.99153601314458</v>
      </c>
      <c r="L85" s="160">
        <f>'T6'!B81</f>
        <v>4.8579379950766013E-2</v>
      </c>
    </row>
    <row r="86" spans="1:12" x14ac:dyDescent="0.2">
      <c r="A86" s="61">
        <f>'1.5 Tc'!A82</f>
        <v>6.698596069911229</v>
      </c>
      <c r="B86" s="34">
        <f>'1.5 Tc'!B82</f>
        <v>10.392120519479834</v>
      </c>
      <c r="C86" s="34">
        <f>Tc!A82</f>
        <v>1.7178136500159875</v>
      </c>
      <c r="D86" s="34">
        <f>Tc!B82</f>
        <v>22.863081087315422</v>
      </c>
      <c r="E86" s="34">
        <f>'T18'!A82</f>
        <v>601.44026641511618</v>
      </c>
      <c r="F86" s="34">
        <f>'T18'!B82</f>
        <v>6.8776443075798457E-2</v>
      </c>
      <c r="G86" s="34">
        <f>'T16'!A82</f>
        <v>601.44026641511618</v>
      </c>
      <c r="H86" s="34">
        <f>'T16'!B82</f>
        <v>6.3415323260192655E-2</v>
      </c>
      <c r="I86" s="34">
        <f>'T12'!A82</f>
        <v>601.44026641511618</v>
      </c>
      <c r="J86" s="34">
        <f>'T12'!B82</f>
        <v>5.3911875683205476E-2</v>
      </c>
      <c r="K86" s="34">
        <f>'T6'!A82</f>
        <v>601.44026641511618</v>
      </c>
      <c r="L86" s="160">
        <f>'T6'!B82</f>
        <v>4.2253225302497546E-2</v>
      </c>
    </row>
    <row r="87" spans="1:12" x14ac:dyDescent="0.2">
      <c r="A87" s="61">
        <f>'1.5 Tc'!A83</f>
        <v>7.3684556769023528</v>
      </c>
      <c r="B87" s="34">
        <f>'1.5 Tc'!B83</f>
        <v>9.4526785759840557</v>
      </c>
      <c r="C87" s="34">
        <f>Tc!A83</f>
        <v>1.803704332516787</v>
      </c>
      <c r="D87" s="34">
        <f>Tc!B83</f>
        <v>21.964958369273756</v>
      </c>
      <c r="E87" s="34">
        <f>'T18'!A83</f>
        <v>691.65630637738354</v>
      </c>
      <c r="F87" s="34">
        <f>'T18'!B83</f>
        <v>5.9810568613439932E-2</v>
      </c>
      <c r="G87" s="34">
        <f>'T16'!A83</f>
        <v>691.65630637738354</v>
      </c>
      <c r="H87" s="34">
        <f>'T16'!B83</f>
        <v>5.5149225000548613E-2</v>
      </c>
      <c r="I87" s="34">
        <f>'T12'!A83</f>
        <v>691.65630637738354</v>
      </c>
      <c r="J87" s="34">
        <f>'T12'!B83</f>
        <v>4.6886311047874531E-2</v>
      </c>
      <c r="K87" s="34">
        <f>'T6'!A83</f>
        <v>691.65630637738354</v>
      </c>
      <c r="L87" s="160">
        <f>'T6'!B83</f>
        <v>3.6749712954871894E-2</v>
      </c>
    </row>
    <row r="88" spans="1:12" x14ac:dyDescent="0.2">
      <c r="A88" s="61">
        <f>'1.5 Tc'!A84</f>
        <v>8.1053012445925887</v>
      </c>
      <c r="B88" s="34">
        <f>'1.5 Tc'!B84</f>
        <v>8.5978551474097067</v>
      </c>
      <c r="C88" s="34">
        <f>Tc!A84</f>
        <v>1.8938895491426264</v>
      </c>
      <c r="D88" s="34">
        <f>Tc!B84</f>
        <v>21.092499849996472</v>
      </c>
      <c r="E88" s="34">
        <f>'T18'!A84</f>
        <v>795.40475233399104</v>
      </c>
      <c r="F88" s="34">
        <f>'T18'!B84</f>
        <v>5.2012945118489542E-2</v>
      </c>
      <c r="G88" s="34">
        <f>'T16'!A84</f>
        <v>795.40475233399104</v>
      </c>
      <c r="H88" s="34">
        <f>'T16'!B84</f>
        <v>4.7959980690792561E-2</v>
      </c>
      <c r="I88" s="34">
        <f>'T12'!A84</f>
        <v>795.40475233399104</v>
      </c>
      <c r="J88" s="34">
        <f>'T12'!B84</f>
        <v>4.0775559102637284E-2</v>
      </c>
      <c r="K88" s="34">
        <f>'T6'!A84</f>
        <v>795.40475233399104</v>
      </c>
      <c r="L88" s="160">
        <f>'T6'!B84</f>
        <v>3.1962153386309054E-2</v>
      </c>
    </row>
    <row r="89" spans="1:12" x14ac:dyDescent="0.2">
      <c r="A89" s="61">
        <f>'1.5 Tc'!A85</f>
        <v>8.9158313690518476</v>
      </c>
      <c r="B89" s="34">
        <f>'1.5 Tc'!B85</f>
        <v>7.8200608891941306</v>
      </c>
      <c r="C89" s="34">
        <f>Tc!A85</f>
        <v>1.9885840265997579</v>
      </c>
      <c r="D89" s="34">
        <f>Tc!B85</f>
        <v>20.245984292352524</v>
      </c>
      <c r="E89" s="34">
        <f>'T18'!A85</f>
        <v>914.71546518408968</v>
      </c>
      <c r="F89" s="34">
        <f>'T18'!B85</f>
        <v>4.5231487300841505E-2</v>
      </c>
      <c r="G89" s="34">
        <f>'T16'!A85</f>
        <v>914.71546518408968</v>
      </c>
      <c r="H89" s="34">
        <f>'T16'!B85</f>
        <v>4.1707456108930084E-2</v>
      </c>
      <c r="I89" s="34">
        <f>'T12'!A85</f>
        <v>914.71546518408968</v>
      </c>
      <c r="J89" s="34">
        <f>'T12'!B85</f>
        <v>3.5460678147654745E-2</v>
      </c>
      <c r="K89" s="34">
        <f>'T6'!A85</f>
        <v>914.71546518408968</v>
      </c>
      <c r="L89" s="160">
        <f>'T6'!B85</f>
        <v>2.7797623951744746E-2</v>
      </c>
    </row>
    <row r="90" spans="1:12" x14ac:dyDescent="0.2">
      <c r="A90" s="61">
        <f>'1.5 Tc'!A86</f>
        <v>9.8074145059570323</v>
      </c>
      <c r="B90" s="34">
        <f>'1.5 Tc'!B86</f>
        <v>7.1123866176340345</v>
      </c>
      <c r="C90" s="34">
        <f>Tc!A86</f>
        <v>2.0880132279297459</v>
      </c>
      <c r="D90" s="34">
        <f>Tc!B86</f>
        <v>19.42555080878067</v>
      </c>
      <c r="E90" s="34"/>
      <c r="F90" s="34"/>
      <c r="G90" s="34"/>
      <c r="H90" s="34"/>
      <c r="I90" s="34"/>
      <c r="J90" s="34"/>
      <c r="K90" s="34"/>
      <c r="L90" s="160"/>
    </row>
    <row r="91" spans="1:12" x14ac:dyDescent="0.2">
      <c r="A91" s="61">
        <f>'1.5 Tc'!A87</f>
        <v>10.788155956552737</v>
      </c>
      <c r="B91" s="34">
        <f>'1.5 Tc'!B87</f>
        <v>6.4685411740716576</v>
      </c>
      <c r="C91" s="34">
        <f>Tc!A87</f>
        <v>2.1924138893262333</v>
      </c>
      <c r="D91" s="34">
        <f>Tc!B87</f>
        <v>18.631215276926643</v>
      </c>
      <c r="E91" s="34"/>
      <c r="F91" s="34"/>
      <c r="G91" s="34"/>
      <c r="H91" s="34"/>
      <c r="I91" s="34"/>
      <c r="J91" s="34"/>
      <c r="K91" s="34"/>
      <c r="L91" s="160"/>
    </row>
    <row r="92" spans="1:12" x14ac:dyDescent="0.2">
      <c r="A92" s="61">
        <f>'1.5 Tc'!A88</f>
        <v>11.866971552208012</v>
      </c>
      <c r="B92" s="34">
        <f>'1.5 Tc'!B88</f>
        <v>5.8827954805723106</v>
      </c>
      <c r="C92" s="34">
        <f>Tc!A88</f>
        <v>2.3020345837925449</v>
      </c>
      <c r="D92" s="34">
        <f>Tc!B88</f>
        <v>17.862885372789094</v>
      </c>
      <c r="E92" s="34"/>
      <c r="F92" s="34"/>
      <c r="G92" s="34"/>
      <c r="H92" s="34"/>
      <c r="I92" s="34"/>
      <c r="J92" s="34"/>
      <c r="K92" s="34"/>
      <c r="L92" s="160"/>
    </row>
    <row r="93" spans="1:12" x14ac:dyDescent="0.2">
      <c r="A93" s="61">
        <f>'1.5 Tc'!A89</f>
        <v>13.053668707428814</v>
      </c>
      <c r="B93" s="34">
        <f>'1.5 Tc'!B89</f>
        <v>5.3499320103024619</v>
      </c>
      <c r="C93" s="34">
        <f>Tc!A89</f>
        <v>2.4171363129821724</v>
      </c>
      <c r="D93" s="34">
        <f>Tc!B89</f>
        <v>17.120374293970457</v>
      </c>
      <c r="E93" s="34"/>
      <c r="F93" s="34"/>
      <c r="G93" s="34"/>
      <c r="H93" s="34"/>
      <c r="I93" s="34"/>
      <c r="J93" s="34"/>
      <c r="K93" s="34"/>
      <c r="L93" s="160"/>
    </row>
    <row r="94" spans="1:12" x14ac:dyDescent="0.2">
      <c r="A94" s="61">
        <f>'1.5 Tc'!A90</f>
        <v>14.359035578171698</v>
      </c>
      <c r="B94" s="34">
        <f>'1.5 Tc'!B90</f>
        <v>4.8651990326920771</v>
      </c>
      <c r="C94" s="34">
        <f>Tc!A90</f>
        <v>2.5379931286312809</v>
      </c>
      <c r="D94" s="34">
        <f>Tc!B90</f>
        <v>16.403413249685329</v>
      </c>
      <c r="E94" s="34"/>
      <c r="F94" s="34"/>
      <c r="G94" s="34"/>
      <c r="H94" s="34"/>
      <c r="I94" s="34"/>
      <c r="J94" s="34"/>
      <c r="K94" s="34"/>
      <c r="L94" s="160"/>
    </row>
    <row r="95" spans="1:12" x14ac:dyDescent="0.2">
      <c r="A95" s="61">
        <f>'1.5 Tc'!A91</f>
        <v>15.794939135988869</v>
      </c>
      <c r="B95" s="34">
        <f>'1.5 Tc'!B91</f>
        <v>4.4242690993406448</v>
      </c>
      <c r="C95" s="34">
        <f>Tc!A91</f>
        <v>2.664892785062845</v>
      </c>
      <c r="D95" s="34">
        <f>Tc!B91</f>
        <v>15.711662795936554</v>
      </c>
      <c r="E95" s="34"/>
      <c r="F95" s="34"/>
      <c r="G95" s="34"/>
      <c r="H95" s="34"/>
      <c r="I95" s="34"/>
      <c r="J95" s="34"/>
      <c r="K95" s="34"/>
      <c r="L95" s="160"/>
    </row>
    <row r="96" spans="1:12" x14ac:dyDescent="0.2">
      <c r="A96" s="61">
        <f>'1.5 Tc'!A92</f>
        <v>17.374433049587758</v>
      </c>
      <c r="B96" s="34">
        <f>'1.5 Tc'!B92</f>
        <v>4.0232013192433564</v>
      </c>
      <c r="C96" s="34">
        <f>Tc!A92</f>
        <v>2.7981374243159873</v>
      </c>
      <c r="D96" s="34">
        <f>Tc!B92</f>
        <v>15.044723094287157</v>
      </c>
      <c r="E96" s="34"/>
      <c r="F96" s="34"/>
      <c r="G96" s="34"/>
      <c r="H96" s="34"/>
      <c r="I96" s="34"/>
      <c r="J96" s="34"/>
      <c r="K96" s="34"/>
      <c r="L96" s="160"/>
    </row>
    <row r="97" spans="1:12" x14ac:dyDescent="0.2">
      <c r="A97" s="61">
        <f>'1.5 Tc'!A93</f>
        <v>19.111876354546535</v>
      </c>
      <c r="B97" s="34">
        <f>'1.5 Tc'!B93</f>
        <v>3.6584070370461448</v>
      </c>
      <c r="C97" s="34">
        <f>Tc!A93</f>
        <v>2.9380442955317867</v>
      </c>
      <c r="D97" s="34">
        <f>Tc!B93</f>
        <v>14.402143171378052</v>
      </c>
      <c r="E97" s="34"/>
      <c r="F97" s="34"/>
      <c r="G97" s="34"/>
      <c r="H97" s="34"/>
      <c r="I97" s="34"/>
      <c r="J97" s="34"/>
      <c r="K97" s="34"/>
      <c r="L97" s="160"/>
    </row>
    <row r="98" spans="1:12" x14ac:dyDescent="0.2">
      <c r="A98" s="61">
        <f>'1.5 Tc'!A94</f>
        <v>21.023063990001191</v>
      </c>
      <c r="B98" s="34">
        <f>'1.5 Tc'!B94</f>
        <v>3.3266185799881769</v>
      </c>
      <c r="C98" s="34">
        <f>Tc!A94</f>
        <v>3.084946510308376</v>
      </c>
      <c r="D98" s="34">
        <f>Tc!B94</f>
        <v>13.783429254116307</v>
      </c>
      <c r="E98" s="34"/>
      <c r="F98" s="34"/>
      <c r="G98" s="34"/>
      <c r="H98" s="34"/>
      <c r="I98" s="34"/>
      <c r="J98" s="34"/>
      <c r="K98" s="34"/>
      <c r="L98" s="160"/>
    </row>
    <row r="99" spans="1:12" x14ac:dyDescent="0.2">
      <c r="A99" s="61">
        <f>'1.5 Tc'!A95</f>
        <v>23.125370389001311</v>
      </c>
      <c r="B99" s="34">
        <f>'1.5 Tc'!B95</f>
        <v>3.0248607811627046</v>
      </c>
      <c r="C99" s="34">
        <f>Tc!A95</f>
        <v>3.2391938358237948</v>
      </c>
      <c r="D99" s="34">
        <f>Tc!B95</f>
        <v>13.188052252562347</v>
      </c>
      <c r="E99" s="34"/>
      <c r="F99" s="34"/>
      <c r="G99" s="34"/>
      <c r="H99" s="34"/>
      <c r="I99" s="34"/>
      <c r="J99" s="34"/>
      <c r="K99" s="34"/>
      <c r="L99" s="160"/>
    </row>
    <row r="100" spans="1:12" x14ac:dyDescent="0.2">
      <c r="A100" s="61">
        <f>'1.5 Tc'!A96</f>
        <v>25.437907427901443</v>
      </c>
      <c r="B100" s="34">
        <f>'1.5 Tc'!B96</f>
        <v>2.7504250211068837</v>
      </c>
      <c r="C100" s="34">
        <f>Tc!A96</f>
        <v>3.4011535276149849</v>
      </c>
      <c r="D100" s="34">
        <f>Tc!B96</f>
        <v>12.615454459192451</v>
      </c>
      <c r="E100" s="34"/>
      <c r="F100" s="34"/>
      <c r="G100" s="34"/>
      <c r="H100" s="34"/>
      <c r="I100" s="34"/>
      <c r="J100" s="34"/>
      <c r="K100" s="34"/>
      <c r="L100" s="160"/>
    </row>
    <row r="101" spans="1:12" x14ac:dyDescent="0.2">
      <c r="A101" s="61">
        <f>'1.5 Tc'!A97</f>
        <v>27.98169817069159</v>
      </c>
      <c r="B101" s="34">
        <f>'1.5 Tc'!B97</f>
        <v>2.5008455582935984</v>
      </c>
      <c r="C101" s="34">
        <f>Tc!A97</f>
        <v>3.5712112039957344</v>
      </c>
      <c r="D101" s="34">
        <f>Tc!B97</f>
        <v>12.065055529573224</v>
      </c>
      <c r="E101" s="34"/>
      <c r="F101" s="34"/>
      <c r="G101" s="34"/>
      <c r="H101" s="34"/>
      <c r="I101" s="34"/>
      <c r="J101" s="34"/>
      <c r="K101" s="34"/>
      <c r="L101" s="160"/>
    </row>
    <row r="102" spans="1:12" x14ac:dyDescent="0.2">
      <c r="A102" s="61">
        <f>'1.5 Tc'!A98</f>
        <v>30.779867987760753</v>
      </c>
      <c r="B102" s="34">
        <f>'1.5 Tc'!B98</f>
        <v>2.2738779431650893</v>
      </c>
      <c r="C102" s="34">
        <f>Tc!A98</f>
        <v>3.7497717641955215</v>
      </c>
      <c r="D102" s="34">
        <f>Tc!B98</f>
        <v>11.536257805688177</v>
      </c>
      <c r="E102" s="34"/>
      <c r="F102" s="34"/>
      <c r="G102" s="34"/>
      <c r="H102" s="34"/>
      <c r="I102" s="34"/>
      <c r="J102" s="34"/>
      <c r="K102" s="34"/>
      <c r="L102" s="160"/>
    </row>
    <row r="103" spans="1:12" x14ac:dyDescent="0.2">
      <c r="A103" s="61">
        <f>'1.5 Tc'!A99</f>
        <v>33.857854786536834</v>
      </c>
      <c r="B103" s="34">
        <f>'1.5 Tc'!B99</f>
        <v>2.0674793309043351</v>
      </c>
      <c r="C103" s="34">
        <f>Tc!A99</f>
        <v>3.9372603524052976</v>
      </c>
      <c r="D103" s="34">
        <f>Tc!B99</f>
        <v>11.028451039302329</v>
      </c>
      <c r="E103" s="34"/>
      <c r="F103" s="34"/>
      <c r="G103" s="34"/>
      <c r="H103" s="34"/>
      <c r="I103" s="34"/>
      <c r="J103" s="34"/>
      <c r="K103" s="34"/>
      <c r="L103" s="160"/>
    </row>
    <row r="104" spans="1:12" x14ac:dyDescent="0.2">
      <c r="A104" s="61">
        <f>'1.5 Tc'!A100</f>
        <v>37.243640265190521</v>
      </c>
      <c r="B104" s="34">
        <f>'1.5 Tc'!B100</f>
        <v>1.8797905259213501</v>
      </c>
      <c r="C104" s="34">
        <f>Tc!A100</f>
        <v>4.1341233700255628</v>
      </c>
      <c r="D104" s="34">
        <f>Tc!B100</f>
        <v>10.541016568914888</v>
      </c>
      <c r="E104" s="34"/>
      <c r="F104" s="34"/>
      <c r="G104" s="34"/>
      <c r="H104" s="34"/>
      <c r="I104" s="34"/>
      <c r="J104" s="34"/>
      <c r="K104" s="34"/>
      <c r="L104" s="160"/>
    </row>
    <row r="105" spans="1:12" x14ac:dyDescent="0.2">
      <c r="A105" s="61">
        <f>'1.5 Tc'!A101</f>
        <v>40.968004291709576</v>
      </c>
      <c r="B105" s="34">
        <f>'1.5 Tc'!B101</f>
        <v>1.7091196065887484</v>
      </c>
      <c r="C105" s="34">
        <f>Tc!A101</f>
        <v>4.3408295385268412</v>
      </c>
      <c r="D105" s="34">
        <f>Tc!B101</f>
        <v>10.073331000088968</v>
      </c>
      <c r="E105" s="34"/>
      <c r="F105" s="34"/>
      <c r="G105" s="34"/>
      <c r="H105" s="34"/>
      <c r="I105" s="34"/>
      <c r="J105" s="34"/>
      <c r="K105" s="34"/>
      <c r="L105" s="160"/>
    </row>
    <row r="106" spans="1:12" x14ac:dyDescent="0.2">
      <c r="A106" s="61">
        <f>'1.5 Tc'!A102</f>
        <v>45.064804720880538</v>
      </c>
      <c r="B106" s="34">
        <f>'1.5 Tc'!B102</f>
        <v>1.5539269925088517</v>
      </c>
      <c r="C106" s="34">
        <f>Tc!A102</f>
        <v>4.5578710154531832</v>
      </c>
      <c r="D106" s="34">
        <f>Tc!B102</f>
        <v>9.6247694353019817</v>
      </c>
      <c r="E106" s="34"/>
      <c r="F106" s="34"/>
      <c r="G106" s="34"/>
      <c r="H106" s="34"/>
      <c r="I106" s="34"/>
      <c r="J106" s="34"/>
      <c r="K106" s="34"/>
      <c r="L106" s="160"/>
    </row>
    <row r="107" spans="1:12" x14ac:dyDescent="0.2">
      <c r="A107" s="78">
        <f>'1.5 Tc'!A103</f>
        <v>49.571285192968595</v>
      </c>
      <c r="B107" s="79">
        <f>'1.5 Tc'!B103</f>
        <v>1.4128118288471732</v>
      </c>
      <c r="C107" s="79">
        <f>Tc!A103</f>
        <v>4.7857645662258426</v>
      </c>
      <c r="D107" s="79">
        <f>Tc!B103</f>
        <v>9.1947082959601669</v>
      </c>
      <c r="E107" s="79"/>
      <c r="F107" s="79"/>
      <c r="G107" s="79"/>
      <c r="H107" s="79"/>
      <c r="I107" s="79"/>
      <c r="J107" s="79"/>
      <c r="K107" s="79"/>
      <c r="L107" s="164"/>
    </row>
  </sheetData>
  <phoneticPr fontId="3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3</vt:i4>
      </vt:variant>
    </vt:vector>
  </HeadingPairs>
  <TitlesOfParts>
    <vt:vector size="34" baseType="lpstr">
      <vt:lpstr>Sheet1</vt:lpstr>
      <vt:lpstr> T = Tb</vt:lpstr>
      <vt:lpstr>Tmin</vt:lpstr>
      <vt:lpstr>T2</vt:lpstr>
      <vt:lpstr>T3</vt:lpstr>
      <vt:lpstr>T4</vt:lpstr>
      <vt:lpstr>T5</vt:lpstr>
      <vt:lpstr>T6</vt:lpstr>
      <vt:lpstr>T7</vt:lpstr>
      <vt:lpstr>T8</vt:lpstr>
      <vt:lpstr>T9</vt:lpstr>
      <vt:lpstr>T10</vt:lpstr>
      <vt:lpstr>T11</vt:lpstr>
      <vt:lpstr>T12</vt:lpstr>
      <vt:lpstr>T13</vt:lpstr>
      <vt:lpstr>T14</vt:lpstr>
      <vt:lpstr>T15</vt:lpstr>
      <vt:lpstr>T16</vt:lpstr>
      <vt:lpstr>T17</vt:lpstr>
      <vt:lpstr>T18</vt:lpstr>
      <vt:lpstr>T19</vt:lpstr>
      <vt:lpstr>T20</vt:lpstr>
      <vt:lpstr>T21</vt:lpstr>
      <vt:lpstr>Tc</vt:lpstr>
      <vt:lpstr>1.5 Tc</vt:lpstr>
      <vt:lpstr>a = a(T)</vt:lpstr>
      <vt:lpstr>Pvap</vt:lpstr>
      <vt:lpstr>Phase diagram</vt:lpstr>
      <vt:lpstr>B = B(T)</vt:lpstr>
      <vt:lpstr>VL-Rackett</vt:lpstr>
      <vt:lpstr>Isotherms</vt:lpstr>
      <vt:lpstr>solve_e13</vt:lpstr>
      <vt:lpstr>solve_e15</vt:lpstr>
      <vt:lpstr>solve_e16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 Dent</dc:creator>
  <cp:lastModifiedBy>User</cp:lastModifiedBy>
  <cp:lastPrinted>2003-05-02T13:56:35Z</cp:lastPrinted>
  <dcterms:created xsi:type="dcterms:W3CDTF">2003-05-02T09:12:04Z</dcterms:created>
  <dcterms:modified xsi:type="dcterms:W3CDTF">2015-04-19T10:22:28Z</dcterms:modified>
</cp:coreProperties>
</file>