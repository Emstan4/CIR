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drawings/drawing13.xml" ContentType="application/vnd.openxmlformats-officedocument.drawing+xml"/>
  <Override PartName="/xl/charts/chart11.xml" ContentType="application/vnd.openxmlformats-officedocument.drawingml.chart+xml"/>
  <Override PartName="/xl/drawings/drawing14.xml" ContentType="application/vnd.openxmlformats-officedocument.drawing+xml"/>
  <Override PartName="/xl/charts/chart12.xml" ContentType="application/vnd.openxmlformats-officedocument.drawingml.chart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drawings/drawing16.xml" ContentType="application/vnd.openxmlformats-officedocument.drawing+xml"/>
  <Override PartName="/xl/charts/chart14.xml" ContentType="application/vnd.openxmlformats-officedocument.drawingml.chart+xml"/>
  <Override PartName="/xl/drawings/drawing17.xml" ContentType="application/vnd.openxmlformats-officedocument.drawing+xml"/>
  <Override PartName="/xl/charts/chart15.xml" ContentType="application/vnd.openxmlformats-officedocument.drawingml.chart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+xml"/>
  <Override PartName="/xl/charts/chart17.xml" ContentType="application/vnd.openxmlformats-officedocument.drawingml.chart+xml"/>
  <Override PartName="/xl/drawings/drawing20.xml" ContentType="application/vnd.openxmlformats-officedocument.drawing+xml"/>
  <Override PartName="/xl/charts/chart18.xml" ContentType="application/vnd.openxmlformats-officedocument.drawingml.chart+xml"/>
  <Override PartName="/xl/drawings/drawing21.xml" ContentType="application/vnd.openxmlformats-officedocument.drawing+xml"/>
  <Override PartName="/xl/charts/chart19.xml" ContentType="application/vnd.openxmlformats-officedocument.drawingml.chart+xml"/>
  <Override PartName="/xl/drawings/drawing22.xml" ContentType="application/vnd.openxmlformats-officedocument.drawing+xml"/>
  <Override PartName="/xl/charts/chart20.xml" ContentType="application/vnd.openxmlformats-officedocument.drawingml.chart+xml"/>
  <Override PartName="/xl/drawings/drawing23.xml" ContentType="application/vnd.openxmlformats-officedocument.drawing+xml"/>
  <Override PartName="/xl/charts/chart21.xml" ContentType="application/vnd.openxmlformats-officedocument.drawingml.chart+xml"/>
  <Override PartName="/xl/drawings/drawing24.xml" ContentType="application/vnd.openxmlformats-officedocument.drawing+xml"/>
  <Override PartName="/xl/charts/chart22.xml" ContentType="application/vnd.openxmlformats-officedocument.drawingml.chart+xml"/>
  <Override PartName="/xl/drawings/drawing25.xml" ContentType="application/vnd.openxmlformats-officedocument.drawing+xml"/>
  <Override PartName="/xl/charts/chart23.xml" ContentType="application/vnd.openxmlformats-officedocument.drawingml.chart+xml"/>
  <Override PartName="/xl/drawings/drawing26.xml" ContentType="application/vnd.openxmlformats-officedocument.drawing+xml"/>
  <Override PartName="/xl/charts/chart24.xml" ContentType="application/vnd.openxmlformats-officedocument.drawingml.chart+xml"/>
  <Override PartName="/xl/drawings/drawing27.xml" ContentType="application/vnd.openxmlformats-officedocument.drawing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9.xml" ContentType="application/vnd.openxmlformats-officedocument.drawingml.chart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drawings/drawing32.xml" ContentType="application/vnd.openxmlformats-officedocument.drawing+xml"/>
  <Override PartName="/xl/charts/chart31.xml" ContentType="application/vnd.openxmlformats-officedocument.drawingml.chart+xml"/>
  <Override PartName="/xl/drawings/drawing33.xml" ContentType="application/vnd.openxmlformats-officedocument.drawing+xml"/>
  <Override PartName="/xl/charts/chart32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embeddings/oleObject2.bin" ContentType="application/vnd.openxmlformats-officedocument.oleObject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6.xml" ContentType="application/vnd.openxmlformats-officedocument.drawing+xml"/>
  <Override PartName="/xl/comments1.xml" ContentType="application/vnd.openxmlformats-officedocument.spreadsheetml.comments+xml"/>
  <Override PartName="/xl/charts/chart35.xml" ContentType="application/vnd.openxmlformats-officedocument.drawingml.chart+xml"/>
  <Override PartName="/xl/drawings/drawing3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5" yWindow="-105" windowWidth="14925" windowHeight="3780" tabRatio="923" activeTab="16"/>
  </bookViews>
  <sheets>
    <sheet name="Sheet1" sheetId="68" r:id="rId1"/>
    <sheet name=" T = Tb" sheetId="33" r:id="rId2"/>
    <sheet name="Tmin" sheetId="34" r:id="rId3"/>
    <sheet name="T2" sheetId="35" r:id="rId4"/>
    <sheet name="T3" sheetId="36" r:id="rId5"/>
    <sheet name="T4" sheetId="37" r:id="rId6"/>
    <sheet name="T5" sheetId="38" r:id="rId7"/>
    <sheet name="T6" sheetId="39" r:id="rId8"/>
    <sheet name="T7" sheetId="40" r:id="rId9"/>
    <sheet name="T8" sheetId="41" r:id="rId10"/>
    <sheet name="T9" sheetId="42" r:id="rId11"/>
    <sheet name="T10#" sheetId="43" r:id="rId12"/>
    <sheet name="T11" sheetId="44" r:id="rId13"/>
    <sheet name="T12" sheetId="45" r:id="rId14"/>
    <sheet name="T13" sheetId="46" r:id="rId15"/>
    <sheet name="T14" sheetId="47" r:id="rId16"/>
    <sheet name="T15" sheetId="48" r:id="rId17"/>
    <sheet name="T16" sheetId="49" r:id="rId18"/>
    <sheet name="T17" sheetId="50" r:id="rId19"/>
    <sheet name="T18" sheetId="51" r:id="rId20"/>
    <sheet name="T19" sheetId="52" r:id="rId21"/>
    <sheet name="T20" sheetId="53" r:id="rId22"/>
    <sheet name="T21" sheetId="54" r:id="rId23"/>
    <sheet name="Tc" sheetId="55" r:id="rId24"/>
    <sheet name="1.5 Tc" sheetId="56" r:id="rId25"/>
    <sheet name="a = a(T)" sheetId="57" r:id="rId26"/>
    <sheet name="Pvap" sheetId="58" r:id="rId27"/>
    <sheet name="Phase diagram" sheetId="59" r:id="rId28"/>
    <sheet name="B = B(T)" sheetId="60" r:id="rId29"/>
    <sheet name="VL-Rackett" sheetId="62" r:id="rId30"/>
    <sheet name="Isotherms" sheetId="63" r:id="rId31"/>
  </sheets>
  <externalReferences>
    <externalReference r:id="rId32"/>
  </externalReferences>
  <definedNames>
    <definedName name="solve_e13">' T = Tb'!$D$30:$D$39</definedName>
    <definedName name="solve_e15">' T = Tb'!$E$30:$E$39</definedName>
    <definedName name="solve_e16">' T = Tb'!$F$30:$F$39</definedName>
    <definedName name="solver_adj" localSheetId="1" hidden="1">' T = Tb'!$B$16</definedName>
    <definedName name="solver_adj" localSheetId="24" hidden="1">'1.5 Tc'!$B$16</definedName>
    <definedName name="solver_adj" localSheetId="25" hidden="1">'a = a(T)'!$B$16</definedName>
    <definedName name="solver_adj" localSheetId="28" hidden="1">'B = B(T)'!$B$16</definedName>
    <definedName name="solver_adj" localSheetId="27" hidden="1">'Phase diagram'!$B$16</definedName>
    <definedName name="solver_adj" localSheetId="26" hidden="1">Pvap!$B$16</definedName>
    <definedName name="solver_adj" localSheetId="11" hidden="1">'T10#'!$B$16</definedName>
    <definedName name="solver_adj" localSheetId="12" hidden="1">'T11'!$B$16</definedName>
    <definedName name="solver_adj" localSheetId="13" hidden="1">'T12'!$B$16</definedName>
    <definedName name="solver_adj" localSheetId="14" hidden="1">'T13'!$B$16</definedName>
    <definedName name="solver_adj" localSheetId="15" hidden="1">'T14'!$B$16</definedName>
    <definedName name="solver_adj" localSheetId="16" hidden="1">'T15'!$B$16</definedName>
    <definedName name="solver_adj" localSheetId="17" hidden="1">'T16'!$B$16</definedName>
    <definedName name="solver_adj" localSheetId="18" hidden="1">'T17'!$B$13</definedName>
    <definedName name="solver_adj" localSheetId="19" hidden="1">'T18'!$B$16</definedName>
    <definedName name="solver_adj" localSheetId="20" hidden="1">'T19'!$B$13</definedName>
    <definedName name="solver_adj" localSheetId="3" hidden="1">'T2'!$B$16</definedName>
    <definedName name="solver_adj" localSheetId="21" hidden="1">'T20'!$B$13</definedName>
    <definedName name="solver_adj" localSheetId="22" hidden="1">'T21'!$B$13</definedName>
    <definedName name="solver_adj" localSheetId="4" hidden="1">'T3'!$B$16</definedName>
    <definedName name="solver_adj" localSheetId="5" hidden="1">'T4'!$B$16</definedName>
    <definedName name="solver_adj" localSheetId="6" hidden="1">'T5'!$B$16</definedName>
    <definedName name="solver_adj" localSheetId="7" hidden="1">'T6'!$B$16</definedName>
    <definedName name="solver_adj" localSheetId="8" hidden="1">'T7'!$B$16</definedName>
    <definedName name="solver_adj" localSheetId="9" hidden="1">'T8'!$B$16</definedName>
    <definedName name="solver_adj" localSheetId="10" hidden="1">'T9'!$B$16</definedName>
    <definedName name="solver_adj" localSheetId="23" hidden="1">Tc!$B$16</definedName>
    <definedName name="solver_adj" localSheetId="2" hidden="1">Tmin!$B$16</definedName>
    <definedName name="solver_adj" localSheetId="29" hidden="1">'VL-Rackett'!$G$15,'VL-Rackett'!$G$16</definedName>
    <definedName name="solver_cvg" localSheetId="1" hidden="1">0.0001</definedName>
    <definedName name="solver_cvg" localSheetId="24" hidden="1">0.0001</definedName>
    <definedName name="solver_cvg" localSheetId="25" hidden="1">0.0001</definedName>
    <definedName name="solver_cvg" localSheetId="28" hidden="1">0.0001</definedName>
    <definedName name="solver_cvg" localSheetId="27" hidden="1">0.0001</definedName>
    <definedName name="solver_cvg" localSheetId="26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18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21" hidden="1">0.0001</definedName>
    <definedName name="solver_cvg" localSheetId="22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23" hidden="1">0.0001</definedName>
    <definedName name="solver_cvg" localSheetId="2" hidden="1">0.0001</definedName>
    <definedName name="solver_cvg" localSheetId="29" hidden="1">0.0001</definedName>
    <definedName name="solver_cvg" hidden="1">0.0001</definedName>
    <definedName name="solver_drv" localSheetId="1" hidden="1">2</definedName>
    <definedName name="solver_drv" localSheetId="24" hidden="1">2</definedName>
    <definedName name="solver_drv" localSheetId="25" hidden="1">2</definedName>
    <definedName name="solver_drv" localSheetId="28" hidden="1">2</definedName>
    <definedName name="solver_drv" localSheetId="27" hidden="1">2</definedName>
    <definedName name="solver_drv" localSheetId="26" hidden="1">2</definedName>
    <definedName name="solver_drv" localSheetId="11" hidden="1">2</definedName>
    <definedName name="solver_drv" localSheetId="12" hidden="1">2</definedName>
    <definedName name="solver_drv" localSheetId="13" hidden="1">2</definedName>
    <definedName name="solver_drv" localSheetId="14" hidden="1">2</definedName>
    <definedName name="solver_drv" localSheetId="15" hidden="1">2</definedName>
    <definedName name="solver_drv" localSheetId="16" hidden="1">2</definedName>
    <definedName name="solver_drv" localSheetId="17" hidden="1">2</definedName>
    <definedName name="solver_drv" localSheetId="18" hidden="1">2</definedName>
    <definedName name="solver_drv" localSheetId="19" hidden="1">2</definedName>
    <definedName name="solver_drv" localSheetId="20" hidden="1">2</definedName>
    <definedName name="solver_drv" localSheetId="3" hidden="1">2</definedName>
    <definedName name="solver_drv" localSheetId="21" hidden="1">2</definedName>
    <definedName name="solver_drv" localSheetId="22" hidden="1">2</definedName>
    <definedName name="solver_drv" localSheetId="4" hidden="1">2</definedName>
    <definedName name="solver_drv" localSheetId="5" hidden="1">2</definedName>
    <definedName name="solver_drv" localSheetId="6" hidden="1">2</definedName>
    <definedName name="solver_drv" localSheetId="7" hidden="1">2</definedName>
    <definedName name="solver_drv" localSheetId="8" hidden="1">2</definedName>
    <definedName name="solver_drv" localSheetId="9" hidden="1">2</definedName>
    <definedName name="solver_drv" localSheetId="10" hidden="1">2</definedName>
    <definedName name="solver_drv" localSheetId="23" hidden="1">2</definedName>
    <definedName name="solver_drv" localSheetId="2" hidden="1">2</definedName>
    <definedName name="solver_drv" localSheetId="29" hidden="1">1</definedName>
    <definedName name="solver_drv" hidden="1">2</definedName>
    <definedName name="solver_est" localSheetId="1" hidden="1">1</definedName>
    <definedName name="solver_est" localSheetId="24" hidden="1">1</definedName>
    <definedName name="solver_est" localSheetId="25" hidden="1">1</definedName>
    <definedName name="solver_est" localSheetId="28" hidden="1">1</definedName>
    <definedName name="solver_est" localSheetId="27" hidden="1">1</definedName>
    <definedName name="solver_est" localSheetId="26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8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21" hidden="1">1</definedName>
    <definedName name="solver_est" localSheetId="22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23" hidden="1">1</definedName>
    <definedName name="solver_est" localSheetId="2" hidden="1">1</definedName>
    <definedName name="solver_est" localSheetId="29" hidden="1">1</definedName>
    <definedName name="solver_est" hidden="1">1</definedName>
    <definedName name="solver_itr" localSheetId="1" hidden="1">5000</definedName>
    <definedName name="solver_itr" localSheetId="24" hidden="1">5000</definedName>
    <definedName name="solver_itr" localSheetId="25" hidden="1">5000</definedName>
    <definedName name="solver_itr" localSheetId="28" hidden="1">5000</definedName>
    <definedName name="solver_itr" localSheetId="27" hidden="1">5000</definedName>
    <definedName name="solver_itr" localSheetId="26" hidden="1">5000</definedName>
    <definedName name="solver_itr" localSheetId="11" hidden="1">5000</definedName>
    <definedName name="solver_itr" localSheetId="12" hidden="1">5000</definedName>
    <definedName name="solver_itr" localSheetId="13" hidden="1">5000</definedName>
    <definedName name="solver_itr" localSheetId="14" hidden="1">5000</definedName>
    <definedName name="solver_itr" localSheetId="15" hidden="1">5000</definedName>
    <definedName name="solver_itr" localSheetId="16" hidden="1">5000</definedName>
    <definedName name="solver_itr" localSheetId="17" hidden="1">5000</definedName>
    <definedName name="solver_itr" localSheetId="18" hidden="1">5000</definedName>
    <definedName name="solver_itr" localSheetId="19" hidden="1">5000</definedName>
    <definedName name="solver_itr" localSheetId="20" hidden="1">5000</definedName>
    <definedName name="solver_itr" localSheetId="3" hidden="1">5000</definedName>
    <definedName name="solver_itr" localSheetId="21" hidden="1">5000</definedName>
    <definedName name="solver_itr" localSheetId="22" hidden="1">5000</definedName>
    <definedName name="solver_itr" localSheetId="4" hidden="1">5000</definedName>
    <definedName name="solver_itr" localSheetId="5" hidden="1">5000</definedName>
    <definedName name="solver_itr" localSheetId="6" hidden="1">5000</definedName>
    <definedName name="solver_itr" localSheetId="7" hidden="1">5000</definedName>
    <definedName name="solver_itr" localSheetId="8" hidden="1">5000</definedName>
    <definedName name="solver_itr" localSheetId="9" hidden="1">5000</definedName>
    <definedName name="solver_itr" localSheetId="10" hidden="1">5000</definedName>
    <definedName name="solver_itr" localSheetId="23" hidden="1">5000</definedName>
    <definedName name="solver_itr" localSheetId="2" hidden="1">5000</definedName>
    <definedName name="solver_itr" localSheetId="29" hidden="1">100</definedName>
    <definedName name="solver_itr" hidden="1">5000</definedName>
    <definedName name="solver_lhs1" localSheetId="1" hidden="1">' T = Tb'!$B$13</definedName>
    <definedName name="solver_lhs1" localSheetId="18" hidden="1">'T17'!$B$16</definedName>
    <definedName name="solver_lhs1" localSheetId="19" hidden="1">'T18'!$B$18</definedName>
    <definedName name="solver_lhs1" localSheetId="20" hidden="1">'T19'!$B$13</definedName>
    <definedName name="solver_lhs1" localSheetId="21" hidden="1">'T20'!$B$13</definedName>
    <definedName name="solver_lhs1" localSheetId="22" hidden="1">'T21'!$B$15</definedName>
    <definedName name="solver_lhs1" localSheetId="4" hidden="1">'T3'!$B$15</definedName>
    <definedName name="solver_lhs1" localSheetId="8" hidden="1">'T7'!$B$16</definedName>
    <definedName name="solver_lhs1" localSheetId="10" hidden="1">'T9'!$B$16</definedName>
    <definedName name="solver_lhs1" localSheetId="23" hidden="1">Tc!$B$15</definedName>
    <definedName name="solver_lhs1" localSheetId="2" hidden="1">Tmin!$L$14</definedName>
    <definedName name="solver_lhs2" localSheetId="1" hidden="1">' T = Tb'!$B$15</definedName>
    <definedName name="solver_lhs2" localSheetId="18" hidden="1">'T17'!$B$18</definedName>
    <definedName name="solver_lhs2" localSheetId="19" hidden="1">'T18'!$B$18</definedName>
    <definedName name="solver_lhs2" localSheetId="20" hidden="1">'T19'!$B$15</definedName>
    <definedName name="solver_lhs2" localSheetId="21" hidden="1">'T20'!$B$18</definedName>
    <definedName name="solver_lhs2" localSheetId="22" hidden="1">'T21'!$B$16</definedName>
    <definedName name="solver_lhs2" localSheetId="8" hidden="1">'T7'!$B$18</definedName>
    <definedName name="solver_lhs2" localSheetId="10" hidden="1">'T9'!$B$18</definedName>
    <definedName name="solver_lhs2" localSheetId="23" hidden="1">Tc!$B$16</definedName>
    <definedName name="solver_lhs2" localSheetId="2" hidden="1">Tmin!$L$14</definedName>
    <definedName name="solver_lhs3" localSheetId="1" hidden="1">' T = Tb'!$B$16</definedName>
    <definedName name="solver_lhs3" localSheetId="18" hidden="1">'T17'!$B$18</definedName>
    <definedName name="solver_lhs3" localSheetId="19" hidden="1">'T18'!$B$13</definedName>
    <definedName name="solver_lhs3" localSheetId="20" hidden="1">'T19'!$B$16</definedName>
    <definedName name="solver_lhs3" localSheetId="21" hidden="1">'T20'!$B$16</definedName>
    <definedName name="solver_lhs3" localSheetId="22" hidden="1">'T21'!$B$13</definedName>
    <definedName name="solver_lhs3" localSheetId="23" hidden="1">Tc!$B$15</definedName>
    <definedName name="solver_lhs4" localSheetId="1" hidden="1">' T = Tb'!$B$18</definedName>
    <definedName name="solver_lhs4" localSheetId="18" hidden="1">'T17'!$B$13</definedName>
    <definedName name="solver_lhs4" localSheetId="19" hidden="1">'T18'!$B$15</definedName>
    <definedName name="solver_lhs4" localSheetId="20" hidden="1">'T19'!$B$18</definedName>
    <definedName name="solver_lhs4" localSheetId="21" hidden="1">'T20'!$B$18</definedName>
    <definedName name="solver_lhs4" localSheetId="22" hidden="1">'T21'!$B$18</definedName>
    <definedName name="solver_lhs4" localSheetId="23" hidden="1">Tc!$B$15</definedName>
    <definedName name="solver_lhs5" localSheetId="1" hidden="1">' T = Tb'!$B$18</definedName>
    <definedName name="solver_lhs5" localSheetId="18" hidden="1">'T17'!$B$15</definedName>
    <definedName name="solver_lhs5" localSheetId="19" hidden="1">'T18'!$B$16</definedName>
    <definedName name="solver_lhs5" localSheetId="20" hidden="1">'T19'!$B$18</definedName>
    <definedName name="solver_lhs5" localSheetId="21" hidden="1">'T20'!$B$15</definedName>
    <definedName name="solver_lhs5" localSheetId="22" hidden="1">'T21'!$B$18</definedName>
    <definedName name="solver_lhs5" localSheetId="23" hidden="1">Tc!$B$13</definedName>
    <definedName name="solver_lhs6" localSheetId="20" hidden="1">'T19'!$B$16</definedName>
    <definedName name="solver_lhs6" localSheetId="21" hidden="1">'T20'!$B$15</definedName>
    <definedName name="solver_lhs6" localSheetId="23" hidden="1">Tc!$B$15</definedName>
    <definedName name="solver_lhs7" localSheetId="23" hidden="1">Tc!$B$15</definedName>
    <definedName name="solver_lin" localSheetId="1" hidden="1">2</definedName>
    <definedName name="solver_lin" localSheetId="24" hidden="1">2</definedName>
    <definedName name="solver_lin" localSheetId="25" hidden="1">2</definedName>
    <definedName name="solver_lin" localSheetId="28" hidden="1">2</definedName>
    <definedName name="solver_lin" localSheetId="27" hidden="1">2</definedName>
    <definedName name="solver_lin" localSheetId="26" hidden="1">2</definedName>
    <definedName name="solver_lin" localSheetId="11" hidden="1">2</definedName>
    <definedName name="solver_lin" localSheetId="12" hidden="1">2</definedName>
    <definedName name="solver_lin" localSheetId="13" hidden="1">2</definedName>
    <definedName name="solver_lin" localSheetId="14" hidden="1">2</definedName>
    <definedName name="solver_lin" localSheetId="15" hidden="1">2</definedName>
    <definedName name="solver_lin" localSheetId="16" hidden="1">2</definedName>
    <definedName name="solver_lin" localSheetId="17" hidden="1">2</definedName>
    <definedName name="solver_lin" localSheetId="18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21" hidden="1">2</definedName>
    <definedName name="solver_lin" localSheetId="22" hidden="1">2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7" hidden="1">2</definedName>
    <definedName name="solver_lin" localSheetId="8" hidden="1">2</definedName>
    <definedName name="solver_lin" localSheetId="9" hidden="1">2</definedName>
    <definedName name="solver_lin" localSheetId="10" hidden="1">2</definedName>
    <definedName name="solver_lin" localSheetId="23" hidden="1">2</definedName>
    <definedName name="solver_lin" localSheetId="2" hidden="1">2</definedName>
    <definedName name="solver_lin" localSheetId="29" hidden="1">2</definedName>
    <definedName name="solver_lin" hidden="1">2</definedName>
    <definedName name="solver_neg" localSheetId="1" hidden="1">2</definedName>
    <definedName name="solver_neg" localSheetId="24" hidden="1">2</definedName>
    <definedName name="solver_neg" localSheetId="25" hidden="1">2</definedName>
    <definedName name="solver_neg" localSheetId="28" hidden="1">2</definedName>
    <definedName name="solver_neg" localSheetId="27" hidden="1">2</definedName>
    <definedName name="solver_neg" localSheetId="26" hidden="1">2</definedName>
    <definedName name="solver_neg" localSheetId="11" hidden="1">2</definedName>
    <definedName name="solver_neg" localSheetId="12" hidden="1">2</definedName>
    <definedName name="solver_neg" localSheetId="13" hidden="1">2</definedName>
    <definedName name="solver_neg" localSheetId="14" hidden="1">2</definedName>
    <definedName name="solver_neg" localSheetId="15" hidden="1">2</definedName>
    <definedName name="solver_neg" localSheetId="16" hidden="1">2</definedName>
    <definedName name="solver_neg" localSheetId="17" hidden="1">2</definedName>
    <definedName name="solver_neg" localSheetId="18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21" hidden="1">2</definedName>
    <definedName name="solver_neg" localSheetId="22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eg" localSheetId="9" hidden="1">2</definedName>
    <definedName name="solver_neg" localSheetId="10" hidden="1">2</definedName>
    <definedName name="solver_neg" localSheetId="23" hidden="1">2</definedName>
    <definedName name="solver_neg" localSheetId="2" hidden="1">2</definedName>
    <definedName name="solver_neg" localSheetId="29" hidden="1">2</definedName>
    <definedName name="solver_neg" hidden="1">2</definedName>
    <definedName name="solver_num" localSheetId="1" hidden="1">0</definedName>
    <definedName name="solver_num" localSheetId="24" hidden="1">0</definedName>
    <definedName name="solver_num" localSheetId="25" hidden="1">0</definedName>
    <definedName name="solver_num" localSheetId="28" hidden="1">0</definedName>
    <definedName name="solver_num" localSheetId="27" hidden="1">0</definedName>
    <definedName name="solver_num" localSheetId="26" hidden="1">0</definedName>
    <definedName name="solver_num" localSheetId="11" hidden="1">0</definedName>
    <definedName name="solver_num" localSheetId="12" hidden="1">0</definedName>
    <definedName name="solver_num" localSheetId="13" hidden="1">0</definedName>
    <definedName name="solver_num" localSheetId="14" hidden="1">0</definedName>
    <definedName name="solver_num" localSheetId="15" hidden="1">0</definedName>
    <definedName name="solver_num" localSheetId="16" hidden="1">0</definedName>
    <definedName name="solver_num" localSheetId="17" hidden="1">0</definedName>
    <definedName name="solver_num" localSheetId="18" hidden="1">0</definedName>
    <definedName name="solver_num" localSheetId="19" hidden="1">0</definedName>
    <definedName name="solver_num" localSheetId="20" hidden="1">0</definedName>
    <definedName name="solver_num" localSheetId="3" hidden="1">0</definedName>
    <definedName name="solver_num" localSheetId="21" hidden="1">0</definedName>
    <definedName name="solver_num" localSheetId="22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23" hidden="1">0</definedName>
    <definedName name="solver_num" localSheetId="2" hidden="1">0</definedName>
    <definedName name="solver_num" localSheetId="29" hidden="1">0</definedName>
    <definedName name="solver_nwt" localSheetId="1" hidden="1">2</definedName>
    <definedName name="solver_nwt" localSheetId="24" hidden="1">2</definedName>
    <definedName name="solver_nwt" localSheetId="25" hidden="1">2</definedName>
    <definedName name="solver_nwt" localSheetId="28" hidden="1">2</definedName>
    <definedName name="solver_nwt" localSheetId="27" hidden="1">2</definedName>
    <definedName name="solver_nwt" localSheetId="26" hidden="1">2</definedName>
    <definedName name="solver_nwt" localSheetId="11" hidden="1">2</definedName>
    <definedName name="solver_nwt" localSheetId="12" hidden="1">2</definedName>
    <definedName name="solver_nwt" localSheetId="13" hidden="1">2</definedName>
    <definedName name="solver_nwt" localSheetId="14" hidden="1">2</definedName>
    <definedName name="solver_nwt" localSheetId="15" hidden="1">2</definedName>
    <definedName name="solver_nwt" localSheetId="16" hidden="1">2</definedName>
    <definedName name="solver_nwt" localSheetId="17" hidden="1">2</definedName>
    <definedName name="solver_nwt" localSheetId="18" hidden="1">2</definedName>
    <definedName name="solver_nwt" localSheetId="19" hidden="1">2</definedName>
    <definedName name="solver_nwt" localSheetId="20" hidden="1">2</definedName>
    <definedName name="solver_nwt" localSheetId="3" hidden="1">2</definedName>
    <definedName name="solver_nwt" localSheetId="21" hidden="1">2</definedName>
    <definedName name="solver_nwt" localSheetId="22" hidden="1">2</definedName>
    <definedName name="solver_nwt" localSheetId="4" hidden="1">2</definedName>
    <definedName name="solver_nwt" localSheetId="5" hidden="1">2</definedName>
    <definedName name="solver_nwt" localSheetId="6" hidden="1">2</definedName>
    <definedName name="solver_nwt" localSheetId="7" hidden="1">2</definedName>
    <definedName name="solver_nwt" localSheetId="8" hidden="1">2</definedName>
    <definedName name="solver_nwt" localSheetId="9" hidden="1">2</definedName>
    <definedName name="solver_nwt" localSheetId="10" hidden="1">2</definedName>
    <definedName name="solver_nwt" localSheetId="23" hidden="1">2</definedName>
    <definedName name="solver_nwt" localSheetId="2" hidden="1">2</definedName>
    <definedName name="solver_nwt" localSheetId="29" hidden="1">1</definedName>
    <definedName name="solver_nwt" hidden="1">2</definedName>
    <definedName name="solver_opt" localSheetId="1" hidden="1">' T = Tb'!$E$16</definedName>
    <definedName name="solver_opt" localSheetId="24" hidden="1">'1.5 Tc'!$E$16</definedName>
    <definedName name="solver_opt" localSheetId="25" hidden="1">'a = a(T)'!$E$16</definedName>
    <definedName name="solver_opt" localSheetId="28" hidden="1">'B = B(T)'!$E$16</definedName>
    <definedName name="solver_opt" localSheetId="27" hidden="1">'Phase diagram'!$E$16</definedName>
    <definedName name="solver_opt" localSheetId="26" hidden="1">Pvap!$E$16</definedName>
    <definedName name="solver_opt" localSheetId="11" hidden="1">'T10#'!$E$16</definedName>
    <definedName name="solver_opt" localSheetId="12" hidden="1">'T11'!$E$16</definedName>
    <definedName name="solver_opt" localSheetId="13" hidden="1">'T12'!$E$16</definedName>
    <definedName name="solver_opt" localSheetId="14" hidden="1">'T13'!$E$16</definedName>
    <definedName name="solver_opt" localSheetId="15" hidden="1">'T14'!$E$16</definedName>
    <definedName name="solver_opt" localSheetId="16" hidden="1">'T15'!$E$16</definedName>
    <definedName name="solver_opt" localSheetId="17" hidden="1">'T16'!$E$16</definedName>
    <definedName name="solver_opt" localSheetId="18" hidden="1">'T17'!$E$13</definedName>
    <definedName name="solver_opt" localSheetId="19" hidden="1">'T18'!$E$16</definedName>
    <definedName name="solver_opt" localSheetId="20" hidden="1">'T19'!$E$13</definedName>
    <definedName name="solver_opt" localSheetId="3" hidden="1">'T2'!$E$16</definedName>
    <definedName name="solver_opt" localSheetId="21" hidden="1">'T20'!$E$13</definedName>
    <definedName name="solver_opt" localSheetId="22" hidden="1">'T21'!$E$13</definedName>
    <definedName name="solver_opt" localSheetId="4" hidden="1">'T3'!$E$16</definedName>
    <definedName name="solver_opt" localSheetId="5" hidden="1">'T4'!$E$16</definedName>
    <definedName name="solver_opt" localSheetId="6" hidden="1">'T5'!$E$16</definedName>
    <definedName name="solver_opt" localSheetId="7" hidden="1">'T6'!$E$16</definedName>
    <definedName name="solver_opt" localSheetId="8" hidden="1">'T7'!$E$16</definedName>
    <definedName name="solver_opt" localSheetId="9" hidden="1">'T8'!$E$16</definedName>
    <definedName name="solver_opt" localSheetId="10" hidden="1">'T9'!$E$16</definedName>
    <definedName name="solver_opt" localSheetId="23" hidden="1">Tc!$E$16</definedName>
    <definedName name="solver_opt" localSheetId="2" hidden="1">Tmin!$E$16</definedName>
    <definedName name="solver_opt" localSheetId="29" hidden="1">'VL-Rackett'!$H$19</definedName>
    <definedName name="solver_pre" localSheetId="1" hidden="1">0.000000000001</definedName>
    <definedName name="solver_pre" localSheetId="24" hidden="1">0.000000000001</definedName>
    <definedName name="solver_pre" localSheetId="25" hidden="1">0.000000000001</definedName>
    <definedName name="solver_pre" localSheetId="28" hidden="1">0.000000000001</definedName>
    <definedName name="solver_pre" localSheetId="27" hidden="1">0.000000000001</definedName>
    <definedName name="solver_pre" localSheetId="26" hidden="1">0.000000000001</definedName>
    <definedName name="solver_pre" localSheetId="11" hidden="1">0.000000000001</definedName>
    <definedName name="solver_pre" localSheetId="12" hidden="1">0.000000000001</definedName>
    <definedName name="solver_pre" localSheetId="13" hidden="1">0.000000000001</definedName>
    <definedName name="solver_pre" localSheetId="14" hidden="1">0.000000000001</definedName>
    <definedName name="solver_pre" localSheetId="15" hidden="1">0.000000000001</definedName>
    <definedName name="solver_pre" localSheetId="16" hidden="1">0.000000000001</definedName>
    <definedName name="solver_pre" localSheetId="17" hidden="1">0.000000000001</definedName>
    <definedName name="solver_pre" localSheetId="18" hidden="1">0.000000000001</definedName>
    <definedName name="solver_pre" localSheetId="19" hidden="1">0.000000000001</definedName>
    <definedName name="solver_pre" localSheetId="20" hidden="1">0.000000000001</definedName>
    <definedName name="solver_pre" localSheetId="3" hidden="1">0.000000000001</definedName>
    <definedName name="solver_pre" localSheetId="21" hidden="1">0.000000000001</definedName>
    <definedName name="solver_pre" localSheetId="22" hidden="1">0.000000000001</definedName>
    <definedName name="solver_pre" localSheetId="4" hidden="1">0.000000000001</definedName>
    <definedName name="solver_pre" localSheetId="5" hidden="1">0.000000000001</definedName>
    <definedName name="solver_pre" localSheetId="6" hidden="1">0.000000000001</definedName>
    <definedName name="solver_pre" localSheetId="7" hidden="1">0.000000000001</definedName>
    <definedName name="solver_pre" localSheetId="8" hidden="1">0.000000000001</definedName>
    <definedName name="solver_pre" localSheetId="9" hidden="1">0.000000000001</definedName>
    <definedName name="solver_pre" localSheetId="10" hidden="1">0.000000000001</definedName>
    <definedName name="solver_pre" localSheetId="23" hidden="1">0.000000000001</definedName>
    <definedName name="solver_pre" localSheetId="2" hidden="1">0.000000000001</definedName>
    <definedName name="solver_pre" localSheetId="29" hidden="1">0.000001</definedName>
    <definedName name="solver_pre" hidden="1">0.000000000001</definedName>
    <definedName name="solver_rel1" localSheetId="1" hidden="1">3</definedName>
    <definedName name="solver_rel1" localSheetId="18" hidden="1">1</definedName>
    <definedName name="solver_rel1" localSheetId="19" hidden="1">1</definedName>
    <definedName name="solver_rel1" localSheetId="20" hidden="1">3</definedName>
    <definedName name="solver_rel1" localSheetId="21" hidden="1">3</definedName>
    <definedName name="solver_rel1" localSheetId="22" hidden="1">3</definedName>
    <definedName name="solver_rel1" localSheetId="4" hidden="1">3</definedName>
    <definedName name="solver_rel1" localSheetId="8" hidden="1">1</definedName>
    <definedName name="solver_rel1" localSheetId="10" hidden="1">1</definedName>
    <definedName name="solver_rel1" localSheetId="23" hidden="1">3</definedName>
    <definedName name="solver_rel1" localSheetId="2" hidden="1">3</definedName>
    <definedName name="solver_rel2" localSheetId="1" hidden="1">3</definedName>
    <definedName name="solver_rel2" localSheetId="18" hidden="1">1</definedName>
    <definedName name="solver_rel2" localSheetId="19" hidden="1">3</definedName>
    <definedName name="solver_rel2" localSheetId="20" hidden="1">3</definedName>
    <definedName name="solver_rel2" localSheetId="21" hidden="1">3</definedName>
    <definedName name="solver_rel2" localSheetId="22" hidden="1">1</definedName>
    <definedName name="solver_rel2" localSheetId="8" hidden="1">1</definedName>
    <definedName name="solver_rel2" localSheetId="10" hidden="1">1</definedName>
    <definedName name="solver_rel2" localSheetId="23" hidden="1">1</definedName>
    <definedName name="solver_rel2" localSheetId="2" hidden="1">3</definedName>
    <definedName name="solver_rel3" localSheetId="1" hidden="1">1</definedName>
    <definedName name="solver_rel3" localSheetId="18" hidden="1">3</definedName>
    <definedName name="solver_rel3" localSheetId="19" hidden="1">3</definedName>
    <definedName name="solver_rel3" localSheetId="20" hidden="1">1</definedName>
    <definedName name="solver_rel3" localSheetId="21" hidden="1">1</definedName>
    <definedName name="solver_rel3" localSheetId="22" hidden="1">3</definedName>
    <definedName name="solver_rel3" localSheetId="23" hidden="1">2</definedName>
    <definedName name="solver_rel4" localSheetId="1" hidden="1">3</definedName>
    <definedName name="solver_rel4" localSheetId="18" hidden="1">3</definedName>
    <definedName name="solver_rel4" localSheetId="19" hidden="1">3</definedName>
    <definedName name="solver_rel4" localSheetId="20" hidden="1">1</definedName>
    <definedName name="solver_rel4" localSheetId="21" hidden="1">1</definedName>
    <definedName name="solver_rel4" localSheetId="22" hidden="1">1</definedName>
    <definedName name="solver_rel4" localSheetId="23" hidden="1">2</definedName>
    <definedName name="solver_rel5" localSheetId="1" hidden="1">1</definedName>
    <definedName name="solver_rel5" localSheetId="18" hidden="1">3</definedName>
    <definedName name="solver_rel5" localSheetId="19" hidden="1">1</definedName>
    <definedName name="solver_rel5" localSheetId="20" hidden="1">3</definedName>
    <definedName name="solver_rel5" localSheetId="21" hidden="1">3</definedName>
    <definedName name="solver_rel5" localSheetId="22" hidden="1">3</definedName>
    <definedName name="solver_rel5" localSheetId="23" hidden="1">3</definedName>
    <definedName name="solver_rel6" localSheetId="20" hidden="1">1</definedName>
    <definedName name="solver_rel6" localSheetId="21" hidden="1">3</definedName>
    <definedName name="solver_rel6" localSheetId="23" hidden="1">2</definedName>
    <definedName name="solver_rel7" localSheetId="23" hidden="1">2</definedName>
    <definedName name="solver_rhs1" localSheetId="1" hidden="1">' T = Tb'!$B$12</definedName>
    <definedName name="solver_rhs1" localSheetId="18" hidden="1">'T17'!$B$17</definedName>
    <definedName name="solver_rhs1" localSheetId="19" hidden="1">'T18'!$B$16</definedName>
    <definedName name="solver_rhs1" localSheetId="20" hidden="1">'T19'!$B$12</definedName>
    <definedName name="solver_rhs1" localSheetId="21" hidden="1">'T20'!$B$12</definedName>
    <definedName name="solver_rhs1" localSheetId="22" hidden="1">'T21'!$C$15</definedName>
    <definedName name="solver_rhs1" localSheetId="4" hidden="1">0.151</definedName>
    <definedName name="solver_rhs1" localSheetId="8" hidden="1">'T7'!$B$17</definedName>
    <definedName name="solver_rhs1" localSheetId="10" hidden="1">'T9'!$B$17</definedName>
    <definedName name="solver_rhs1" localSheetId="23" hidden="1">Tc!$C$15</definedName>
    <definedName name="solver_rhs1" localSheetId="2" hidden="1">1</definedName>
    <definedName name="solver_rhs2" localSheetId="1" hidden="1">' T = Tb'!$B$14</definedName>
    <definedName name="solver_rhs2" localSheetId="18" hidden="1">'T17'!$B$16</definedName>
    <definedName name="solver_rhs2" localSheetId="19" hidden="1">'T18'!$B$15</definedName>
    <definedName name="solver_rhs2" localSheetId="20" hidden="1">'T18'!$B$15</definedName>
    <definedName name="solver_rhs2" localSheetId="21" hidden="1">'T20'!$B$15</definedName>
    <definedName name="solver_rhs2" localSheetId="22" hidden="1">'T21'!$C$16</definedName>
    <definedName name="solver_rhs2" localSheetId="8" hidden="1">'T7'!$B$16</definedName>
    <definedName name="solver_rhs2" localSheetId="10" hidden="1">'T9'!$B$16</definedName>
    <definedName name="solver_rhs2" localSheetId="23" hidden="1">Tc!$C$16</definedName>
    <definedName name="solver_rhs2" localSheetId="2" hidden="1">1</definedName>
    <definedName name="solver_rhs3" localSheetId="1" hidden="1">' T = Tb'!$B$17</definedName>
    <definedName name="solver_rhs3" localSheetId="18" hidden="1">'T17'!$B$15</definedName>
    <definedName name="solver_rhs3" localSheetId="19" hidden="1">'T18'!$B$12</definedName>
    <definedName name="solver_rhs3" localSheetId="20" hidden="1">'T19'!$B$17</definedName>
    <definedName name="solver_rhs3" localSheetId="21" hidden="1">'T20'!$B$17</definedName>
    <definedName name="solver_rhs3" localSheetId="22" hidden="1">'T21'!$B$12</definedName>
    <definedName name="solver_rhs3" localSheetId="23" hidden="1">Tc!$B$18</definedName>
    <definedName name="solver_rhs4" localSheetId="1" hidden="1">' T = Tb'!$B$15</definedName>
    <definedName name="solver_rhs4" localSheetId="18" hidden="1">'T17'!$B$12</definedName>
    <definedName name="solver_rhs4" localSheetId="19" hidden="1">0.091</definedName>
    <definedName name="solver_rhs4" localSheetId="20" hidden="1">'T19'!$B$16</definedName>
    <definedName name="solver_rhs4" localSheetId="21" hidden="1">'T20'!$B$16</definedName>
    <definedName name="solver_rhs4" localSheetId="22" hidden="1">'T21'!$B$16</definedName>
    <definedName name="solver_rhs4" localSheetId="23" hidden="1">Tc!$B$16</definedName>
    <definedName name="solver_rhs5" localSheetId="1" hidden="1">' T = Tb'!$B$16</definedName>
    <definedName name="solver_rhs5" localSheetId="18" hidden="1">0.1</definedName>
    <definedName name="solver_rhs5" localSheetId="19" hidden="1">'T17'!$B$16</definedName>
    <definedName name="solver_rhs5" localSheetId="20" hidden="1">'T19'!$B$15</definedName>
    <definedName name="solver_rhs5" localSheetId="21" hidden="1">'T20'!$C$15</definedName>
    <definedName name="solver_rhs5" localSheetId="22" hidden="1">'T21'!$B$15</definedName>
    <definedName name="solver_rhs5" localSheetId="23" hidden="1">Tc!$B$12</definedName>
    <definedName name="solver_rhs6" localSheetId="20" hidden="1">'T19'!$B$14</definedName>
    <definedName name="solver_rhs6" localSheetId="21" hidden="1">'T19'!$B$15</definedName>
    <definedName name="solver_rhs6" localSheetId="23" hidden="1">Tc!$B$16</definedName>
    <definedName name="solver_rhs7" localSheetId="23" hidden="1">Tc!$B$18</definedName>
    <definedName name="solver_scl" localSheetId="1" hidden="1">1</definedName>
    <definedName name="solver_scl" localSheetId="24" hidden="1">1</definedName>
    <definedName name="solver_scl" localSheetId="25" hidden="1">1</definedName>
    <definedName name="solver_scl" localSheetId="28" hidden="1">1</definedName>
    <definedName name="solver_scl" localSheetId="27" hidden="1">1</definedName>
    <definedName name="solver_scl" localSheetId="26" hidden="1">1</definedName>
    <definedName name="solver_scl" localSheetId="11" hidden="1">1</definedName>
    <definedName name="solver_scl" localSheetId="12" hidden="1">1</definedName>
    <definedName name="solver_scl" localSheetId="13" hidden="1">1</definedName>
    <definedName name="solver_scl" localSheetId="14" hidden="1">1</definedName>
    <definedName name="solver_scl" localSheetId="15" hidden="1">1</definedName>
    <definedName name="solver_scl" localSheetId="16" hidden="1">1</definedName>
    <definedName name="solver_scl" localSheetId="17" hidden="1">1</definedName>
    <definedName name="solver_scl" localSheetId="18" hidden="1">1</definedName>
    <definedName name="solver_scl" localSheetId="19" hidden="1">1</definedName>
    <definedName name="solver_scl" localSheetId="20" hidden="1">1</definedName>
    <definedName name="solver_scl" localSheetId="3" hidden="1">1</definedName>
    <definedName name="solver_scl" localSheetId="21" hidden="1">1</definedName>
    <definedName name="solver_scl" localSheetId="22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cl" localSheetId="10" hidden="1">1</definedName>
    <definedName name="solver_scl" localSheetId="23" hidden="1">1</definedName>
    <definedName name="solver_scl" localSheetId="2" hidden="1">1</definedName>
    <definedName name="solver_scl" localSheetId="29" hidden="1">2</definedName>
    <definedName name="solver_scl" hidden="1">1</definedName>
    <definedName name="solver_sho" localSheetId="1" hidden="1">2</definedName>
    <definedName name="solver_sho" localSheetId="24" hidden="1">2</definedName>
    <definedName name="solver_sho" localSheetId="25" hidden="1">2</definedName>
    <definedName name="solver_sho" localSheetId="28" hidden="1">2</definedName>
    <definedName name="solver_sho" localSheetId="27" hidden="1">2</definedName>
    <definedName name="solver_sho" localSheetId="26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8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21" hidden="1">2</definedName>
    <definedName name="solver_sho" localSheetId="22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23" hidden="1">2</definedName>
    <definedName name="solver_sho" localSheetId="2" hidden="1">2</definedName>
    <definedName name="solver_sho" localSheetId="29" hidden="1">2</definedName>
    <definedName name="solver_sho" hidden="1">2</definedName>
    <definedName name="solver_tim" localSheetId="1" hidden="1">100</definedName>
    <definedName name="solver_tim" localSheetId="24" hidden="1">100</definedName>
    <definedName name="solver_tim" localSheetId="25" hidden="1">100</definedName>
    <definedName name="solver_tim" localSheetId="28" hidden="1">100</definedName>
    <definedName name="solver_tim" localSheetId="27" hidden="1">100</definedName>
    <definedName name="solver_tim" localSheetId="26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18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21" hidden="1">100</definedName>
    <definedName name="solver_tim" localSheetId="22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23" hidden="1">100</definedName>
    <definedName name="solver_tim" localSheetId="2" hidden="1">100</definedName>
    <definedName name="solver_tim" localSheetId="29" hidden="1">100</definedName>
    <definedName name="solver_tim" hidden="1">100</definedName>
    <definedName name="solver_tol" localSheetId="1" hidden="1">0.05</definedName>
    <definedName name="solver_tol" localSheetId="24" hidden="1">0.05</definedName>
    <definedName name="solver_tol" localSheetId="25" hidden="1">0.05</definedName>
    <definedName name="solver_tol" localSheetId="28" hidden="1">0.05</definedName>
    <definedName name="solver_tol" localSheetId="27" hidden="1">0.05</definedName>
    <definedName name="solver_tol" localSheetId="26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18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21" hidden="1">0.05</definedName>
    <definedName name="solver_tol" localSheetId="22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23" hidden="1">0.05</definedName>
    <definedName name="solver_tol" localSheetId="2" hidden="1">0.05</definedName>
    <definedName name="solver_tol" localSheetId="29" hidden="1">0.05</definedName>
    <definedName name="solver_tol" hidden="1">0.05</definedName>
    <definedName name="solver_typ" localSheetId="1" hidden="1">3</definedName>
    <definedName name="solver_typ" localSheetId="24" hidden="1">3</definedName>
    <definedName name="solver_typ" localSheetId="25" hidden="1">3</definedName>
    <definedName name="solver_typ" localSheetId="28" hidden="1">3</definedName>
    <definedName name="solver_typ" localSheetId="27" hidden="1">3</definedName>
    <definedName name="solver_typ" localSheetId="26" hidden="1">3</definedName>
    <definedName name="solver_typ" localSheetId="11" hidden="1">3</definedName>
    <definedName name="solver_typ" localSheetId="12" hidden="1">3</definedName>
    <definedName name="solver_typ" localSheetId="13" hidden="1">3</definedName>
    <definedName name="solver_typ" localSheetId="14" hidden="1">3</definedName>
    <definedName name="solver_typ" localSheetId="15" hidden="1">3</definedName>
    <definedName name="solver_typ" localSheetId="16" hidden="1">3</definedName>
    <definedName name="solver_typ" localSheetId="17" hidden="1">3</definedName>
    <definedName name="solver_typ" localSheetId="18" hidden="1">3</definedName>
    <definedName name="solver_typ" localSheetId="19" hidden="1">3</definedName>
    <definedName name="solver_typ" localSheetId="20" hidden="1">3</definedName>
    <definedName name="solver_typ" localSheetId="3" hidden="1">3</definedName>
    <definedName name="solver_typ" localSheetId="21" hidden="1">3</definedName>
    <definedName name="solver_typ" localSheetId="22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typ" localSheetId="7" hidden="1">3</definedName>
    <definedName name="solver_typ" localSheetId="8" hidden="1">3</definedName>
    <definedName name="solver_typ" localSheetId="9" hidden="1">3</definedName>
    <definedName name="solver_typ" localSheetId="10" hidden="1">3</definedName>
    <definedName name="solver_typ" localSheetId="23" hidden="1">3</definedName>
    <definedName name="solver_typ" localSheetId="2" hidden="1">3</definedName>
    <definedName name="solver_typ" localSheetId="29" hidden="1">3</definedName>
    <definedName name="solver_val" localSheetId="1" hidden="1">0</definedName>
    <definedName name="solver_val" localSheetId="24" hidden="1">0</definedName>
    <definedName name="solver_val" localSheetId="25" hidden="1">0</definedName>
    <definedName name="solver_val" localSheetId="28" hidden="1">0</definedName>
    <definedName name="solver_val" localSheetId="27" hidden="1">0</definedName>
    <definedName name="solver_val" localSheetId="26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al" localSheetId="20" hidden="1">0</definedName>
    <definedName name="solver_val" localSheetId="3" hidden="1">0</definedName>
    <definedName name="solver_val" localSheetId="21" hidden="1">0</definedName>
    <definedName name="solver_val" localSheetId="22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23" hidden="1">0</definedName>
    <definedName name="solver_val" localSheetId="2" hidden="1">0</definedName>
    <definedName name="solver_val" localSheetId="29" hidden="1">0</definedName>
  </definedNames>
  <calcPr calcId="145621"/>
</workbook>
</file>

<file path=xl/calcChain.xml><?xml version="1.0" encoding="utf-8"?>
<calcChain xmlns="http://schemas.openxmlformats.org/spreadsheetml/2006/main">
  <c r="F9" i="55" l="1"/>
  <c r="F8" i="55"/>
  <c r="F2" i="55"/>
  <c r="F3" i="55"/>
  <c r="M6" i="33"/>
  <c r="F4" i="55"/>
  <c r="L1" i="55"/>
  <c r="L4" i="55"/>
  <c r="F5" i="55"/>
  <c r="L2" i="55"/>
  <c r="L3" i="55"/>
  <c r="F7" i="55"/>
  <c r="F6" i="55"/>
  <c r="L5" i="55"/>
  <c r="K5" i="55"/>
  <c r="J5" i="55"/>
  <c r="H5" i="55"/>
  <c r="G5" i="55"/>
  <c r="K4" i="55"/>
  <c r="J4" i="55"/>
  <c r="H4" i="55"/>
  <c r="G4" i="55"/>
  <c r="K3" i="55"/>
  <c r="J3" i="55"/>
  <c r="H3" i="55"/>
  <c r="G3" i="55"/>
  <c r="K2" i="55"/>
  <c r="J2" i="55"/>
  <c r="H2" i="55"/>
  <c r="G2" i="55"/>
  <c r="K1" i="55"/>
  <c r="J1" i="55"/>
  <c r="H1" i="55"/>
  <c r="G1" i="55"/>
  <c r="F1" i="55"/>
  <c r="I35" i="60"/>
  <c r="F26" i="57"/>
  <c r="F27" i="57"/>
  <c r="F28" i="57"/>
  <c r="F29" i="57"/>
  <c r="F30" i="57"/>
  <c r="F31" i="57"/>
  <c r="F32" i="57"/>
  <c r="F33" i="57"/>
  <c r="F34" i="57"/>
  <c r="F35" i="57"/>
  <c r="F36" i="57"/>
  <c r="F37" i="57"/>
  <c r="F38" i="57"/>
  <c r="F39" i="57"/>
  <c r="F40" i="57"/>
  <c r="F41" i="57"/>
  <c r="F42" i="57"/>
  <c r="F43" i="57"/>
  <c r="F44" i="57"/>
  <c r="F45" i="57"/>
  <c r="F46" i="57"/>
  <c r="I36" i="60"/>
  <c r="I37" i="60"/>
  <c r="I38" i="60"/>
  <c r="I39" i="60"/>
  <c r="I40" i="60"/>
  <c r="I41" i="60"/>
  <c r="I42" i="60"/>
  <c r="I43" i="60"/>
  <c r="I44" i="60"/>
  <c r="I45" i="60"/>
  <c r="I46" i="60"/>
  <c r="I47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B7" i="33"/>
  <c r="B5" i="33"/>
  <c r="I1" i="33"/>
  <c r="G11" i="33"/>
  <c r="G6" i="33"/>
  <c r="N6" i="33"/>
  <c r="F39" i="33"/>
  <c r="F31" i="33"/>
  <c r="E39" i="33"/>
  <c r="E31" i="33"/>
  <c r="D39" i="33"/>
  <c r="D31" i="33"/>
  <c r="G7" i="33"/>
  <c r="G8" i="33"/>
  <c r="B3" i="56"/>
  <c r="B4" i="56"/>
  <c r="B6" i="56"/>
  <c r="B8" i="56"/>
  <c r="B9" i="56"/>
  <c r="A1" i="56"/>
  <c r="A22" i="56"/>
  <c r="A23" i="56"/>
  <c r="C22" i="56"/>
  <c r="C21" i="56"/>
  <c r="B18" i="56"/>
  <c r="I1" i="56"/>
  <c r="B2" i="56"/>
  <c r="B7" i="56"/>
  <c r="G3" i="57"/>
  <c r="G4" i="57"/>
  <c r="G5" i="57"/>
  <c r="G6" i="57"/>
  <c r="G8" i="57"/>
  <c r="G2" i="57"/>
  <c r="C3" i="57"/>
  <c r="B47" i="57" s="1"/>
  <c r="E47" i="57" s="1"/>
  <c r="I47" i="57" s="1"/>
  <c r="C4" i="57"/>
  <c r="C6" i="57"/>
  <c r="C8" i="57"/>
  <c r="C9" i="57"/>
  <c r="C2" i="57"/>
  <c r="A1" i="57"/>
  <c r="I6" i="57"/>
  <c r="I8" i="57"/>
  <c r="O47" i="57"/>
  <c r="D47" i="57"/>
  <c r="O48" i="57"/>
  <c r="G7" i="57"/>
  <c r="I7" i="57"/>
  <c r="C5" i="57"/>
  <c r="C47" i="57" s="1"/>
  <c r="C7" i="57"/>
  <c r="F2" i="34"/>
  <c r="F3" i="34"/>
  <c r="F4" i="34"/>
  <c r="F2" i="42"/>
  <c r="F3" i="42"/>
  <c r="F4" i="42"/>
  <c r="F2" i="41"/>
  <c r="F3" i="41"/>
  <c r="F4" i="41"/>
  <c r="F2" i="40"/>
  <c r="F3" i="40"/>
  <c r="F4" i="40"/>
  <c r="F2" i="39"/>
  <c r="F3" i="39"/>
  <c r="F4" i="39"/>
  <c r="F2" i="38"/>
  <c r="F3" i="38"/>
  <c r="F4" i="38"/>
  <c r="F2" i="37"/>
  <c r="F3" i="37"/>
  <c r="F4" i="37"/>
  <c r="F2" i="36"/>
  <c r="F3" i="36"/>
  <c r="F4" i="36"/>
  <c r="F2" i="35"/>
  <c r="F3" i="35"/>
  <c r="F4" i="35"/>
  <c r="B3" i="43"/>
  <c r="D26" i="59"/>
  <c r="D27" i="59"/>
  <c r="H27" i="57" s="1"/>
  <c r="D28" i="59"/>
  <c r="D29" i="59"/>
  <c r="H29" i="57" s="1"/>
  <c r="D30" i="59"/>
  <c r="H30" i="57"/>
  <c r="D31" i="59"/>
  <c r="H31" i="57" s="1"/>
  <c r="D32" i="59"/>
  <c r="H32" i="57" s="1"/>
  <c r="D33" i="59"/>
  <c r="H33" i="57" s="1"/>
  <c r="D34" i="59"/>
  <c r="F2" i="54"/>
  <c r="F3" i="54"/>
  <c r="F4" i="54"/>
  <c r="L1" i="54"/>
  <c r="L4" i="54"/>
  <c r="B3" i="54"/>
  <c r="F5" i="54"/>
  <c r="L2" i="54"/>
  <c r="L3" i="54"/>
  <c r="F2" i="53"/>
  <c r="F3" i="53"/>
  <c r="F4" i="53"/>
  <c r="L1" i="53"/>
  <c r="L4" i="53"/>
  <c r="B3" i="53"/>
  <c r="F5" i="53"/>
  <c r="L2" i="53"/>
  <c r="L3" i="53"/>
  <c r="F2" i="52"/>
  <c r="F3" i="52"/>
  <c r="F4" i="52"/>
  <c r="L1" i="52"/>
  <c r="L4" i="52"/>
  <c r="B3" i="52"/>
  <c r="F5" i="52"/>
  <c r="L2" i="52"/>
  <c r="L3" i="52"/>
  <c r="F2" i="51"/>
  <c r="F3" i="51"/>
  <c r="F4" i="51"/>
  <c r="L1" i="51"/>
  <c r="L4" i="51"/>
  <c r="B3" i="51"/>
  <c r="F5" i="51"/>
  <c r="L2" i="51"/>
  <c r="L3" i="51"/>
  <c r="F2" i="50"/>
  <c r="F3" i="50"/>
  <c r="F4" i="50"/>
  <c r="L1" i="50"/>
  <c r="L4" i="50"/>
  <c r="B3" i="50"/>
  <c r="F5" i="50"/>
  <c r="L2" i="50"/>
  <c r="L3" i="50"/>
  <c r="F2" i="49"/>
  <c r="F3" i="49"/>
  <c r="F4" i="49"/>
  <c r="L1" i="49"/>
  <c r="L4" i="49"/>
  <c r="B3" i="49"/>
  <c r="F5" i="49"/>
  <c r="L2" i="49"/>
  <c r="L3" i="49"/>
  <c r="F2" i="48"/>
  <c r="F3" i="48"/>
  <c r="F4" i="48"/>
  <c r="L1" i="48"/>
  <c r="L4" i="48"/>
  <c r="B3" i="48"/>
  <c r="F5" i="48"/>
  <c r="L2" i="48"/>
  <c r="L3" i="48"/>
  <c r="F2" i="47"/>
  <c r="F3" i="47"/>
  <c r="F4" i="47"/>
  <c r="L1" i="47"/>
  <c r="L4" i="47"/>
  <c r="B3" i="47"/>
  <c r="F5" i="47"/>
  <c r="L2" i="47"/>
  <c r="L3" i="47"/>
  <c r="F2" i="46"/>
  <c r="F3" i="46"/>
  <c r="F4" i="46"/>
  <c r="L1" i="46"/>
  <c r="L4" i="46"/>
  <c r="B3" i="46"/>
  <c r="F5" i="46"/>
  <c r="L2" i="46"/>
  <c r="L3" i="46"/>
  <c r="F2" i="45"/>
  <c r="F3" i="45"/>
  <c r="F4" i="45"/>
  <c r="L1" i="45"/>
  <c r="L4" i="45"/>
  <c r="B3" i="45"/>
  <c r="F5" i="45"/>
  <c r="L2" i="45"/>
  <c r="L3" i="45"/>
  <c r="F2" i="44"/>
  <c r="F3" i="44"/>
  <c r="F4" i="44"/>
  <c r="L1" i="44"/>
  <c r="L4" i="44"/>
  <c r="B3" i="44"/>
  <c r="F5" i="44"/>
  <c r="L2" i="44"/>
  <c r="L3" i="44"/>
  <c r="D35" i="59"/>
  <c r="H35" i="57" s="1"/>
  <c r="D36" i="59"/>
  <c r="H36" i="57"/>
  <c r="D37" i="59"/>
  <c r="H37" i="57" s="1"/>
  <c r="D38" i="59"/>
  <c r="H38" i="57"/>
  <c r="D39" i="59"/>
  <c r="D40" i="59"/>
  <c r="H40" i="57" s="1"/>
  <c r="D41" i="59"/>
  <c r="H41" i="57" s="1"/>
  <c r="D42" i="59"/>
  <c r="D43" i="59"/>
  <c r="H43" i="57" s="1"/>
  <c r="D44" i="59"/>
  <c r="H44" i="57" s="1"/>
  <c r="D45" i="59"/>
  <c r="H45" i="57" s="1"/>
  <c r="D46" i="59"/>
  <c r="H46" i="57"/>
  <c r="B7" i="55"/>
  <c r="G3" i="60"/>
  <c r="G4" i="60"/>
  <c r="G5" i="60"/>
  <c r="G6" i="60"/>
  <c r="G8" i="60"/>
  <c r="G1" i="60"/>
  <c r="G2" i="60"/>
  <c r="C3" i="60"/>
  <c r="J26" i="60" s="1"/>
  <c r="C4" i="60"/>
  <c r="C6" i="60"/>
  <c r="C8" i="60"/>
  <c r="C9" i="60"/>
  <c r="C2" i="60"/>
  <c r="A1" i="60"/>
  <c r="G50" i="60"/>
  <c r="G51" i="60"/>
  <c r="G52" i="60"/>
  <c r="I6" i="60"/>
  <c r="I21" i="60"/>
  <c r="I22" i="60"/>
  <c r="I23" i="60"/>
  <c r="I24" i="60"/>
  <c r="I25" i="60"/>
  <c r="I26" i="60"/>
  <c r="I27" i="60"/>
  <c r="I28" i="60"/>
  <c r="I29" i="60"/>
  <c r="I30" i="60"/>
  <c r="I31" i="60"/>
  <c r="I32" i="60"/>
  <c r="I33" i="60"/>
  <c r="I34" i="60"/>
  <c r="J22" i="60"/>
  <c r="J23" i="60"/>
  <c r="J24" i="60"/>
  <c r="J27" i="60"/>
  <c r="J28" i="60"/>
  <c r="J29" i="60"/>
  <c r="J31" i="60"/>
  <c r="J32" i="60"/>
  <c r="J33" i="60"/>
  <c r="G7" i="60"/>
  <c r="I7" i="60" s="1"/>
  <c r="C5" i="60"/>
  <c r="C7" i="60"/>
  <c r="E16" i="60"/>
  <c r="A1" i="63"/>
  <c r="A22" i="63"/>
  <c r="A25" i="63"/>
  <c r="A26" i="63"/>
  <c r="A27" i="63"/>
  <c r="C91" i="63"/>
  <c r="C92" i="63"/>
  <c r="C93" i="63"/>
  <c r="C94" i="63"/>
  <c r="C95" i="63"/>
  <c r="C96" i="63"/>
  <c r="C97" i="63"/>
  <c r="C98" i="63"/>
  <c r="C99" i="63"/>
  <c r="C100" i="63"/>
  <c r="C101" i="63"/>
  <c r="C102" i="63"/>
  <c r="C103" i="63"/>
  <c r="C104" i="63"/>
  <c r="C105" i="63"/>
  <c r="C106" i="63"/>
  <c r="C107" i="63"/>
  <c r="D107" i="63"/>
  <c r="D106" i="63"/>
  <c r="D105" i="63"/>
  <c r="D104" i="63"/>
  <c r="D103" i="63"/>
  <c r="D102" i="63"/>
  <c r="D101" i="63"/>
  <c r="D100" i="63"/>
  <c r="D99" i="63"/>
  <c r="D98" i="63"/>
  <c r="D97" i="63"/>
  <c r="D96" i="63"/>
  <c r="D95" i="63"/>
  <c r="D94" i="63"/>
  <c r="D93" i="63"/>
  <c r="D92" i="63"/>
  <c r="D91" i="63"/>
  <c r="C25" i="63"/>
  <c r="A22" i="55"/>
  <c r="B7" i="51"/>
  <c r="B8" i="51"/>
  <c r="B7" i="49"/>
  <c r="B8" i="49"/>
  <c r="B7" i="45"/>
  <c r="B8" i="45"/>
  <c r="B7" i="39"/>
  <c r="B8" i="39"/>
  <c r="B3" i="39"/>
  <c r="F26" i="59"/>
  <c r="O47" i="63"/>
  <c r="O3" i="63"/>
  <c r="F27" i="59"/>
  <c r="O46" i="63"/>
  <c r="O4" i="63"/>
  <c r="F28" i="59"/>
  <c r="O45" i="63" s="1"/>
  <c r="O5" i="63"/>
  <c r="F29" i="59"/>
  <c r="O44" i="63" s="1"/>
  <c r="O6" i="63"/>
  <c r="F30" i="59"/>
  <c r="G30" i="59" s="1"/>
  <c r="O7" i="63"/>
  <c r="F31" i="59"/>
  <c r="O8" i="63"/>
  <c r="F32" i="59"/>
  <c r="O41" i="63" s="1"/>
  <c r="O9" i="63"/>
  <c r="F33" i="59"/>
  <c r="O40" i="63"/>
  <c r="F34" i="59"/>
  <c r="O39" i="63" s="1"/>
  <c r="O11" i="63"/>
  <c r="F35" i="59"/>
  <c r="O38" i="63" s="1"/>
  <c r="F36" i="59"/>
  <c r="O37" i="63"/>
  <c r="O13" i="63"/>
  <c r="F37" i="59"/>
  <c r="O36" i="63"/>
  <c r="O14" i="63"/>
  <c r="F38" i="59"/>
  <c r="O35" i="63"/>
  <c r="O15" i="63"/>
  <c r="F39" i="59"/>
  <c r="O34" i="63" s="1"/>
  <c r="O16" i="63"/>
  <c r="F40" i="59"/>
  <c r="O17" i="63"/>
  <c r="F41" i="59"/>
  <c r="O32" i="63" s="1"/>
  <c r="F2" i="58"/>
  <c r="F3" i="58"/>
  <c r="F4" i="58"/>
  <c r="L2" i="58"/>
  <c r="L3" i="58"/>
  <c r="L4" i="58"/>
  <c r="R1" i="58"/>
  <c r="R4" i="58"/>
  <c r="B3" i="58"/>
  <c r="L5" i="58"/>
  <c r="R2" i="58"/>
  <c r="R3" i="58"/>
  <c r="F42" i="59"/>
  <c r="O19" i="63"/>
  <c r="F43" i="59"/>
  <c r="O30" i="63" s="1"/>
  <c r="F44" i="59"/>
  <c r="O29" i="63" s="1"/>
  <c r="O20" i="63"/>
  <c r="F45" i="59"/>
  <c r="O28" i="63"/>
  <c r="O21" i="63"/>
  <c r="O22" i="63"/>
  <c r="F46" i="59"/>
  <c r="O27" i="63"/>
  <c r="B3" i="55"/>
  <c r="G7" i="55" s="1"/>
  <c r="B8" i="55"/>
  <c r="B5" i="55"/>
  <c r="B12" i="55" s="1"/>
  <c r="B13" i="55" s="1"/>
  <c r="C3" i="59"/>
  <c r="C4" i="59"/>
  <c r="C6" i="59"/>
  <c r="C8" i="59"/>
  <c r="C9" i="59"/>
  <c r="C2" i="59"/>
  <c r="A1" i="59"/>
  <c r="G45" i="59"/>
  <c r="G44" i="59"/>
  <c r="G41" i="59"/>
  <c r="D25" i="59"/>
  <c r="F25" i="59"/>
  <c r="G26" i="59"/>
  <c r="G27" i="59"/>
  <c r="G29" i="59"/>
  <c r="G32" i="59"/>
  <c r="G33" i="59"/>
  <c r="G34" i="59"/>
  <c r="G35" i="59"/>
  <c r="G38" i="59"/>
  <c r="G46" i="59"/>
  <c r="C5" i="59"/>
  <c r="C7" i="59"/>
  <c r="B7" i="34"/>
  <c r="B8" i="34"/>
  <c r="B7" i="35"/>
  <c r="B8" i="35"/>
  <c r="B7" i="36"/>
  <c r="B8" i="36"/>
  <c r="B7" i="37"/>
  <c r="B8" i="37"/>
  <c r="B7" i="38"/>
  <c r="B8" i="38"/>
  <c r="B7" i="40"/>
  <c r="B8" i="40"/>
  <c r="B7" i="41"/>
  <c r="B8" i="41"/>
  <c r="B7" i="42"/>
  <c r="B8" i="42"/>
  <c r="B7" i="43"/>
  <c r="B8" i="43"/>
  <c r="B7" i="44"/>
  <c r="B8" i="44"/>
  <c r="B7" i="46"/>
  <c r="B8" i="46"/>
  <c r="B7" i="47"/>
  <c r="B8" i="47"/>
  <c r="B7" i="48"/>
  <c r="B8" i="48"/>
  <c r="B7" i="50"/>
  <c r="B8" i="50"/>
  <c r="B7" i="52"/>
  <c r="B8" i="52"/>
  <c r="B7" i="53"/>
  <c r="B8" i="53"/>
  <c r="B7" i="54"/>
  <c r="B8" i="54"/>
  <c r="L1" i="58"/>
  <c r="N1" i="58"/>
  <c r="P1" i="58"/>
  <c r="Q1" i="58"/>
  <c r="N2" i="58"/>
  <c r="P2" i="58"/>
  <c r="Q2" i="58"/>
  <c r="N3" i="58"/>
  <c r="P3" i="58"/>
  <c r="Q3" i="58"/>
  <c r="N4" i="58"/>
  <c r="P4" i="58"/>
  <c r="Q4" i="58"/>
  <c r="N5" i="58"/>
  <c r="N6" i="58"/>
  <c r="O6" i="58"/>
  <c r="N7" i="58"/>
  <c r="N8" i="58"/>
  <c r="K2" i="58"/>
  <c r="K3" i="58"/>
  <c r="K4" i="58"/>
  <c r="K5" i="58"/>
  <c r="K6" i="58"/>
  <c r="K7" i="58"/>
  <c r="K8" i="58"/>
  <c r="K1" i="58"/>
  <c r="F5" i="58"/>
  <c r="F1" i="58"/>
  <c r="F6" i="58"/>
  <c r="B4" i="58"/>
  <c r="F24" i="58"/>
  <c r="F25" i="58"/>
  <c r="F26" i="58"/>
  <c r="F28" i="58"/>
  <c r="F29" i="58"/>
  <c r="F30" i="58"/>
  <c r="F31" i="58"/>
  <c r="F32" i="58"/>
  <c r="F33" i="58"/>
  <c r="F35" i="58"/>
  <c r="F36" i="58"/>
  <c r="F38" i="58"/>
  <c r="F42" i="58"/>
  <c r="F23" i="58"/>
  <c r="U44" i="58"/>
  <c r="U43" i="58"/>
  <c r="U42" i="58"/>
  <c r="U41" i="58"/>
  <c r="U40" i="58"/>
  <c r="U39" i="58"/>
  <c r="U38" i="58"/>
  <c r="U37" i="58"/>
  <c r="U36" i="58"/>
  <c r="U35" i="58"/>
  <c r="U34" i="58"/>
  <c r="U33" i="58"/>
  <c r="U32" i="58"/>
  <c r="U31" i="58"/>
  <c r="U30" i="58"/>
  <c r="U29" i="58"/>
  <c r="U28" i="58"/>
  <c r="U27" i="58"/>
  <c r="U26" i="58"/>
  <c r="U25" i="58"/>
  <c r="U24" i="58"/>
  <c r="U23" i="58"/>
  <c r="B8" i="58"/>
  <c r="C16" i="58"/>
  <c r="C15" i="58"/>
  <c r="F9" i="58"/>
  <c r="B9" i="58"/>
  <c r="F8" i="58"/>
  <c r="G8" i="58" s="1"/>
  <c r="B6" i="58"/>
  <c r="B2" i="58"/>
  <c r="A1" i="58"/>
  <c r="F43" i="58"/>
  <c r="F7" i="58"/>
  <c r="G7" i="58"/>
  <c r="B5" i="58"/>
  <c r="B7" i="58"/>
  <c r="F6" i="43"/>
  <c r="L6" i="58" s="1"/>
  <c r="G6" i="43"/>
  <c r="M6" i="58" s="1"/>
  <c r="F7" i="43"/>
  <c r="L7" i="58" s="1"/>
  <c r="G7" i="43"/>
  <c r="M7" i="58"/>
  <c r="F8" i="43"/>
  <c r="L8" i="58" s="1"/>
  <c r="G8" i="43"/>
  <c r="M8" i="58" s="1"/>
  <c r="F9" i="43"/>
  <c r="L9" i="58" s="1"/>
  <c r="B4" i="43"/>
  <c r="A1" i="43"/>
  <c r="B9" i="43"/>
  <c r="B6" i="43"/>
  <c r="B2" i="43"/>
  <c r="B5" i="43"/>
  <c r="B12" i="43" s="1"/>
  <c r="L13" i="43" s="1"/>
  <c r="G1" i="44"/>
  <c r="H1" i="44"/>
  <c r="J1" i="44"/>
  <c r="K1" i="44"/>
  <c r="G2" i="44"/>
  <c r="H2" i="44"/>
  <c r="J2" i="44"/>
  <c r="K2" i="44"/>
  <c r="G3" i="44"/>
  <c r="H3" i="44"/>
  <c r="J3" i="44"/>
  <c r="K3" i="44"/>
  <c r="G4" i="44"/>
  <c r="H4" i="44"/>
  <c r="J4" i="44"/>
  <c r="K4" i="44"/>
  <c r="G5" i="44"/>
  <c r="H5" i="44"/>
  <c r="J5" i="44"/>
  <c r="K5" i="44"/>
  <c r="L5" i="44"/>
  <c r="F1" i="44"/>
  <c r="B4" i="44"/>
  <c r="A1" i="44"/>
  <c r="F9" i="44"/>
  <c r="F8" i="44"/>
  <c r="F6" i="44"/>
  <c r="B9" i="44"/>
  <c r="B6" i="44"/>
  <c r="B2" i="44"/>
  <c r="G6" i="44"/>
  <c r="G8" i="44"/>
  <c r="F7" i="44"/>
  <c r="G7" i="44" s="1"/>
  <c r="B5" i="44"/>
  <c r="B12" i="44"/>
  <c r="L13" i="44" s="1"/>
  <c r="E5" i="45"/>
  <c r="G2" i="45"/>
  <c r="H2" i="45"/>
  <c r="J2" i="45"/>
  <c r="K2" i="45"/>
  <c r="G3" i="45"/>
  <c r="H3" i="45"/>
  <c r="J3" i="45"/>
  <c r="K3" i="45"/>
  <c r="G4" i="45"/>
  <c r="H4" i="45"/>
  <c r="J4" i="45"/>
  <c r="K4" i="45"/>
  <c r="G5" i="45"/>
  <c r="H5" i="45"/>
  <c r="J5" i="45"/>
  <c r="K5" i="45"/>
  <c r="L5" i="45"/>
  <c r="G1" i="45"/>
  <c r="H1" i="45"/>
  <c r="J1" i="45"/>
  <c r="K1" i="45"/>
  <c r="F1" i="45"/>
  <c r="B4" i="45"/>
  <c r="A1" i="45"/>
  <c r="F9" i="45"/>
  <c r="F8" i="45"/>
  <c r="G8" i="45" s="1"/>
  <c r="F6" i="45"/>
  <c r="B9" i="45"/>
  <c r="B6" i="45"/>
  <c r="B2" i="45"/>
  <c r="G6" i="45"/>
  <c r="F7" i="45"/>
  <c r="G7" i="45" s="1"/>
  <c r="B5" i="45"/>
  <c r="B12" i="45" s="1"/>
  <c r="L13" i="45"/>
  <c r="G2" i="46"/>
  <c r="H2" i="46"/>
  <c r="J2" i="46"/>
  <c r="K2" i="46"/>
  <c r="G3" i="46"/>
  <c r="H3" i="46"/>
  <c r="J3" i="46"/>
  <c r="K3" i="46"/>
  <c r="G4" i="46"/>
  <c r="H4" i="46"/>
  <c r="J4" i="46"/>
  <c r="K4" i="46"/>
  <c r="G5" i="46"/>
  <c r="H5" i="46"/>
  <c r="J5" i="46"/>
  <c r="K5" i="46"/>
  <c r="L5" i="46"/>
  <c r="G1" i="46"/>
  <c r="H1" i="46"/>
  <c r="J1" i="46"/>
  <c r="K1" i="46"/>
  <c r="F1" i="46"/>
  <c r="B4" i="46"/>
  <c r="A1" i="46"/>
  <c r="F9" i="46"/>
  <c r="F8" i="46"/>
  <c r="F6" i="46"/>
  <c r="B9" i="46"/>
  <c r="B6" i="46"/>
  <c r="B2" i="46"/>
  <c r="G6" i="46"/>
  <c r="G8" i="46"/>
  <c r="F7" i="46"/>
  <c r="G7" i="46" s="1"/>
  <c r="B5" i="46"/>
  <c r="B12" i="46" s="1"/>
  <c r="L13" i="46" s="1"/>
  <c r="G1" i="47"/>
  <c r="H1" i="47"/>
  <c r="J1" i="47"/>
  <c r="K1" i="47"/>
  <c r="G2" i="47"/>
  <c r="H2" i="47"/>
  <c r="J2" i="47"/>
  <c r="K2" i="47"/>
  <c r="G3" i="47"/>
  <c r="H3" i="47"/>
  <c r="J3" i="47"/>
  <c r="K3" i="47"/>
  <c r="G4" i="47"/>
  <c r="H4" i="47"/>
  <c r="J4" i="47"/>
  <c r="K4" i="47"/>
  <c r="G5" i="47"/>
  <c r="H5" i="47"/>
  <c r="J5" i="47"/>
  <c r="K5" i="47"/>
  <c r="L5" i="47"/>
  <c r="F1" i="47"/>
  <c r="B4" i="47"/>
  <c r="A1" i="47"/>
  <c r="F9" i="47"/>
  <c r="F8" i="47"/>
  <c r="F6" i="47"/>
  <c r="B9" i="47"/>
  <c r="B6" i="47"/>
  <c r="B2" i="47"/>
  <c r="G6" i="47"/>
  <c r="G8" i="47"/>
  <c r="F7" i="47"/>
  <c r="G7" i="47" s="1"/>
  <c r="B5" i="47"/>
  <c r="B12" i="47" s="1"/>
  <c r="L13" i="47" s="1"/>
  <c r="G1" i="48"/>
  <c r="H1" i="48"/>
  <c r="J1" i="48"/>
  <c r="K1" i="48"/>
  <c r="G2" i="48"/>
  <c r="H2" i="48"/>
  <c r="J2" i="48"/>
  <c r="K2" i="48"/>
  <c r="G3" i="48"/>
  <c r="H3" i="48"/>
  <c r="J3" i="48"/>
  <c r="K3" i="48"/>
  <c r="G4" i="48"/>
  <c r="H4" i="48"/>
  <c r="J4" i="48"/>
  <c r="K4" i="48"/>
  <c r="G5" i="48"/>
  <c r="H5" i="48"/>
  <c r="J5" i="48"/>
  <c r="K5" i="48"/>
  <c r="L5" i="48"/>
  <c r="F1" i="48"/>
  <c r="B4" i="48"/>
  <c r="A1" i="48"/>
  <c r="F9" i="48"/>
  <c r="F8" i="48"/>
  <c r="F6" i="48"/>
  <c r="B9" i="48"/>
  <c r="B6" i="48"/>
  <c r="B2" i="48"/>
  <c r="G6" i="48"/>
  <c r="G8" i="48"/>
  <c r="L13" i="48"/>
  <c r="F7" i="48"/>
  <c r="G7" i="48"/>
  <c r="B5" i="48"/>
  <c r="G2" i="49"/>
  <c r="H2" i="49"/>
  <c r="J2" i="49"/>
  <c r="K2" i="49"/>
  <c r="G3" i="49"/>
  <c r="H3" i="49"/>
  <c r="J3" i="49"/>
  <c r="K3" i="49"/>
  <c r="G4" i="49"/>
  <c r="H4" i="49"/>
  <c r="J4" i="49"/>
  <c r="K4" i="49"/>
  <c r="G5" i="49"/>
  <c r="H5" i="49"/>
  <c r="J5" i="49"/>
  <c r="K5" i="49"/>
  <c r="L5" i="49"/>
  <c r="G1" i="49"/>
  <c r="H1" i="49"/>
  <c r="J1" i="49"/>
  <c r="K1" i="49"/>
  <c r="F1" i="49"/>
  <c r="B4" i="49"/>
  <c r="A1" i="49"/>
  <c r="F9" i="49"/>
  <c r="F8" i="49"/>
  <c r="G8" i="49" s="1"/>
  <c r="F6" i="49"/>
  <c r="B9" i="49"/>
  <c r="B6" i="49"/>
  <c r="B2" i="49"/>
  <c r="G6" i="49"/>
  <c r="F7" i="49"/>
  <c r="G7" i="49"/>
  <c r="B5" i="49"/>
  <c r="B12" i="49" s="1"/>
  <c r="L13" i="49" s="1"/>
  <c r="G1" i="50"/>
  <c r="H1" i="50"/>
  <c r="J1" i="50"/>
  <c r="K1" i="50"/>
  <c r="G2" i="50"/>
  <c r="H2" i="50"/>
  <c r="J2" i="50"/>
  <c r="K2" i="50"/>
  <c r="G3" i="50"/>
  <c r="H3" i="50"/>
  <c r="J3" i="50"/>
  <c r="K3" i="50"/>
  <c r="G4" i="50"/>
  <c r="H4" i="50"/>
  <c r="J4" i="50"/>
  <c r="K4" i="50"/>
  <c r="G5" i="50"/>
  <c r="H5" i="50"/>
  <c r="J5" i="50"/>
  <c r="K5" i="50"/>
  <c r="L5" i="50"/>
  <c r="F1" i="50"/>
  <c r="B4" i="50"/>
  <c r="A11" i="50"/>
  <c r="F9" i="50"/>
  <c r="F8" i="50"/>
  <c r="F6" i="50"/>
  <c r="G6" i="50" s="1"/>
  <c r="B9" i="50"/>
  <c r="B6" i="50"/>
  <c r="B2" i="50"/>
  <c r="G8" i="50"/>
  <c r="F7" i="50"/>
  <c r="G7" i="50" s="1"/>
  <c r="B5" i="50"/>
  <c r="B12" i="50"/>
  <c r="L13" i="50" s="1"/>
  <c r="G2" i="51"/>
  <c r="H2" i="51"/>
  <c r="J2" i="51"/>
  <c r="K2" i="51"/>
  <c r="G3" i="51"/>
  <c r="H3" i="51"/>
  <c r="J3" i="51"/>
  <c r="K3" i="51"/>
  <c r="G4" i="51"/>
  <c r="H4" i="51"/>
  <c r="J4" i="51"/>
  <c r="K4" i="51"/>
  <c r="G5" i="51"/>
  <c r="H5" i="51"/>
  <c r="J5" i="51"/>
  <c r="K5" i="51"/>
  <c r="L5" i="51"/>
  <c r="G1" i="51"/>
  <c r="H1" i="51"/>
  <c r="J1" i="51"/>
  <c r="K1" i="51"/>
  <c r="F1" i="51"/>
  <c r="B4" i="51"/>
  <c r="A1" i="51"/>
  <c r="F9" i="51"/>
  <c r="F8" i="51"/>
  <c r="F6" i="51"/>
  <c r="B9" i="51"/>
  <c r="B6" i="51"/>
  <c r="B2" i="51"/>
  <c r="G6" i="51"/>
  <c r="G8" i="51"/>
  <c r="F7" i="51"/>
  <c r="G7" i="51" s="1"/>
  <c r="B5" i="51"/>
  <c r="B12" i="51"/>
  <c r="L13" i="51" s="1"/>
  <c r="G2" i="52"/>
  <c r="H2" i="52"/>
  <c r="J2" i="52"/>
  <c r="K2" i="52"/>
  <c r="G3" i="52"/>
  <c r="H3" i="52"/>
  <c r="J3" i="52"/>
  <c r="K3" i="52"/>
  <c r="G4" i="52"/>
  <c r="H4" i="52"/>
  <c r="J4" i="52"/>
  <c r="K4" i="52"/>
  <c r="G5" i="52"/>
  <c r="H5" i="52"/>
  <c r="J5" i="52"/>
  <c r="K5" i="52"/>
  <c r="L5" i="52"/>
  <c r="G1" i="52"/>
  <c r="H1" i="52"/>
  <c r="J1" i="52"/>
  <c r="K1" i="52"/>
  <c r="F1" i="52"/>
  <c r="B4" i="52"/>
  <c r="A11" i="52"/>
  <c r="F9" i="52"/>
  <c r="F8" i="52"/>
  <c r="G8" i="52" s="1"/>
  <c r="F6" i="52"/>
  <c r="B9" i="52"/>
  <c r="B6" i="52"/>
  <c r="B2" i="52"/>
  <c r="G6" i="52"/>
  <c r="F7" i="52"/>
  <c r="G7" i="52" s="1"/>
  <c r="B5" i="52"/>
  <c r="B12" i="52" s="1"/>
  <c r="L13" i="52"/>
  <c r="B4" i="35"/>
  <c r="B3" i="35"/>
  <c r="F5" i="35"/>
  <c r="G11" i="35"/>
  <c r="A22" i="35"/>
  <c r="A23" i="35"/>
  <c r="A24" i="35" s="1"/>
  <c r="A25" i="35" s="1"/>
  <c r="A26" i="35" s="1"/>
  <c r="A27" i="35" s="1"/>
  <c r="A28" i="35"/>
  <c r="A29" i="35" s="1"/>
  <c r="A30" i="35" s="1"/>
  <c r="A31" i="35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1" i="35"/>
  <c r="F9" i="35"/>
  <c r="F8" i="35"/>
  <c r="F6" i="35"/>
  <c r="B9" i="35"/>
  <c r="B6" i="35"/>
  <c r="B2" i="35"/>
  <c r="G8" i="35"/>
  <c r="F7" i="35"/>
  <c r="G7" i="35" s="1"/>
  <c r="B5" i="35"/>
  <c r="G1" i="53"/>
  <c r="H1" i="53"/>
  <c r="J1" i="53"/>
  <c r="K1" i="53"/>
  <c r="G2" i="53"/>
  <c r="H2" i="53"/>
  <c r="J2" i="53"/>
  <c r="K2" i="53"/>
  <c r="G3" i="53"/>
  <c r="H3" i="53"/>
  <c r="J3" i="53"/>
  <c r="K3" i="53"/>
  <c r="G4" i="53"/>
  <c r="H4" i="53"/>
  <c r="J4" i="53"/>
  <c r="K4" i="53"/>
  <c r="G5" i="53"/>
  <c r="H5" i="53"/>
  <c r="J5" i="53"/>
  <c r="K5" i="53"/>
  <c r="L5" i="53"/>
  <c r="F1" i="53"/>
  <c r="A22" i="53"/>
  <c r="A23" i="53" s="1"/>
  <c r="A24" i="53"/>
  <c r="A25" i="53" s="1"/>
  <c r="A26" i="53" s="1"/>
  <c r="A27" i="53" s="1"/>
  <c r="A28" i="53"/>
  <c r="A29" i="53" s="1"/>
  <c r="A30" i="53" s="1"/>
  <c r="A31" i="53" s="1"/>
  <c r="A32" i="53" s="1"/>
  <c r="A33" i="53" s="1"/>
  <c r="A34" i="53" s="1"/>
  <c r="A35" i="53" s="1"/>
  <c r="A36" i="53" s="1"/>
  <c r="A37" i="53" s="1"/>
  <c r="A38" i="53" s="1"/>
  <c r="A39" i="53" s="1"/>
  <c r="A40" i="53" s="1"/>
  <c r="A41" i="53" s="1"/>
  <c r="A42" i="53" s="1"/>
  <c r="A43" i="53" s="1"/>
  <c r="A44" i="53" s="1"/>
  <c r="A45" i="53" s="1"/>
  <c r="A46" i="53" s="1"/>
  <c r="A47" i="53" s="1"/>
  <c r="A48" i="53" s="1"/>
  <c r="A49" i="53" s="1"/>
  <c r="A50" i="53" s="1"/>
  <c r="A51" i="53" s="1"/>
  <c r="A52" i="53" s="1"/>
  <c r="A53" i="53" s="1"/>
  <c r="A54" i="53" s="1"/>
  <c r="A55" i="53" s="1"/>
  <c r="A56" i="53" s="1"/>
  <c r="A57" i="53" s="1"/>
  <c r="A58" i="53" s="1"/>
  <c r="A59" i="53" s="1"/>
  <c r="A60" i="53" s="1"/>
  <c r="A61" i="53" s="1"/>
  <c r="A62" i="53" s="1"/>
  <c r="A63" i="53" s="1"/>
  <c r="A64" i="53" s="1"/>
  <c r="A65" i="53" s="1"/>
  <c r="A66" i="53" s="1"/>
  <c r="A67" i="53" s="1"/>
  <c r="A68" i="53" s="1"/>
  <c r="A69" i="53" s="1"/>
  <c r="A70" i="53" s="1"/>
  <c r="A71" i="53" s="1"/>
  <c r="A72" i="53" s="1"/>
  <c r="A73" i="53" s="1"/>
  <c r="A74" i="53" s="1"/>
  <c r="A75" i="53" s="1"/>
  <c r="A76" i="53" s="1"/>
  <c r="A77" i="53" s="1"/>
  <c r="A78" i="53" s="1"/>
  <c r="A79" i="53" s="1"/>
  <c r="A80" i="53" s="1"/>
  <c r="A81" i="53" s="1"/>
  <c r="A82" i="53" s="1"/>
  <c r="A83" i="53" s="1"/>
  <c r="A84" i="53" s="1"/>
  <c r="A85" i="53" s="1"/>
  <c r="A86" i="53" s="1"/>
  <c r="B4" i="53"/>
  <c r="A1" i="53"/>
  <c r="F9" i="53"/>
  <c r="F8" i="53"/>
  <c r="G8" i="53" s="1"/>
  <c r="F6" i="53"/>
  <c r="B9" i="53"/>
  <c r="B6" i="53"/>
  <c r="B2" i="53"/>
  <c r="G6" i="53"/>
  <c r="F7" i="53"/>
  <c r="G7" i="53"/>
  <c r="B5" i="53"/>
  <c r="B12" i="53"/>
  <c r="L13" i="53" s="1"/>
  <c r="G1" i="54"/>
  <c r="H1" i="54"/>
  <c r="J1" i="54"/>
  <c r="K1" i="54"/>
  <c r="G2" i="54"/>
  <c r="H2" i="54"/>
  <c r="J2" i="54"/>
  <c r="K2" i="54"/>
  <c r="G3" i="54"/>
  <c r="H3" i="54"/>
  <c r="J3" i="54"/>
  <c r="K3" i="54"/>
  <c r="G4" i="54"/>
  <c r="H4" i="54"/>
  <c r="J4" i="54"/>
  <c r="K4" i="54"/>
  <c r="G5" i="54"/>
  <c r="H5" i="54"/>
  <c r="J5" i="54"/>
  <c r="K5" i="54"/>
  <c r="L5" i="54"/>
  <c r="F1" i="54"/>
  <c r="G11" i="54"/>
  <c r="B4" i="54"/>
  <c r="A1" i="54"/>
  <c r="F9" i="54"/>
  <c r="F8" i="54"/>
  <c r="F6" i="54"/>
  <c r="B9" i="54"/>
  <c r="B6" i="54"/>
  <c r="B2" i="54"/>
  <c r="G6" i="54"/>
  <c r="G8" i="54"/>
  <c r="F7" i="54"/>
  <c r="G7" i="54" s="1"/>
  <c r="B5" i="54"/>
  <c r="B12" i="54"/>
  <c r="L13" i="54" s="1"/>
  <c r="B4" i="36"/>
  <c r="B3" i="36"/>
  <c r="F5" i="36"/>
  <c r="G11" i="36"/>
  <c r="A22" i="36"/>
  <c r="A23" i="36" s="1"/>
  <c r="A24" i="36" s="1"/>
  <c r="A25" i="36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1" i="36"/>
  <c r="F9" i="36"/>
  <c r="F8" i="36"/>
  <c r="G8" i="36" s="1"/>
  <c r="F6" i="36"/>
  <c r="B9" i="36"/>
  <c r="B6" i="36"/>
  <c r="B2" i="36"/>
  <c r="G6" i="36"/>
  <c r="F7" i="36"/>
  <c r="G7" i="36"/>
  <c r="B5" i="36"/>
  <c r="B12" i="36" s="1"/>
  <c r="L13" i="36" s="1"/>
  <c r="B4" i="37"/>
  <c r="B3" i="37"/>
  <c r="B14" i="37" s="1"/>
  <c r="F5" i="37"/>
  <c r="G11" i="37"/>
  <c r="A22" i="37"/>
  <c r="A23" i="37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1" i="37"/>
  <c r="F9" i="37"/>
  <c r="F8" i="37"/>
  <c r="F6" i="37"/>
  <c r="B9" i="37"/>
  <c r="B6" i="37"/>
  <c r="B2" i="37"/>
  <c r="G8" i="37"/>
  <c r="F7" i="37"/>
  <c r="B5" i="37"/>
  <c r="C16" i="37"/>
  <c r="B4" i="38"/>
  <c r="B3" i="38"/>
  <c r="B12" i="38" s="1"/>
  <c r="L13" i="38" s="1"/>
  <c r="F5" i="38"/>
  <c r="G11" i="38"/>
  <c r="A1" i="38"/>
  <c r="F9" i="38"/>
  <c r="F8" i="38"/>
  <c r="F6" i="38"/>
  <c r="B9" i="38"/>
  <c r="B6" i="38"/>
  <c r="B2" i="38"/>
  <c r="G8" i="38"/>
  <c r="F7" i="38"/>
  <c r="G7" i="38" s="1"/>
  <c r="B5" i="38"/>
  <c r="B4" i="39"/>
  <c r="F5" i="39"/>
  <c r="G11" i="39"/>
  <c r="A1" i="39"/>
  <c r="F9" i="39"/>
  <c r="F8" i="39"/>
  <c r="F6" i="39"/>
  <c r="B9" i="39"/>
  <c r="B6" i="39"/>
  <c r="B2" i="39"/>
  <c r="G6" i="39"/>
  <c r="G8" i="39"/>
  <c r="F7" i="39"/>
  <c r="G7" i="39" s="1"/>
  <c r="B5" i="39"/>
  <c r="B12" i="39"/>
  <c r="L13" i="39"/>
  <c r="G11" i="40"/>
  <c r="B4" i="40"/>
  <c r="B3" i="40"/>
  <c r="G7" i="40" s="1"/>
  <c r="F5" i="40"/>
  <c r="A1" i="40"/>
  <c r="F9" i="40"/>
  <c r="F8" i="40"/>
  <c r="G8" i="40" s="1"/>
  <c r="F6" i="40"/>
  <c r="B9" i="40"/>
  <c r="B6" i="40"/>
  <c r="B2" i="40"/>
  <c r="G6" i="40"/>
  <c r="F7" i="40"/>
  <c r="B5" i="40"/>
  <c r="B4" i="41"/>
  <c r="B3" i="41"/>
  <c r="F5" i="41"/>
  <c r="G11" i="41"/>
  <c r="A1" i="41"/>
  <c r="F9" i="41"/>
  <c r="F8" i="41"/>
  <c r="G8" i="41" s="1"/>
  <c r="F6" i="41"/>
  <c r="B9" i="41"/>
  <c r="B6" i="41"/>
  <c r="B2" i="41"/>
  <c r="G6" i="41"/>
  <c r="F7" i="41"/>
  <c r="G7" i="41"/>
  <c r="B5" i="41"/>
  <c r="B12" i="41" s="1"/>
  <c r="L13" i="41" s="1"/>
  <c r="B4" i="42"/>
  <c r="B3" i="42"/>
  <c r="F5" i="42"/>
  <c r="A1" i="42"/>
  <c r="F9" i="42"/>
  <c r="F8" i="42"/>
  <c r="G8" i="42" s="1"/>
  <c r="F6" i="42"/>
  <c r="B9" i="42"/>
  <c r="B6" i="42"/>
  <c r="B2" i="42"/>
  <c r="F7" i="42"/>
  <c r="B5" i="42"/>
  <c r="B4" i="55"/>
  <c r="B6" i="55"/>
  <c r="B9" i="55"/>
  <c r="A1" i="55"/>
  <c r="C16" i="55"/>
  <c r="C15" i="55"/>
  <c r="B2" i="55"/>
  <c r="L13" i="55"/>
  <c r="G11" i="34"/>
  <c r="B4" i="34"/>
  <c r="B3" i="34"/>
  <c r="F5" i="34"/>
  <c r="E19" i="34"/>
  <c r="A22" i="34"/>
  <c r="A23" i="34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A43" i="34" s="1"/>
  <c r="A44" i="34" s="1"/>
  <c r="A45" i="34" s="1"/>
  <c r="A46" i="34" s="1"/>
  <c r="A47" i="34" s="1"/>
  <c r="A48" i="34" s="1"/>
  <c r="A49" i="34" s="1"/>
  <c r="A50" i="34" s="1"/>
  <c r="A51" i="34" s="1"/>
  <c r="A52" i="34" s="1"/>
  <c r="A53" i="34" s="1"/>
  <c r="A54" i="34" s="1"/>
  <c r="A55" i="34" s="1"/>
  <c r="A56" i="34" s="1"/>
  <c r="A57" i="34" s="1"/>
  <c r="A58" i="34" s="1"/>
  <c r="A59" i="34" s="1"/>
  <c r="A60" i="34" s="1"/>
  <c r="A61" i="34" s="1"/>
  <c r="A62" i="34" s="1"/>
  <c r="A63" i="34" s="1"/>
  <c r="A64" i="34" s="1"/>
  <c r="A65" i="34" s="1"/>
  <c r="A66" i="34" s="1"/>
  <c r="A67" i="34" s="1"/>
  <c r="A68" i="34" s="1"/>
  <c r="A69" i="34" s="1"/>
  <c r="A70" i="34" s="1"/>
  <c r="A71" i="34" s="1"/>
  <c r="A72" i="34" s="1"/>
  <c r="A73" i="34" s="1"/>
  <c r="A74" i="34" s="1"/>
  <c r="A75" i="34" s="1"/>
  <c r="A76" i="34" s="1"/>
  <c r="A77" i="34" s="1"/>
  <c r="A78" i="34" s="1"/>
  <c r="A79" i="34" s="1"/>
  <c r="A80" i="34" s="1"/>
  <c r="A81" i="34" s="1"/>
  <c r="A82" i="34" s="1"/>
  <c r="A83" i="34" s="1"/>
  <c r="A84" i="34" s="1"/>
  <c r="A85" i="34" s="1"/>
  <c r="A86" i="34" s="1"/>
  <c r="A1" i="34"/>
  <c r="F6" i="34"/>
  <c r="F9" i="34"/>
  <c r="F8" i="34"/>
  <c r="F7" i="34"/>
  <c r="G7" i="34" s="1"/>
  <c r="B9" i="34"/>
  <c r="B6" i="34"/>
  <c r="B5" i="34"/>
  <c r="B12" i="34" s="1"/>
  <c r="L13" i="34" s="1"/>
  <c r="B2" i="34"/>
  <c r="G6" i="34"/>
  <c r="G8" i="34"/>
  <c r="C3" i="62"/>
  <c r="C4" i="62"/>
  <c r="C5" i="62"/>
  <c r="C6" i="62"/>
  <c r="C7" i="62"/>
  <c r="C8" i="62"/>
  <c r="C9" i="62"/>
  <c r="C2" i="62"/>
  <c r="A1" i="62"/>
  <c r="B41" i="62"/>
  <c r="G41" i="62" s="1"/>
  <c r="D21" i="62"/>
  <c r="D22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20" i="62"/>
  <c r="B14" i="42" l="1"/>
  <c r="B12" i="42"/>
  <c r="L13" i="42" s="1"/>
  <c r="O31" i="63"/>
  <c r="F39" i="58"/>
  <c r="B14" i="34"/>
  <c r="G6" i="37"/>
  <c r="B14" i="35"/>
  <c r="G6" i="35"/>
  <c r="B12" i="35"/>
  <c r="L13" i="35" s="1"/>
  <c r="O33" i="63"/>
  <c r="G40" i="59"/>
  <c r="F37" i="58"/>
  <c r="F34" i="58"/>
  <c r="G37" i="59"/>
  <c r="C15" i="37"/>
  <c r="G7" i="42"/>
  <c r="B14" i="40"/>
  <c r="B12" i="40"/>
  <c r="L13" i="40" s="1"/>
  <c r="B12" i="37"/>
  <c r="L13" i="37" s="1"/>
  <c r="G6" i="42"/>
  <c r="B14" i="38"/>
  <c r="G6" i="38"/>
  <c r="L14" i="37"/>
  <c r="G7" i="37"/>
  <c r="O43" i="63"/>
  <c r="F27" i="58"/>
  <c r="H39" i="57"/>
  <c r="G39" i="59"/>
  <c r="B14" i="41"/>
  <c r="B14" i="58"/>
  <c r="G6" i="58"/>
  <c r="B12" i="58"/>
  <c r="H28" i="57"/>
  <c r="G28" i="59"/>
  <c r="B14" i="36"/>
  <c r="G43" i="59"/>
  <c r="F40" i="58"/>
  <c r="H34" i="57"/>
  <c r="O10" i="63"/>
  <c r="F41" i="58"/>
  <c r="O42" i="63"/>
  <c r="G31" i="59"/>
  <c r="H42" i="57"/>
  <c r="O18" i="63"/>
  <c r="G42" i="59"/>
  <c r="O12" i="63"/>
  <c r="G36" i="59"/>
  <c r="B14" i="51"/>
  <c r="B14" i="48"/>
  <c r="A23" i="55"/>
  <c r="C26" i="63"/>
  <c r="H26" i="57"/>
  <c r="O2" i="63"/>
  <c r="A24" i="56"/>
  <c r="C23" i="56"/>
  <c r="D7" i="56"/>
  <c r="D7" i="55"/>
  <c r="B14" i="55"/>
  <c r="G8" i="55"/>
  <c r="I20" i="60"/>
  <c r="E12" i="60"/>
  <c r="J34" i="60"/>
  <c r="J30" i="60"/>
  <c r="I8" i="60"/>
  <c r="B14" i="43"/>
  <c r="I3" i="33"/>
  <c r="I2" i="33"/>
  <c r="B14" i="39"/>
  <c r="J38" i="60"/>
  <c r="J42" i="60"/>
  <c r="J46" i="60"/>
  <c r="J37" i="60"/>
  <c r="J41" i="60"/>
  <c r="J45" i="60"/>
  <c r="J35" i="60"/>
  <c r="J36" i="60"/>
  <c r="J40" i="60"/>
  <c r="J44" i="60"/>
  <c r="J39" i="60"/>
  <c r="J43" i="60"/>
  <c r="J47" i="60"/>
  <c r="J21" i="60"/>
  <c r="J25" i="60"/>
  <c r="N7" i="33"/>
  <c r="O6" i="33"/>
  <c r="B14" i="44"/>
  <c r="B14" i="45"/>
  <c r="B14" i="46"/>
  <c r="B14" i="47"/>
  <c r="B14" i="49"/>
  <c r="B14" i="50"/>
  <c r="B14" i="52"/>
  <c r="B14" i="53"/>
  <c r="B14" i="54"/>
  <c r="B14" i="33"/>
  <c r="B5" i="56"/>
  <c r="B12" i="33"/>
  <c r="G6" i="55"/>
  <c r="A21" i="46" l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C16" i="46"/>
  <c r="C15" i="46"/>
  <c r="L14" i="46"/>
  <c r="A25" i="56"/>
  <c r="C24" i="56"/>
  <c r="A28" i="63"/>
  <c r="L13" i="33"/>
  <c r="P3" i="33"/>
  <c r="C12" i="57"/>
  <c r="A21" i="45"/>
  <c r="C15" i="45"/>
  <c r="L14" i="45"/>
  <c r="C16" i="45"/>
  <c r="V14" i="58"/>
  <c r="B14" i="56"/>
  <c r="B12" i="56"/>
  <c r="C16" i="54"/>
  <c r="C15" i="54"/>
  <c r="A21" i="54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A36" i="54" s="1"/>
  <c r="A37" i="54" s="1"/>
  <c r="A38" i="54" s="1"/>
  <c r="A39" i="54" s="1"/>
  <c r="A40" i="54" s="1"/>
  <c r="A41" i="54" s="1"/>
  <c r="A42" i="54" s="1"/>
  <c r="A43" i="54" s="1"/>
  <c r="A44" i="54" s="1"/>
  <c r="A45" i="54" s="1"/>
  <c r="A46" i="54" s="1"/>
  <c r="A47" i="54" s="1"/>
  <c r="A48" i="54" s="1"/>
  <c r="A49" i="54" s="1"/>
  <c r="A50" i="54" s="1"/>
  <c r="A51" i="54" s="1"/>
  <c r="A52" i="54" s="1"/>
  <c r="A53" i="54" s="1"/>
  <c r="A54" i="54" s="1"/>
  <c r="A55" i="54" s="1"/>
  <c r="A56" i="54" s="1"/>
  <c r="A57" i="54" s="1"/>
  <c r="A58" i="54" s="1"/>
  <c r="A59" i="54" s="1"/>
  <c r="A60" i="54" s="1"/>
  <c r="A61" i="54" s="1"/>
  <c r="A62" i="54" s="1"/>
  <c r="A63" i="54" s="1"/>
  <c r="A64" i="54" s="1"/>
  <c r="A65" i="54" s="1"/>
  <c r="A66" i="54" s="1"/>
  <c r="A67" i="54" s="1"/>
  <c r="A68" i="54" s="1"/>
  <c r="A69" i="54" s="1"/>
  <c r="A70" i="54" s="1"/>
  <c r="A71" i="54" s="1"/>
  <c r="A72" i="54" s="1"/>
  <c r="A73" i="54" s="1"/>
  <c r="A74" i="54" s="1"/>
  <c r="A75" i="54" s="1"/>
  <c r="A76" i="54" s="1"/>
  <c r="A77" i="54" s="1"/>
  <c r="A78" i="54" s="1"/>
  <c r="A79" i="54" s="1"/>
  <c r="A80" i="54" s="1"/>
  <c r="A81" i="54" s="1"/>
  <c r="A82" i="54" s="1"/>
  <c r="A83" i="54" s="1"/>
  <c r="A84" i="54" s="1"/>
  <c r="A85" i="54" s="1"/>
  <c r="A86" i="54" s="1"/>
  <c r="L14" i="54"/>
  <c r="A21" i="49"/>
  <c r="C15" i="49"/>
  <c r="L14" i="49"/>
  <c r="C16" i="49"/>
  <c r="C16" i="44"/>
  <c r="L14" i="44"/>
  <c r="A21" i="44"/>
  <c r="A22" i="44" s="1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A33" i="44" s="1"/>
  <c r="A34" i="44" s="1"/>
  <c r="A35" i="44" s="1"/>
  <c r="A36" i="44" s="1"/>
  <c r="A37" i="44" s="1"/>
  <c r="A38" i="44" s="1"/>
  <c r="A39" i="44" s="1"/>
  <c r="A40" i="44" s="1"/>
  <c r="A41" i="44" s="1"/>
  <c r="A42" i="44" s="1"/>
  <c r="A43" i="44" s="1"/>
  <c r="A44" i="44" s="1"/>
  <c r="A45" i="44" s="1"/>
  <c r="A46" i="44" s="1"/>
  <c r="A47" i="44" s="1"/>
  <c r="A48" i="44" s="1"/>
  <c r="A49" i="44" s="1"/>
  <c r="A50" i="44" s="1"/>
  <c r="A51" i="44" s="1"/>
  <c r="A52" i="44" s="1"/>
  <c r="A53" i="44" s="1"/>
  <c r="A54" i="44" s="1"/>
  <c r="A55" i="44" s="1"/>
  <c r="A56" i="44" s="1"/>
  <c r="A57" i="44" s="1"/>
  <c r="A58" i="44" s="1"/>
  <c r="A59" i="44" s="1"/>
  <c r="A60" i="44" s="1"/>
  <c r="A61" i="44" s="1"/>
  <c r="A62" i="44" s="1"/>
  <c r="A63" i="44" s="1"/>
  <c r="A64" i="44" s="1"/>
  <c r="A65" i="44" s="1"/>
  <c r="A66" i="44" s="1"/>
  <c r="A67" i="44" s="1"/>
  <c r="A68" i="44" s="1"/>
  <c r="A69" i="44" s="1"/>
  <c r="A70" i="44" s="1"/>
  <c r="A71" i="44" s="1"/>
  <c r="A72" i="44" s="1"/>
  <c r="A73" i="44" s="1"/>
  <c r="A74" i="44" s="1"/>
  <c r="A75" i="44" s="1"/>
  <c r="A76" i="44" s="1"/>
  <c r="A77" i="44" s="1"/>
  <c r="A78" i="44" s="1"/>
  <c r="A79" i="44" s="1"/>
  <c r="A80" i="44" s="1"/>
  <c r="A81" i="44" s="1"/>
  <c r="A82" i="44" s="1"/>
  <c r="A83" i="44" s="1"/>
  <c r="A84" i="44" s="1"/>
  <c r="A85" i="44" s="1"/>
  <c r="A86" i="44" s="1"/>
  <c r="A21" i="39"/>
  <c r="C15" i="39"/>
  <c r="C16" i="39"/>
  <c r="L14" i="39"/>
  <c r="A21" i="43"/>
  <c r="A22" i="43" s="1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A36" i="43" s="1"/>
  <c r="A37" i="43" s="1"/>
  <c r="A38" i="43" s="1"/>
  <c r="A39" i="43" s="1"/>
  <c r="A40" i="43" s="1"/>
  <c r="A41" i="43" s="1"/>
  <c r="A42" i="43" s="1"/>
  <c r="A43" i="43" s="1"/>
  <c r="A44" i="43" s="1"/>
  <c r="A45" i="43" s="1"/>
  <c r="A46" i="43" s="1"/>
  <c r="A47" i="43" s="1"/>
  <c r="A48" i="43" s="1"/>
  <c r="A49" i="43" s="1"/>
  <c r="A50" i="43" s="1"/>
  <c r="A51" i="43" s="1"/>
  <c r="A52" i="43" s="1"/>
  <c r="A53" i="43" s="1"/>
  <c r="A54" i="43" s="1"/>
  <c r="A55" i="43" s="1"/>
  <c r="A56" i="43" s="1"/>
  <c r="A57" i="43" s="1"/>
  <c r="A58" i="43" s="1"/>
  <c r="A59" i="43" s="1"/>
  <c r="A60" i="43" s="1"/>
  <c r="A61" i="43" s="1"/>
  <c r="A62" i="43" s="1"/>
  <c r="A63" i="43" s="1"/>
  <c r="A64" i="43" s="1"/>
  <c r="A65" i="43" s="1"/>
  <c r="A66" i="43" s="1"/>
  <c r="A67" i="43" s="1"/>
  <c r="A68" i="43" s="1"/>
  <c r="A69" i="43" s="1"/>
  <c r="A70" i="43" s="1"/>
  <c r="A71" i="43" s="1"/>
  <c r="A72" i="43" s="1"/>
  <c r="A73" i="43" s="1"/>
  <c r="A74" i="43" s="1"/>
  <c r="A75" i="43" s="1"/>
  <c r="A76" i="43" s="1"/>
  <c r="A77" i="43" s="1"/>
  <c r="A78" i="43" s="1"/>
  <c r="A79" i="43" s="1"/>
  <c r="A80" i="43" s="1"/>
  <c r="A81" i="43" s="1"/>
  <c r="A82" i="43" s="1"/>
  <c r="A83" i="43" s="1"/>
  <c r="A84" i="43" s="1"/>
  <c r="A85" i="43" s="1"/>
  <c r="A86" i="43" s="1"/>
  <c r="C16" i="43"/>
  <c r="C15" i="43"/>
  <c r="L14" i="43"/>
  <c r="C16" i="48"/>
  <c r="C15" i="48"/>
  <c r="L14" i="48"/>
  <c r="A21" i="48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A43" i="48" s="1"/>
  <c r="A44" i="48" s="1"/>
  <c r="A45" i="48" s="1"/>
  <c r="A46" i="48" s="1"/>
  <c r="A47" i="48" s="1"/>
  <c r="A48" i="48" s="1"/>
  <c r="A49" i="48" s="1"/>
  <c r="A50" i="48" s="1"/>
  <c r="A51" i="48" s="1"/>
  <c r="A52" i="48" s="1"/>
  <c r="A53" i="48" s="1"/>
  <c r="A54" i="48" s="1"/>
  <c r="A55" i="48" s="1"/>
  <c r="A56" i="48" s="1"/>
  <c r="A57" i="48" s="1"/>
  <c r="A58" i="48" s="1"/>
  <c r="A59" i="48" s="1"/>
  <c r="A60" i="48" s="1"/>
  <c r="A61" i="48" s="1"/>
  <c r="A62" i="48" s="1"/>
  <c r="A63" i="48" s="1"/>
  <c r="A64" i="48" s="1"/>
  <c r="A65" i="48" s="1"/>
  <c r="A66" i="48" s="1"/>
  <c r="A67" i="48" s="1"/>
  <c r="A68" i="48" s="1"/>
  <c r="A69" i="48" s="1"/>
  <c r="A70" i="48" s="1"/>
  <c r="A71" i="48" s="1"/>
  <c r="A72" i="48" s="1"/>
  <c r="A73" i="48" s="1"/>
  <c r="A74" i="48" s="1"/>
  <c r="A75" i="48" s="1"/>
  <c r="A76" i="48" s="1"/>
  <c r="A77" i="48" s="1"/>
  <c r="A78" i="48" s="1"/>
  <c r="A79" i="48" s="1"/>
  <c r="A80" i="48" s="1"/>
  <c r="A81" i="48" s="1"/>
  <c r="A82" i="48" s="1"/>
  <c r="A83" i="48" s="1"/>
  <c r="A84" i="48" s="1"/>
  <c r="A85" i="48" s="1"/>
  <c r="A86" i="48" s="1"/>
  <c r="C15" i="38"/>
  <c r="C16" i="38"/>
  <c r="A21" i="38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A69" i="38" s="1"/>
  <c r="A70" i="38" s="1"/>
  <c r="A71" i="38" s="1"/>
  <c r="A72" i="38" s="1"/>
  <c r="A73" i="38" s="1"/>
  <c r="A74" i="38" s="1"/>
  <c r="A75" i="38" s="1"/>
  <c r="A76" i="38" s="1"/>
  <c r="A77" i="38" s="1"/>
  <c r="A78" i="38" s="1"/>
  <c r="A79" i="38" s="1"/>
  <c r="A80" i="38" s="1"/>
  <c r="A81" i="38" s="1"/>
  <c r="A82" i="38" s="1"/>
  <c r="A83" i="38" s="1"/>
  <c r="A84" i="38" s="1"/>
  <c r="A85" i="38" s="1"/>
  <c r="A86" i="38" s="1"/>
  <c r="L14" i="38"/>
  <c r="L14" i="40"/>
  <c r="A21" i="40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C15" i="40"/>
  <c r="C16" i="40"/>
  <c r="C15" i="52"/>
  <c r="L14" i="52"/>
  <c r="A21" i="52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36" i="52" s="1"/>
  <c r="A37" i="52" s="1"/>
  <c r="A38" i="52" s="1"/>
  <c r="A39" i="52" s="1"/>
  <c r="A40" i="52" s="1"/>
  <c r="A41" i="52" s="1"/>
  <c r="A42" i="52" s="1"/>
  <c r="A43" i="52" s="1"/>
  <c r="A44" i="52" s="1"/>
  <c r="A45" i="52" s="1"/>
  <c r="A46" i="52" s="1"/>
  <c r="A47" i="52" s="1"/>
  <c r="A48" i="52" s="1"/>
  <c r="A49" i="52" s="1"/>
  <c r="A50" i="52" s="1"/>
  <c r="A51" i="52" s="1"/>
  <c r="A52" i="52" s="1"/>
  <c r="A53" i="52" s="1"/>
  <c r="A54" i="52" s="1"/>
  <c r="A55" i="52" s="1"/>
  <c r="A56" i="52" s="1"/>
  <c r="A57" i="52" s="1"/>
  <c r="A58" i="52" s="1"/>
  <c r="A59" i="52" s="1"/>
  <c r="A60" i="52" s="1"/>
  <c r="A61" i="52" s="1"/>
  <c r="A62" i="52" s="1"/>
  <c r="A63" i="52" s="1"/>
  <c r="A64" i="52" s="1"/>
  <c r="A65" i="52" s="1"/>
  <c r="A66" i="52" s="1"/>
  <c r="A67" i="52" s="1"/>
  <c r="A68" i="52" s="1"/>
  <c r="A69" i="52" s="1"/>
  <c r="A70" i="52" s="1"/>
  <c r="A71" i="52" s="1"/>
  <c r="A72" i="52" s="1"/>
  <c r="A73" i="52" s="1"/>
  <c r="A74" i="52" s="1"/>
  <c r="A75" i="52" s="1"/>
  <c r="A76" i="52" s="1"/>
  <c r="A77" i="52" s="1"/>
  <c r="A78" i="52" s="1"/>
  <c r="A79" i="52" s="1"/>
  <c r="A80" i="52" s="1"/>
  <c r="A81" i="52" s="1"/>
  <c r="A82" i="52" s="1"/>
  <c r="A83" i="52" s="1"/>
  <c r="A84" i="52" s="1"/>
  <c r="A85" i="52" s="1"/>
  <c r="A86" i="52" s="1"/>
  <c r="C16" i="52"/>
  <c r="O7" i="33"/>
  <c r="N8" i="33"/>
  <c r="B16" i="55"/>
  <c r="B15" i="55"/>
  <c r="C16" i="36"/>
  <c r="L14" i="36"/>
  <c r="A21" i="50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7" i="50" s="1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59" i="50" s="1"/>
  <c r="A60" i="50" s="1"/>
  <c r="A61" i="50" s="1"/>
  <c r="A62" i="50" s="1"/>
  <c r="A63" i="50" s="1"/>
  <c r="A64" i="50" s="1"/>
  <c r="A65" i="50" s="1"/>
  <c r="A66" i="50" s="1"/>
  <c r="A67" i="50" s="1"/>
  <c r="A68" i="50" s="1"/>
  <c r="A69" i="50" s="1"/>
  <c r="A70" i="50" s="1"/>
  <c r="A71" i="50" s="1"/>
  <c r="A72" i="50" s="1"/>
  <c r="A73" i="50" s="1"/>
  <c r="A74" i="50" s="1"/>
  <c r="A75" i="50" s="1"/>
  <c r="A76" i="50" s="1"/>
  <c r="A77" i="50" s="1"/>
  <c r="A78" i="50" s="1"/>
  <c r="A79" i="50" s="1"/>
  <c r="A80" i="50" s="1"/>
  <c r="A81" i="50" s="1"/>
  <c r="A82" i="50" s="1"/>
  <c r="A83" i="50" s="1"/>
  <c r="A84" i="50" s="1"/>
  <c r="A85" i="50" s="1"/>
  <c r="A86" i="50" s="1"/>
  <c r="C16" i="50"/>
  <c r="L14" i="50"/>
  <c r="C15" i="50"/>
  <c r="I4" i="33"/>
  <c r="B17" i="33" s="1"/>
  <c r="I7" i="33"/>
  <c r="A24" i="55"/>
  <c r="C27" i="63"/>
  <c r="A21" i="51"/>
  <c r="C16" i="51"/>
  <c r="C15" i="51"/>
  <c r="L14" i="51"/>
  <c r="L14" i="41"/>
  <c r="A21" i="4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C16" i="41"/>
  <c r="C15" i="41"/>
  <c r="C16" i="34"/>
  <c r="L14" i="34"/>
  <c r="I12" i="33"/>
  <c r="I14" i="33"/>
  <c r="G14" i="33" s="1"/>
  <c r="I13" i="33"/>
  <c r="G13" i="33" s="1"/>
  <c r="A21" i="33"/>
  <c r="C16" i="33"/>
  <c r="L14" i="33"/>
  <c r="E14" i="60"/>
  <c r="E13" i="33"/>
  <c r="C15" i="53"/>
  <c r="L14" i="53"/>
  <c r="C16" i="53"/>
  <c r="A21" i="47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A60" i="47" s="1"/>
  <c r="A61" i="47" s="1"/>
  <c r="A62" i="47" s="1"/>
  <c r="A63" i="47" s="1"/>
  <c r="A64" i="47" s="1"/>
  <c r="A65" i="47" s="1"/>
  <c r="A66" i="47" s="1"/>
  <c r="A67" i="47" s="1"/>
  <c r="A68" i="47" s="1"/>
  <c r="A69" i="47" s="1"/>
  <c r="A70" i="47" s="1"/>
  <c r="A71" i="47" s="1"/>
  <c r="A72" i="47" s="1"/>
  <c r="A73" i="47" s="1"/>
  <c r="A74" i="47" s="1"/>
  <c r="A75" i="47" s="1"/>
  <c r="A76" i="47" s="1"/>
  <c r="A77" i="47" s="1"/>
  <c r="A78" i="47" s="1"/>
  <c r="A79" i="47" s="1"/>
  <c r="A80" i="47" s="1"/>
  <c r="A81" i="47" s="1"/>
  <c r="A82" i="47" s="1"/>
  <c r="A83" i="47" s="1"/>
  <c r="A84" i="47" s="1"/>
  <c r="A85" i="47" s="1"/>
  <c r="A86" i="47" s="1"/>
  <c r="C16" i="47"/>
  <c r="C15" i="47"/>
  <c r="L14" i="47"/>
  <c r="I1" i="34"/>
  <c r="B26" i="59"/>
  <c r="B23" i="58" s="1"/>
  <c r="V13" i="58"/>
  <c r="C15" i="35"/>
  <c r="C16" i="35"/>
  <c r="L14" i="35"/>
  <c r="L14" i="42"/>
  <c r="A21" i="42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A36" i="42" s="1"/>
  <c r="A37" i="42" s="1"/>
  <c r="A38" i="42" s="1"/>
  <c r="A39" i="42" s="1"/>
  <c r="A40" i="42" s="1"/>
  <c r="A41" i="42" s="1"/>
  <c r="A42" i="42" s="1"/>
  <c r="A43" i="42" s="1"/>
  <c r="A44" i="42" s="1"/>
  <c r="A45" i="42" s="1"/>
  <c r="A46" i="42" s="1"/>
  <c r="A47" i="42" s="1"/>
  <c r="A48" i="42" s="1"/>
  <c r="A49" i="42" s="1"/>
  <c r="A50" i="42" s="1"/>
  <c r="A51" i="42" s="1"/>
  <c r="A52" i="42" s="1"/>
  <c r="A53" i="42" s="1"/>
  <c r="A54" i="42" s="1"/>
  <c r="A55" i="42" s="1"/>
  <c r="A56" i="42" s="1"/>
  <c r="A57" i="42" s="1"/>
  <c r="A58" i="42" s="1"/>
  <c r="A59" i="42" s="1"/>
  <c r="A60" i="42" s="1"/>
  <c r="A61" i="42" s="1"/>
  <c r="A62" i="42" s="1"/>
  <c r="A63" i="42" s="1"/>
  <c r="A64" i="42" s="1"/>
  <c r="A65" i="42" s="1"/>
  <c r="A66" i="42" s="1"/>
  <c r="A67" i="42" s="1"/>
  <c r="A68" i="42" s="1"/>
  <c r="A69" i="42" s="1"/>
  <c r="A70" i="42" s="1"/>
  <c r="A71" i="42" s="1"/>
  <c r="A72" i="42" s="1"/>
  <c r="A73" i="42" s="1"/>
  <c r="A74" i="42" s="1"/>
  <c r="A75" i="42" s="1"/>
  <c r="A76" i="42" s="1"/>
  <c r="A77" i="42" s="1"/>
  <c r="A78" i="42" s="1"/>
  <c r="A79" i="42" s="1"/>
  <c r="A80" i="42" s="1"/>
  <c r="A81" i="42" s="1"/>
  <c r="A82" i="42" s="1"/>
  <c r="A83" i="42" s="1"/>
  <c r="A84" i="42" s="1"/>
  <c r="A85" i="42" s="1"/>
  <c r="A86" i="42" s="1"/>
  <c r="C16" i="42"/>
  <c r="C15" i="42"/>
  <c r="D30" i="33" l="1"/>
  <c r="F13" i="33"/>
  <c r="A22" i="33"/>
  <c r="B21" i="33"/>
  <c r="I1" i="35"/>
  <c r="B27" i="59"/>
  <c r="B24" i="58" s="1"/>
  <c r="P32" i="57"/>
  <c r="P36" i="57"/>
  <c r="P40" i="57"/>
  <c r="P46" i="57"/>
  <c r="G45" i="57"/>
  <c r="F47" i="57"/>
  <c r="P28" i="57"/>
  <c r="P37" i="57"/>
  <c r="P29" i="57"/>
  <c r="P45" i="57"/>
  <c r="P34" i="57"/>
  <c r="P42" i="57"/>
  <c r="P48" i="57"/>
  <c r="P43" i="57"/>
  <c r="P39" i="57"/>
  <c r="P30" i="57"/>
  <c r="P44" i="57"/>
  <c r="P38" i="57"/>
  <c r="P26" i="57"/>
  <c r="P31" i="57"/>
  <c r="P35" i="57"/>
  <c r="G26" i="57"/>
  <c r="G42" i="57"/>
  <c r="G34" i="57"/>
  <c r="P41" i="57"/>
  <c r="P33" i="57"/>
  <c r="G38" i="57"/>
  <c r="G30" i="57"/>
  <c r="G44" i="57"/>
  <c r="G28" i="57"/>
  <c r="G41" i="57"/>
  <c r="G35" i="57"/>
  <c r="G33" i="57"/>
  <c r="G27" i="57"/>
  <c r="G39" i="57"/>
  <c r="G40" i="57"/>
  <c r="G32" i="57"/>
  <c r="G46" i="57"/>
  <c r="G43" i="57"/>
  <c r="P27" i="57"/>
  <c r="G37" i="57"/>
  <c r="G31" i="57"/>
  <c r="G29" i="57"/>
  <c r="G36" i="57"/>
  <c r="B26" i="57"/>
  <c r="B85" i="34"/>
  <c r="B81" i="34"/>
  <c r="B77" i="34"/>
  <c r="B73" i="34"/>
  <c r="B69" i="34"/>
  <c r="B65" i="34"/>
  <c r="B61" i="34"/>
  <c r="B57" i="34"/>
  <c r="B53" i="34"/>
  <c r="B49" i="34"/>
  <c r="B45" i="34"/>
  <c r="B41" i="34"/>
  <c r="B37" i="34"/>
  <c r="B33" i="34"/>
  <c r="B29" i="34"/>
  <c r="B25" i="34"/>
  <c r="B21" i="34"/>
  <c r="B84" i="34"/>
  <c r="B80" i="34"/>
  <c r="B76" i="34"/>
  <c r="B72" i="34"/>
  <c r="B68" i="34"/>
  <c r="B64" i="34"/>
  <c r="B60" i="34"/>
  <c r="B56" i="34"/>
  <c r="B52" i="34"/>
  <c r="B48" i="34"/>
  <c r="B44" i="34"/>
  <c r="B40" i="34"/>
  <c r="B36" i="34"/>
  <c r="B32" i="34"/>
  <c r="B28" i="34"/>
  <c r="B24" i="34"/>
  <c r="B83" i="34"/>
  <c r="B75" i="34"/>
  <c r="B67" i="34"/>
  <c r="B59" i="34"/>
  <c r="B51" i="34"/>
  <c r="B43" i="34"/>
  <c r="B35" i="34"/>
  <c r="B27" i="34"/>
  <c r="B20" i="62"/>
  <c r="G20" i="62" s="1"/>
  <c r="B79" i="34"/>
  <c r="B63" i="34"/>
  <c r="B47" i="34"/>
  <c r="B31" i="34"/>
  <c r="B86" i="34"/>
  <c r="B70" i="34"/>
  <c r="B54" i="34"/>
  <c r="B38" i="34"/>
  <c r="B22" i="34"/>
  <c r="I2" i="34"/>
  <c r="B82" i="34"/>
  <c r="B74" i="34"/>
  <c r="B66" i="34"/>
  <c r="B58" i="34"/>
  <c r="B50" i="34"/>
  <c r="B42" i="34"/>
  <c r="B34" i="34"/>
  <c r="B26" i="34"/>
  <c r="B71" i="34"/>
  <c r="B55" i="34"/>
  <c r="B39" i="34"/>
  <c r="B23" i="34"/>
  <c r="B78" i="34"/>
  <c r="B62" i="34"/>
  <c r="B46" i="34"/>
  <c r="B30" i="34"/>
  <c r="I3" i="34"/>
  <c r="F47" i="59"/>
  <c r="F44" i="58" s="1"/>
  <c r="G11" i="55"/>
  <c r="A22" i="49"/>
  <c r="G25" i="63"/>
  <c r="P7" i="33"/>
  <c r="C13" i="35" s="1"/>
  <c r="P6" i="33"/>
  <c r="C13" i="34" s="1"/>
  <c r="P8" i="33"/>
  <c r="C13" i="36" s="1"/>
  <c r="C25" i="56"/>
  <c r="A26" i="56"/>
  <c r="A29" i="63"/>
  <c r="D23" i="58"/>
  <c r="V23" i="58"/>
  <c r="E23" i="58"/>
  <c r="C23" i="58"/>
  <c r="M35" i="60"/>
  <c r="M39" i="60"/>
  <c r="M43" i="60"/>
  <c r="M47" i="60"/>
  <c r="M38" i="60"/>
  <c r="M42" i="60"/>
  <c r="M46" i="60"/>
  <c r="M37" i="60"/>
  <c r="M41" i="60"/>
  <c r="M45" i="60"/>
  <c r="M36" i="60"/>
  <c r="M44" i="60"/>
  <c r="M21" i="60"/>
  <c r="M25" i="60"/>
  <c r="M29" i="60"/>
  <c r="M33" i="60"/>
  <c r="M40" i="60"/>
  <c r="M22" i="60"/>
  <c r="M26" i="60"/>
  <c r="M30" i="60"/>
  <c r="M34" i="60"/>
  <c r="M23" i="60"/>
  <c r="M31" i="60"/>
  <c r="M24" i="60"/>
  <c r="M32" i="60"/>
  <c r="M27" i="60"/>
  <c r="M28" i="60"/>
  <c r="C28" i="63"/>
  <c r="A25" i="55"/>
  <c r="D47" i="59"/>
  <c r="L14" i="55"/>
  <c r="D41" i="62"/>
  <c r="A22" i="39"/>
  <c r="K25" i="63"/>
  <c r="B18" i="33"/>
  <c r="G12" i="33"/>
  <c r="G15" i="33" s="1"/>
  <c r="E16" i="33"/>
  <c r="F30" i="33" s="1"/>
  <c r="E15" i="33"/>
  <c r="E30" i="33" s="1"/>
  <c r="A22" i="51"/>
  <c r="E25" i="63"/>
  <c r="N9" i="33"/>
  <c r="O8" i="33"/>
  <c r="A22" i="45"/>
  <c r="I25" i="63"/>
  <c r="P28" i="33"/>
  <c r="E26" i="63" l="1"/>
  <c r="A23" i="51"/>
  <c r="H47" i="57"/>
  <c r="O23" i="63"/>
  <c r="G47" i="59"/>
  <c r="C29" i="63"/>
  <c r="A26" i="55"/>
  <c r="G26" i="63"/>
  <c r="A23" i="49"/>
  <c r="B27" i="57"/>
  <c r="B83" i="35"/>
  <c r="B86" i="35"/>
  <c r="B82" i="35"/>
  <c r="B78" i="35"/>
  <c r="B74" i="35"/>
  <c r="B70" i="35"/>
  <c r="B66" i="35"/>
  <c r="B62" i="35"/>
  <c r="B58" i="35"/>
  <c r="B54" i="35"/>
  <c r="B50" i="35"/>
  <c r="B46" i="35"/>
  <c r="B42" i="35"/>
  <c r="B38" i="35"/>
  <c r="B34" i="35"/>
  <c r="B30" i="35"/>
  <c r="B26" i="35"/>
  <c r="B22" i="35"/>
  <c r="I2" i="35"/>
  <c r="B84" i="35"/>
  <c r="B77" i="35"/>
  <c r="B72" i="35"/>
  <c r="B67" i="35"/>
  <c r="B61" i="35"/>
  <c r="B56" i="35"/>
  <c r="B51" i="35"/>
  <c r="B45" i="35"/>
  <c r="B40" i="35"/>
  <c r="B35" i="35"/>
  <c r="B29" i="35"/>
  <c r="B24" i="35"/>
  <c r="B81" i="35"/>
  <c r="B76" i="35"/>
  <c r="B71" i="35"/>
  <c r="B65" i="35"/>
  <c r="B60" i="35"/>
  <c r="B55" i="35"/>
  <c r="B49" i="35"/>
  <c r="B44" i="35"/>
  <c r="B39" i="35"/>
  <c r="B33" i="35"/>
  <c r="B28" i="35"/>
  <c r="B23" i="35"/>
  <c r="B21" i="62"/>
  <c r="G21" i="62" s="1"/>
  <c r="B85" i="35"/>
  <c r="B73" i="35"/>
  <c r="B63" i="35"/>
  <c r="B52" i="35"/>
  <c r="B41" i="35"/>
  <c r="B31" i="35"/>
  <c r="B79" i="35"/>
  <c r="B47" i="35"/>
  <c r="B25" i="35"/>
  <c r="B64" i="35"/>
  <c r="B53" i="35"/>
  <c r="B32" i="35"/>
  <c r="B80" i="35"/>
  <c r="B69" i="35"/>
  <c r="B59" i="35"/>
  <c r="B48" i="35"/>
  <c r="B37" i="35"/>
  <c r="B27" i="35"/>
  <c r="B68" i="35"/>
  <c r="B57" i="35"/>
  <c r="B36" i="35"/>
  <c r="B75" i="35"/>
  <c r="B43" i="35"/>
  <c r="B21" i="35"/>
  <c r="I3" i="35"/>
  <c r="N10" i="33"/>
  <c r="O9" i="33"/>
  <c r="D7" i="62"/>
  <c r="E41" i="62"/>
  <c r="F41" i="62" s="1"/>
  <c r="H41" i="62" s="1"/>
  <c r="E20" i="62"/>
  <c r="F20" i="62" s="1"/>
  <c r="E21" i="62"/>
  <c r="F21" i="62" s="1"/>
  <c r="C26" i="59"/>
  <c r="N2" i="63" s="1"/>
  <c r="N47" i="63" s="1"/>
  <c r="I7" i="58"/>
  <c r="H20" i="62"/>
  <c r="D26" i="57"/>
  <c r="E26" i="57"/>
  <c r="V24" i="58"/>
  <c r="D24" i="58"/>
  <c r="E24" i="58"/>
  <c r="C24" i="58"/>
  <c r="C27" i="59" s="1"/>
  <c r="N3" i="63" s="1"/>
  <c r="N46" i="63" s="1"/>
  <c r="I26" i="63"/>
  <c r="A23" i="45"/>
  <c r="I1" i="36"/>
  <c r="B28" i="59"/>
  <c r="B25" i="58" s="1"/>
  <c r="J14" i="33"/>
  <c r="C18" i="33"/>
  <c r="J13" i="33"/>
  <c r="J12" i="33"/>
  <c r="E25" i="59"/>
  <c r="E17" i="33"/>
  <c r="P9" i="33"/>
  <c r="C13" i="37" s="1"/>
  <c r="K26" i="63"/>
  <c r="A23" i="39"/>
  <c r="A27" i="56"/>
  <c r="C26" i="56"/>
  <c r="A30" i="63"/>
  <c r="C26" i="57"/>
  <c r="I4" i="34"/>
  <c r="I7" i="34"/>
  <c r="C20" i="62"/>
  <c r="G47" i="57"/>
  <c r="P47" i="57"/>
  <c r="A23" i="33"/>
  <c r="B22" i="33"/>
  <c r="A24" i="39" l="1"/>
  <c r="K27" i="63"/>
  <c r="A24" i="45"/>
  <c r="I27" i="63"/>
  <c r="O26" i="57"/>
  <c r="I26" i="57"/>
  <c r="I1" i="37"/>
  <c r="B29" i="59"/>
  <c r="B26" i="58" s="1"/>
  <c r="E27" i="57"/>
  <c r="D27" i="57"/>
  <c r="A27" i="55"/>
  <c r="C30" i="63"/>
  <c r="I12" i="34"/>
  <c r="B17" i="34"/>
  <c r="I14" i="34"/>
  <c r="I13" i="34"/>
  <c r="E13" i="34"/>
  <c r="O10" i="33"/>
  <c r="N11" i="33"/>
  <c r="P10" i="33"/>
  <c r="C13" i="38" s="1"/>
  <c r="C27" i="57"/>
  <c r="I4" i="35"/>
  <c r="I7" i="35"/>
  <c r="C21" i="62"/>
  <c r="A24" i="51"/>
  <c r="E27" i="63"/>
  <c r="B28" i="57"/>
  <c r="I2" i="36"/>
  <c r="B84" i="36"/>
  <c r="B80" i="36"/>
  <c r="B76" i="36"/>
  <c r="B72" i="36"/>
  <c r="B68" i="36"/>
  <c r="B64" i="36"/>
  <c r="B60" i="36"/>
  <c r="B56" i="36"/>
  <c r="B52" i="36"/>
  <c r="B48" i="36"/>
  <c r="B44" i="36"/>
  <c r="B40" i="36"/>
  <c r="B36" i="36"/>
  <c r="B32" i="36"/>
  <c r="B28" i="36"/>
  <c r="B24" i="36"/>
  <c r="B83" i="36"/>
  <c r="B79" i="36"/>
  <c r="B75" i="36"/>
  <c r="B71" i="36"/>
  <c r="B67" i="36"/>
  <c r="B63" i="36"/>
  <c r="B59" i="36"/>
  <c r="B55" i="36"/>
  <c r="B51" i="36"/>
  <c r="B47" i="36"/>
  <c r="B43" i="36"/>
  <c r="B39" i="36"/>
  <c r="B35" i="36"/>
  <c r="B31" i="36"/>
  <c r="B27" i="36"/>
  <c r="B23" i="36"/>
  <c r="B82" i="36"/>
  <c r="B74" i="36"/>
  <c r="B66" i="36"/>
  <c r="B58" i="36"/>
  <c r="B50" i="36"/>
  <c r="B42" i="36"/>
  <c r="B34" i="36"/>
  <c r="B26" i="36"/>
  <c r="B22" i="62"/>
  <c r="B86" i="36"/>
  <c r="B70" i="36"/>
  <c r="B62" i="36"/>
  <c r="B46" i="36"/>
  <c r="B30" i="36"/>
  <c r="B77" i="36"/>
  <c r="B61" i="36"/>
  <c r="B45" i="36"/>
  <c r="B29" i="36"/>
  <c r="B81" i="36"/>
  <c r="B73" i="36"/>
  <c r="B65" i="36"/>
  <c r="B57" i="36"/>
  <c r="B49" i="36"/>
  <c r="B41" i="36"/>
  <c r="B33" i="36"/>
  <c r="B25" i="36"/>
  <c r="B78" i="36"/>
  <c r="B54" i="36"/>
  <c r="B38" i="36"/>
  <c r="B22" i="36"/>
  <c r="B85" i="36"/>
  <c r="B69" i="36"/>
  <c r="B53" i="36"/>
  <c r="B37" i="36"/>
  <c r="B21" i="36"/>
  <c r="I3" i="36"/>
  <c r="A24" i="33"/>
  <c r="B23" i="33"/>
  <c r="A28" i="56"/>
  <c r="A31" i="63"/>
  <c r="C27" i="56"/>
  <c r="E25" i="58"/>
  <c r="D25" i="58"/>
  <c r="V25" i="58"/>
  <c r="C25" i="58"/>
  <c r="C28" i="59" s="1"/>
  <c r="N4" i="63" s="1"/>
  <c r="N45" i="63" s="1"/>
  <c r="H21" i="62"/>
  <c r="A24" i="49"/>
  <c r="G27" i="63"/>
  <c r="E21" i="34" l="1"/>
  <c r="G13" i="34"/>
  <c r="V26" i="58"/>
  <c r="E26" i="58"/>
  <c r="D26" i="58"/>
  <c r="C26" i="58"/>
  <c r="C29" i="59" s="1"/>
  <c r="N5" i="63" s="1"/>
  <c r="N44" i="63" s="1"/>
  <c r="G28" i="63"/>
  <c r="A25" i="49"/>
  <c r="G22" i="62"/>
  <c r="E22" i="62"/>
  <c r="F22" i="62" s="1"/>
  <c r="E28" i="57"/>
  <c r="D28" i="57"/>
  <c r="O11" i="33"/>
  <c r="N12" i="33"/>
  <c r="P11" i="33"/>
  <c r="C13" i="39" s="1"/>
  <c r="G14" i="34"/>
  <c r="E22" i="34"/>
  <c r="A28" i="55"/>
  <c r="C31" i="63"/>
  <c r="B29" i="57"/>
  <c r="I3" i="37"/>
  <c r="I2" i="37"/>
  <c r="B84" i="37"/>
  <c r="B80" i="37"/>
  <c r="B76" i="37"/>
  <c r="B72" i="37"/>
  <c r="B68" i="37"/>
  <c r="B64" i="37"/>
  <c r="B60" i="37"/>
  <c r="B56" i="37"/>
  <c r="B52" i="37"/>
  <c r="B48" i="37"/>
  <c r="B44" i="37"/>
  <c r="B40" i="37"/>
  <c r="B36" i="37"/>
  <c r="B32" i="37"/>
  <c r="B28" i="37"/>
  <c r="B24" i="37"/>
  <c r="B83" i="37"/>
  <c r="B79" i="37"/>
  <c r="B75" i="37"/>
  <c r="B71" i="37"/>
  <c r="B67" i="37"/>
  <c r="B63" i="37"/>
  <c r="B59" i="37"/>
  <c r="B55" i="37"/>
  <c r="B51" i="37"/>
  <c r="B47" i="37"/>
  <c r="B43" i="37"/>
  <c r="B39" i="37"/>
  <c r="B35" i="37"/>
  <c r="B31" i="37"/>
  <c r="B27" i="37"/>
  <c r="B23" i="37"/>
  <c r="B85" i="37"/>
  <c r="B77" i="37"/>
  <c r="B69" i="37"/>
  <c r="B61" i="37"/>
  <c r="B53" i="37"/>
  <c r="B45" i="37"/>
  <c r="B37" i="37"/>
  <c r="B29" i="37"/>
  <c r="B21" i="37"/>
  <c r="B73" i="37"/>
  <c r="B57" i="37"/>
  <c r="B33" i="37"/>
  <c r="B86" i="37"/>
  <c r="B70" i="37"/>
  <c r="B54" i="37"/>
  <c r="B38" i="37"/>
  <c r="B22" i="37"/>
  <c r="B23" i="62"/>
  <c r="B82" i="37"/>
  <c r="B74" i="37"/>
  <c r="B66" i="37"/>
  <c r="B58" i="37"/>
  <c r="B50" i="37"/>
  <c r="B42" i="37"/>
  <c r="B34" i="37"/>
  <c r="B26" i="37"/>
  <c r="B81" i="37"/>
  <c r="B65" i="37"/>
  <c r="B49" i="37"/>
  <c r="B41" i="37"/>
  <c r="B25" i="37"/>
  <c r="B78" i="37"/>
  <c r="B62" i="37"/>
  <c r="B46" i="37"/>
  <c r="B30" i="37"/>
  <c r="I28" i="63"/>
  <c r="A25" i="45"/>
  <c r="A25" i="33"/>
  <c r="B24" i="33"/>
  <c r="C28" i="57"/>
  <c r="I4" i="36"/>
  <c r="I7" i="36"/>
  <c r="C22" i="62"/>
  <c r="B17" i="35"/>
  <c r="L15" i="35" s="1"/>
  <c r="I14" i="35"/>
  <c r="G14" i="35" s="1"/>
  <c r="I12" i="35"/>
  <c r="E13" i="35"/>
  <c r="I13" i="35"/>
  <c r="G13" i="35" s="1"/>
  <c r="I1" i="38"/>
  <c r="B30" i="59"/>
  <c r="B27" i="58" s="1"/>
  <c r="M26" i="57"/>
  <c r="N26" i="57"/>
  <c r="C28" i="56"/>
  <c r="A32" i="63"/>
  <c r="A29" i="56"/>
  <c r="E28" i="63"/>
  <c r="A25" i="51"/>
  <c r="B18" i="34"/>
  <c r="G12" i="34"/>
  <c r="G15" i="34" s="1"/>
  <c r="E16" i="34"/>
  <c r="E20" i="34"/>
  <c r="E15" i="34"/>
  <c r="F13" i="34" s="1"/>
  <c r="I27" i="57"/>
  <c r="O27" i="57"/>
  <c r="T26" i="57"/>
  <c r="U26" i="57"/>
  <c r="K28" i="63"/>
  <c r="A25" i="39"/>
  <c r="A26" i="39" l="1"/>
  <c r="K29" i="63"/>
  <c r="E26" i="59"/>
  <c r="J12" i="34"/>
  <c r="E17" i="34"/>
  <c r="C18" i="34"/>
  <c r="J14" i="34"/>
  <c r="J13" i="34"/>
  <c r="C29" i="56"/>
  <c r="A30" i="56"/>
  <c r="A33" i="63"/>
  <c r="I28" i="57"/>
  <c r="O28" i="57"/>
  <c r="U27" i="57"/>
  <c r="T27" i="57"/>
  <c r="A26" i="51"/>
  <c r="E29" i="63"/>
  <c r="A29" i="55"/>
  <c r="C32" i="63"/>
  <c r="N13" i="33"/>
  <c r="O12" i="33"/>
  <c r="P12" i="33"/>
  <c r="C13" i="40" s="1"/>
  <c r="M27" i="57"/>
  <c r="N27" i="57"/>
  <c r="V27" i="58"/>
  <c r="E27" i="58"/>
  <c r="D27" i="58"/>
  <c r="C27" i="58"/>
  <c r="C30" i="59" s="1"/>
  <c r="N6" i="63" s="1"/>
  <c r="N43" i="63" s="1"/>
  <c r="G12" i="35"/>
  <c r="G15" i="35" s="1"/>
  <c r="B18" i="35"/>
  <c r="E16" i="35"/>
  <c r="E15" i="35"/>
  <c r="F13" i="35" s="1"/>
  <c r="A26" i="33"/>
  <c r="B25" i="33"/>
  <c r="C29" i="57"/>
  <c r="I4" i="37"/>
  <c r="I7" i="37"/>
  <c r="C23" i="62"/>
  <c r="I1" i="39"/>
  <c r="B31" i="59"/>
  <c r="B28" i="58" s="1"/>
  <c r="H22" i="62"/>
  <c r="B30" i="57"/>
  <c r="B85" i="38"/>
  <c r="B81" i="38"/>
  <c r="B77" i="38"/>
  <c r="B73" i="38"/>
  <c r="B69" i="38"/>
  <c r="B65" i="38"/>
  <c r="B61" i="38"/>
  <c r="B57" i="38"/>
  <c r="B53" i="38"/>
  <c r="B49" i="38"/>
  <c r="B45" i="38"/>
  <c r="B41" i="38"/>
  <c r="B37" i="38"/>
  <c r="B33" i="38"/>
  <c r="B29" i="38"/>
  <c r="B25" i="38"/>
  <c r="B21" i="38"/>
  <c r="B24" i="62"/>
  <c r="I2" i="38"/>
  <c r="B84" i="38"/>
  <c r="B80" i="38"/>
  <c r="B76" i="38"/>
  <c r="B72" i="38"/>
  <c r="B68" i="38"/>
  <c r="B64" i="38"/>
  <c r="B60" i="38"/>
  <c r="B56" i="38"/>
  <c r="B52" i="38"/>
  <c r="B48" i="38"/>
  <c r="B44" i="38"/>
  <c r="B40" i="38"/>
  <c r="B36" i="38"/>
  <c r="B32" i="38"/>
  <c r="B28" i="38"/>
  <c r="B24" i="38"/>
  <c r="B86" i="38"/>
  <c r="B78" i="38"/>
  <c r="B70" i="38"/>
  <c r="B62" i="38"/>
  <c r="B54" i="38"/>
  <c r="B46" i="38"/>
  <c r="B38" i="38"/>
  <c r="B30" i="38"/>
  <c r="B22" i="38"/>
  <c r="B82" i="38"/>
  <c r="B66" i="38"/>
  <c r="B58" i="38"/>
  <c r="B42" i="38"/>
  <c r="B26" i="38"/>
  <c r="B79" i="38"/>
  <c r="B63" i="38"/>
  <c r="B47" i="38"/>
  <c r="B31" i="38"/>
  <c r="B83" i="38"/>
  <c r="B75" i="38"/>
  <c r="B67" i="38"/>
  <c r="B59" i="38"/>
  <c r="B51" i="38"/>
  <c r="B43" i="38"/>
  <c r="B35" i="38"/>
  <c r="B27" i="38"/>
  <c r="B74" i="38"/>
  <c r="B50" i="38"/>
  <c r="B34" i="38"/>
  <c r="B71" i="38"/>
  <c r="B55" i="38"/>
  <c r="B39" i="38"/>
  <c r="B23" i="38"/>
  <c r="I3" i="38"/>
  <c r="B17" i="36"/>
  <c r="L15" i="36" s="1"/>
  <c r="I13" i="36"/>
  <c r="G13" i="36" s="1"/>
  <c r="E13" i="36"/>
  <c r="I14" i="36"/>
  <c r="G14" i="36" s="1"/>
  <c r="I12" i="36"/>
  <c r="A26" i="45"/>
  <c r="I29" i="63"/>
  <c r="G23" i="62"/>
  <c r="H23" i="62" s="1"/>
  <c r="E23" i="62"/>
  <c r="F23" i="62" s="1"/>
  <c r="E29" i="57"/>
  <c r="D29" i="57"/>
  <c r="A26" i="49"/>
  <c r="G29" i="63"/>
  <c r="G24" i="62" l="1"/>
  <c r="E24" i="62"/>
  <c r="F24" i="62" s="1"/>
  <c r="I1" i="40"/>
  <c r="B32" i="59"/>
  <c r="B29" i="58" s="1"/>
  <c r="M28" i="57"/>
  <c r="N28" i="57"/>
  <c r="B31" i="57"/>
  <c r="B27" i="39"/>
  <c r="L31" i="63" s="1"/>
  <c r="B25" i="39"/>
  <c r="L29" i="63" s="1"/>
  <c r="B23" i="39"/>
  <c r="L27" i="63" s="1"/>
  <c r="B21" i="39"/>
  <c r="L25" i="63" s="1"/>
  <c r="I2" i="39"/>
  <c r="K22" i="63" s="1"/>
  <c r="B24" i="39"/>
  <c r="L28" i="63" s="1"/>
  <c r="B26" i="39"/>
  <c r="L30" i="63" s="1"/>
  <c r="B25" i="62"/>
  <c r="B22" i="39"/>
  <c r="L26" i="63" s="1"/>
  <c r="I3" i="39"/>
  <c r="N14" i="33"/>
  <c r="O13" i="33"/>
  <c r="P13" i="33"/>
  <c r="C13" i="41" s="1"/>
  <c r="I29" i="57"/>
  <c r="O29" i="57"/>
  <c r="I30" i="63"/>
  <c r="A27" i="45"/>
  <c r="D30" i="57"/>
  <c r="E30" i="57"/>
  <c r="J12" i="35"/>
  <c r="E27" i="59"/>
  <c r="J14" i="35"/>
  <c r="C18" i="35"/>
  <c r="J13" i="35"/>
  <c r="E17" i="35"/>
  <c r="G30" i="63"/>
  <c r="A27" i="49"/>
  <c r="V28" i="58"/>
  <c r="E28" i="58"/>
  <c r="D28" i="58"/>
  <c r="C28" i="58"/>
  <c r="C31" i="59" s="1"/>
  <c r="N7" i="63" s="1"/>
  <c r="N42" i="63" s="1"/>
  <c r="I14" i="37"/>
  <c r="G14" i="37" s="1"/>
  <c r="B17" i="37"/>
  <c r="L15" i="37" s="1"/>
  <c r="I13" i="37"/>
  <c r="G13" i="37" s="1"/>
  <c r="E13" i="37"/>
  <c r="I12" i="37"/>
  <c r="A31" i="56"/>
  <c r="C30" i="56"/>
  <c r="A34" i="63"/>
  <c r="B18" i="36"/>
  <c r="G12" i="36"/>
  <c r="G15" i="36" s="1"/>
  <c r="E15" i="36"/>
  <c r="E16" i="36"/>
  <c r="F13" i="36" s="1"/>
  <c r="C30" i="57"/>
  <c r="C24" i="62"/>
  <c r="I7" i="38"/>
  <c r="I4" i="38"/>
  <c r="A27" i="33"/>
  <c r="B26" i="33"/>
  <c r="C33" i="63"/>
  <c r="A30" i="55"/>
  <c r="E30" i="63"/>
  <c r="A27" i="51"/>
  <c r="U28" i="57"/>
  <c r="T28" i="57"/>
  <c r="K30" i="63"/>
  <c r="A27" i="39"/>
  <c r="A32" i="56" l="1"/>
  <c r="C31" i="56"/>
  <c r="A35" i="63"/>
  <c r="M29" i="57"/>
  <c r="N29" i="57"/>
  <c r="A28" i="51"/>
  <c r="E31" i="63"/>
  <c r="B18" i="37"/>
  <c r="G12" i="37"/>
  <c r="G15" i="37" s="1"/>
  <c r="E15" i="37"/>
  <c r="E16" i="37"/>
  <c r="A28" i="45"/>
  <c r="I31" i="63"/>
  <c r="H24" i="62"/>
  <c r="A28" i="33"/>
  <c r="B27" i="33"/>
  <c r="F13" i="37"/>
  <c r="I1" i="41"/>
  <c r="B33" i="59"/>
  <c r="B30" i="58" s="1"/>
  <c r="E31" i="57"/>
  <c r="D31" i="57"/>
  <c r="E29" i="58"/>
  <c r="V29" i="58"/>
  <c r="D29" i="58"/>
  <c r="C29" i="58"/>
  <c r="C32" i="59" s="1"/>
  <c r="N8" i="63" s="1"/>
  <c r="N41" i="63" s="1"/>
  <c r="I13" i="38"/>
  <c r="G13" i="38" s="1"/>
  <c r="I12" i="38"/>
  <c r="B17" i="38"/>
  <c r="L15" i="38" s="1"/>
  <c r="I14" i="38"/>
  <c r="G14" i="38" s="1"/>
  <c r="E13" i="38"/>
  <c r="G25" i="62"/>
  <c r="H25" i="62" s="1"/>
  <c r="E25" i="62"/>
  <c r="F25" i="62" s="1"/>
  <c r="A28" i="39"/>
  <c r="K31" i="63"/>
  <c r="A31" i="55"/>
  <c r="C34" i="63"/>
  <c r="E28" i="59"/>
  <c r="J13" i="36"/>
  <c r="C18" i="36"/>
  <c r="E17" i="36"/>
  <c r="J12" i="36"/>
  <c r="J14" i="36"/>
  <c r="A28" i="49"/>
  <c r="G31" i="63"/>
  <c r="I30" i="57"/>
  <c r="O30" i="57"/>
  <c r="U29" i="57"/>
  <c r="T29" i="57"/>
  <c r="O14" i="33"/>
  <c r="N15" i="33"/>
  <c r="P14" i="33"/>
  <c r="C13" i="42" s="1"/>
  <c r="C31" i="57"/>
  <c r="I4" i="39"/>
  <c r="I7" i="39"/>
  <c r="C25" i="62"/>
  <c r="B32" i="57"/>
  <c r="B85" i="40"/>
  <c r="B81" i="40"/>
  <c r="B77" i="40"/>
  <c r="B73" i="40"/>
  <c r="B69" i="40"/>
  <c r="B65" i="40"/>
  <c r="B61" i="40"/>
  <c r="B57" i="40"/>
  <c r="B53" i="40"/>
  <c r="B49" i="40"/>
  <c r="B45" i="40"/>
  <c r="B41" i="40"/>
  <c r="B37" i="40"/>
  <c r="B33" i="40"/>
  <c r="B29" i="40"/>
  <c r="B25" i="40"/>
  <c r="B21" i="40"/>
  <c r="B84" i="40"/>
  <c r="B80" i="40"/>
  <c r="B76" i="40"/>
  <c r="B72" i="40"/>
  <c r="B68" i="40"/>
  <c r="B64" i="40"/>
  <c r="B60" i="40"/>
  <c r="B56" i="40"/>
  <c r="B52" i="40"/>
  <c r="B48" i="40"/>
  <c r="B44" i="40"/>
  <c r="B40" i="40"/>
  <c r="B36" i="40"/>
  <c r="B32" i="40"/>
  <c r="B28" i="40"/>
  <c r="B24" i="40"/>
  <c r="B86" i="40"/>
  <c r="B78" i="40"/>
  <c r="B70" i="40"/>
  <c r="B62" i="40"/>
  <c r="B54" i="40"/>
  <c r="B46" i="40"/>
  <c r="B38" i="40"/>
  <c r="B30" i="40"/>
  <c r="B22" i="40"/>
  <c r="B66" i="40"/>
  <c r="B50" i="40"/>
  <c r="B34" i="40"/>
  <c r="B26" i="62"/>
  <c r="B79" i="40"/>
  <c r="B63" i="40"/>
  <c r="B47" i="40"/>
  <c r="B31" i="40"/>
  <c r="B83" i="40"/>
  <c r="B75" i="40"/>
  <c r="B67" i="40"/>
  <c r="B59" i="40"/>
  <c r="B51" i="40"/>
  <c r="B43" i="40"/>
  <c r="B35" i="40"/>
  <c r="B27" i="40"/>
  <c r="I2" i="40"/>
  <c r="B82" i="40"/>
  <c r="B74" i="40"/>
  <c r="B58" i="40"/>
  <c r="B42" i="40"/>
  <c r="B26" i="40"/>
  <c r="B71" i="40"/>
  <c r="B55" i="40"/>
  <c r="B39" i="40"/>
  <c r="B23" i="40"/>
  <c r="I3" i="40"/>
  <c r="E32" i="57" l="1"/>
  <c r="D32" i="57"/>
  <c r="I1" i="42"/>
  <c r="B34" i="59"/>
  <c r="B31" i="58" s="1"/>
  <c r="C32" i="57"/>
  <c r="I4" i="40"/>
  <c r="I7" i="40"/>
  <c r="C26" i="62"/>
  <c r="M30" i="57"/>
  <c r="N30" i="57"/>
  <c r="K32" i="63"/>
  <c r="A29" i="39"/>
  <c r="B28" i="39"/>
  <c r="L32" i="63" s="1"/>
  <c r="V30" i="58"/>
  <c r="D30" i="58"/>
  <c r="E30" i="58"/>
  <c r="C30" i="58"/>
  <c r="C33" i="59" s="1"/>
  <c r="N9" i="63" s="1"/>
  <c r="N40" i="63" s="1"/>
  <c r="A29" i="33"/>
  <c r="B28" i="33"/>
  <c r="I32" i="63"/>
  <c r="A29" i="45"/>
  <c r="E29" i="59"/>
  <c r="J13" i="37"/>
  <c r="C18" i="37"/>
  <c r="E17" i="37"/>
  <c r="J12" i="37"/>
  <c r="J14" i="37"/>
  <c r="A33" i="56"/>
  <c r="C32" i="56"/>
  <c r="A36" i="63"/>
  <c r="B33" i="57"/>
  <c r="I3" i="41"/>
  <c r="B85" i="41"/>
  <c r="B81" i="41"/>
  <c r="B77" i="41"/>
  <c r="B73" i="41"/>
  <c r="B69" i="41"/>
  <c r="B65" i="41"/>
  <c r="B61" i="41"/>
  <c r="B57" i="41"/>
  <c r="B53" i="41"/>
  <c r="B49" i="41"/>
  <c r="B45" i="41"/>
  <c r="B41" i="41"/>
  <c r="B37" i="41"/>
  <c r="B33" i="41"/>
  <c r="B29" i="41"/>
  <c r="B25" i="41"/>
  <c r="B21" i="41"/>
  <c r="B84" i="41"/>
  <c r="B80" i="41"/>
  <c r="B76" i="41"/>
  <c r="B72" i="41"/>
  <c r="B68" i="41"/>
  <c r="B64" i="41"/>
  <c r="B60" i="41"/>
  <c r="B56" i="41"/>
  <c r="B52" i="41"/>
  <c r="B48" i="41"/>
  <c r="B44" i="41"/>
  <c r="B40" i="41"/>
  <c r="B36" i="41"/>
  <c r="B32" i="41"/>
  <c r="B28" i="41"/>
  <c r="B24" i="41"/>
  <c r="B79" i="41"/>
  <c r="B71" i="41"/>
  <c r="B63" i="41"/>
  <c r="B55" i="41"/>
  <c r="B47" i="41"/>
  <c r="B39" i="41"/>
  <c r="B31" i="41"/>
  <c r="B23" i="41"/>
  <c r="B83" i="41"/>
  <c r="B67" i="41"/>
  <c r="B51" i="41"/>
  <c r="B43" i="41"/>
  <c r="B27" i="41"/>
  <c r="I2" i="41"/>
  <c r="B74" i="41"/>
  <c r="B58" i="41"/>
  <c r="B42" i="41"/>
  <c r="B26" i="41"/>
  <c r="B86" i="41"/>
  <c r="B78" i="41"/>
  <c r="B70" i="41"/>
  <c r="B62" i="41"/>
  <c r="B54" i="41"/>
  <c r="B46" i="41"/>
  <c r="B38" i="41"/>
  <c r="B30" i="41"/>
  <c r="B22" i="41"/>
  <c r="B27" i="62"/>
  <c r="B75" i="41"/>
  <c r="B59" i="41"/>
  <c r="B35" i="41"/>
  <c r="B82" i="41"/>
  <c r="B66" i="41"/>
  <c r="B50" i="41"/>
  <c r="B34" i="41"/>
  <c r="G26" i="62"/>
  <c r="E26" i="62"/>
  <c r="F26" i="62" s="1"/>
  <c r="E13" i="39"/>
  <c r="I12" i="39"/>
  <c r="B17" i="39"/>
  <c r="L15" i="39" s="1"/>
  <c r="I14" i="39"/>
  <c r="G14" i="39" s="1"/>
  <c r="I13" i="39"/>
  <c r="G13" i="39" s="1"/>
  <c r="T30" i="57"/>
  <c r="U30" i="57"/>
  <c r="I31" i="57"/>
  <c r="O31" i="57"/>
  <c r="O15" i="33"/>
  <c r="N16" i="33"/>
  <c r="P15" i="33"/>
  <c r="C13" i="43" s="1"/>
  <c r="G32" i="63"/>
  <c r="A29" i="49"/>
  <c r="A32" i="55"/>
  <c r="C35" i="63"/>
  <c r="B18" i="38"/>
  <c r="E16" i="38"/>
  <c r="G12" i="38"/>
  <c r="G15" i="38" s="1"/>
  <c r="E15" i="38"/>
  <c r="F13" i="38" s="1"/>
  <c r="E32" i="63"/>
  <c r="A29" i="51"/>
  <c r="I1" i="43" l="1"/>
  <c r="B35" i="59"/>
  <c r="B32" i="58" s="1"/>
  <c r="C33" i="57"/>
  <c r="I4" i="41"/>
  <c r="I7" i="41"/>
  <c r="C27" i="62"/>
  <c r="A30" i="45"/>
  <c r="I33" i="63"/>
  <c r="B17" i="40"/>
  <c r="I13" i="40"/>
  <c r="G13" i="40" s="1"/>
  <c r="I14" i="40"/>
  <c r="G14" i="40" s="1"/>
  <c r="I12" i="40"/>
  <c r="E13" i="40"/>
  <c r="B34" i="57"/>
  <c r="B84" i="42"/>
  <c r="B80" i="42"/>
  <c r="B76" i="42"/>
  <c r="B72" i="42"/>
  <c r="B68" i="42"/>
  <c r="B64" i="42"/>
  <c r="B60" i="42"/>
  <c r="B56" i="42"/>
  <c r="B52" i="42"/>
  <c r="B48" i="42"/>
  <c r="B44" i="42"/>
  <c r="B40" i="42"/>
  <c r="B36" i="42"/>
  <c r="B32" i="42"/>
  <c r="B28" i="42"/>
  <c r="B24" i="42"/>
  <c r="B28" i="62"/>
  <c r="B83" i="42"/>
  <c r="B79" i="42"/>
  <c r="B75" i="42"/>
  <c r="B71" i="42"/>
  <c r="B67" i="42"/>
  <c r="B63" i="42"/>
  <c r="B59" i="42"/>
  <c r="B55" i="42"/>
  <c r="B51" i="42"/>
  <c r="B47" i="42"/>
  <c r="B43" i="42"/>
  <c r="B39" i="42"/>
  <c r="B35" i="42"/>
  <c r="B31" i="42"/>
  <c r="B27" i="42"/>
  <c r="B23" i="42"/>
  <c r="B86" i="42"/>
  <c r="B78" i="42"/>
  <c r="B70" i="42"/>
  <c r="B62" i="42"/>
  <c r="B54" i="42"/>
  <c r="B46" i="42"/>
  <c r="B38" i="42"/>
  <c r="B30" i="42"/>
  <c r="B22" i="42"/>
  <c r="B82" i="42"/>
  <c r="B66" i="42"/>
  <c r="B58" i="42"/>
  <c r="B42" i="42"/>
  <c r="B26" i="42"/>
  <c r="B81" i="42"/>
  <c r="B65" i="42"/>
  <c r="B49" i="42"/>
  <c r="B33" i="42"/>
  <c r="B85" i="42"/>
  <c r="B77" i="42"/>
  <c r="B69" i="42"/>
  <c r="B61" i="42"/>
  <c r="B53" i="42"/>
  <c r="B45" i="42"/>
  <c r="B37" i="42"/>
  <c r="B29" i="42"/>
  <c r="B21" i="42"/>
  <c r="B74" i="42"/>
  <c r="B50" i="42"/>
  <c r="B34" i="42"/>
  <c r="I2" i="42"/>
  <c r="B73" i="42"/>
  <c r="B57" i="42"/>
  <c r="B41" i="42"/>
  <c r="B25" i="42"/>
  <c r="I3" i="42"/>
  <c r="E30" i="59"/>
  <c r="J14" i="38"/>
  <c r="J13" i="38"/>
  <c r="C18" i="38"/>
  <c r="E17" i="38"/>
  <c r="J12" i="38"/>
  <c r="U31" i="57"/>
  <c r="T31" i="57"/>
  <c r="H26" i="62"/>
  <c r="G27" i="62"/>
  <c r="H27" i="62" s="1"/>
  <c r="E27" i="62"/>
  <c r="F27" i="62" s="1"/>
  <c r="E33" i="57"/>
  <c r="D33" i="57"/>
  <c r="C33" i="56"/>
  <c r="A34" i="56"/>
  <c r="A37" i="63"/>
  <c r="M31" i="57"/>
  <c r="N31" i="57"/>
  <c r="B18" i="39"/>
  <c r="G12" i="39"/>
  <c r="G15" i="39" s="1"/>
  <c r="E16" i="39"/>
  <c r="E15" i="39"/>
  <c r="A30" i="39"/>
  <c r="K33" i="63"/>
  <c r="B29" i="39"/>
  <c r="L33" i="63" s="1"/>
  <c r="I32" i="57"/>
  <c r="O32" i="57"/>
  <c r="A30" i="51"/>
  <c r="E33" i="63"/>
  <c r="A30" i="49"/>
  <c r="G33" i="63"/>
  <c r="C36" i="63"/>
  <c r="A33" i="55"/>
  <c r="N17" i="33"/>
  <c r="O16" i="33"/>
  <c r="P16" i="33"/>
  <c r="C13" i="45" s="1"/>
  <c r="F13" i="39"/>
  <c r="A30" i="33"/>
  <c r="B29" i="33"/>
  <c r="E31" i="58"/>
  <c r="D31" i="58"/>
  <c r="V31" i="58"/>
  <c r="C31" i="58"/>
  <c r="C34" i="59" s="1"/>
  <c r="N10" i="63" s="1"/>
  <c r="N39" i="63" s="1"/>
  <c r="B18" i="40" l="1"/>
  <c r="E15" i="40"/>
  <c r="G12" i="40"/>
  <c r="G15" i="40" s="1"/>
  <c r="E16" i="40"/>
  <c r="F13" i="40" s="1"/>
  <c r="E13" i="41"/>
  <c r="I12" i="41"/>
  <c r="I13" i="41"/>
  <c r="G13" i="41" s="1"/>
  <c r="B17" i="41"/>
  <c r="L15" i="41" s="1"/>
  <c r="I14" i="41"/>
  <c r="G14" i="41" s="1"/>
  <c r="E34" i="63"/>
  <c r="A31" i="51"/>
  <c r="G28" i="62"/>
  <c r="H28" i="62" s="1"/>
  <c r="E28" i="62"/>
  <c r="F28" i="62" s="1"/>
  <c r="I34" i="63"/>
  <c r="A31" i="45"/>
  <c r="I1" i="44"/>
  <c r="B36" i="59"/>
  <c r="B33" i="58" s="1"/>
  <c r="U32" i="57"/>
  <c r="T32" i="57"/>
  <c r="K34" i="63"/>
  <c r="A31" i="39"/>
  <c r="B30" i="39"/>
  <c r="L34" i="63" s="1"/>
  <c r="E31" i="59"/>
  <c r="J12" i="39"/>
  <c r="C18" i="39"/>
  <c r="J14" i="39"/>
  <c r="E17" i="39"/>
  <c r="J13" i="39"/>
  <c r="I33" i="57"/>
  <c r="O33" i="57"/>
  <c r="E34" i="57"/>
  <c r="D34" i="57"/>
  <c r="W32" i="58"/>
  <c r="E32" i="58"/>
  <c r="V32" i="58"/>
  <c r="D32" i="58"/>
  <c r="C32" i="58"/>
  <c r="C35" i="59" s="1"/>
  <c r="N11" i="63" s="1"/>
  <c r="N38" i="63" s="1"/>
  <c r="C37" i="63"/>
  <c r="A34" i="55"/>
  <c r="A31" i="33"/>
  <c r="B30" i="33"/>
  <c r="N18" i="33"/>
  <c r="O17" i="33"/>
  <c r="P17" i="33"/>
  <c r="C13" i="44" s="1"/>
  <c r="G34" i="63"/>
  <c r="A31" i="49"/>
  <c r="M32" i="57"/>
  <c r="N32" i="57"/>
  <c r="C34" i="56"/>
  <c r="A35" i="56"/>
  <c r="A38" i="63"/>
  <c r="I4" i="42"/>
  <c r="C34" i="57"/>
  <c r="I7" i="42"/>
  <c r="C28" i="62"/>
  <c r="B35" i="57"/>
  <c r="I3" i="43"/>
  <c r="I5" i="43"/>
  <c r="O5" i="58" s="1"/>
  <c r="O1" i="58"/>
  <c r="B86" i="43"/>
  <c r="B82" i="43"/>
  <c r="B78" i="43"/>
  <c r="B74" i="43"/>
  <c r="B70" i="43"/>
  <c r="B66" i="43"/>
  <c r="B62" i="43"/>
  <c r="B58" i="43"/>
  <c r="B54" i="43"/>
  <c r="B50" i="43"/>
  <c r="B46" i="43"/>
  <c r="B42" i="43"/>
  <c r="B38" i="43"/>
  <c r="B34" i="43"/>
  <c r="B30" i="43"/>
  <c r="B26" i="43"/>
  <c r="B22" i="43"/>
  <c r="I2" i="43"/>
  <c r="O2" i="58" s="1"/>
  <c r="B85" i="43"/>
  <c r="B81" i="43"/>
  <c r="B77" i="43"/>
  <c r="B73" i="43"/>
  <c r="B69" i="43"/>
  <c r="B65" i="43"/>
  <c r="B61" i="43"/>
  <c r="B57" i="43"/>
  <c r="B53" i="43"/>
  <c r="B49" i="43"/>
  <c r="B45" i="43"/>
  <c r="B41" i="43"/>
  <c r="B37" i="43"/>
  <c r="B33" i="43"/>
  <c r="B29" i="43"/>
  <c r="B25" i="43"/>
  <c r="B21" i="43"/>
  <c r="B80" i="43"/>
  <c r="B72" i="43"/>
  <c r="B64" i="43"/>
  <c r="B56" i="43"/>
  <c r="B48" i="43"/>
  <c r="B40" i="43"/>
  <c r="B32" i="43"/>
  <c r="B24" i="43"/>
  <c r="B79" i="43"/>
  <c r="B71" i="43"/>
  <c r="B63" i="43"/>
  <c r="B55" i="43"/>
  <c r="B47" i="43"/>
  <c r="B39" i="43"/>
  <c r="B31" i="43"/>
  <c r="B23" i="43"/>
  <c r="B29" i="62"/>
  <c r="B83" i="43"/>
  <c r="B67" i="43"/>
  <c r="B51" i="43"/>
  <c r="B35" i="43"/>
  <c r="B52" i="43"/>
  <c r="B76" i="43"/>
  <c r="B60" i="43"/>
  <c r="B44" i="43"/>
  <c r="B28" i="43"/>
  <c r="B75" i="43"/>
  <c r="B59" i="43"/>
  <c r="B43" i="43"/>
  <c r="B27" i="43"/>
  <c r="B84" i="43"/>
  <c r="B68" i="43"/>
  <c r="B36" i="43"/>
  <c r="E35" i="57" l="1"/>
  <c r="D35" i="57"/>
  <c r="A36" i="56"/>
  <c r="C35" i="56"/>
  <c r="A39" i="63"/>
  <c r="A32" i="49"/>
  <c r="G35" i="63"/>
  <c r="O18" i="33"/>
  <c r="N19" i="33"/>
  <c r="P18" i="33"/>
  <c r="C13" i="46" s="1"/>
  <c r="I34" i="57"/>
  <c r="O34" i="57"/>
  <c r="B36" i="57"/>
  <c r="I5" i="44"/>
  <c r="I3" i="44"/>
  <c r="B85" i="44"/>
  <c r="B81" i="44"/>
  <c r="B77" i="44"/>
  <c r="B73" i="44"/>
  <c r="B69" i="44"/>
  <c r="B65" i="44"/>
  <c r="B61" i="44"/>
  <c r="B57" i="44"/>
  <c r="B53" i="44"/>
  <c r="B49" i="44"/>
  <c r="B45" i="44"/>
  <c r="B41" i="44"/>
  <c r="B37" i="44"/>
  <c r="B33" i="44"/>
  <c r="B29" i="44"/>
  <c r="B25" i="44"/>
  <c r="B21" i="44"/>
  <c r="B84" i="44"/>
  <c r="B80" i="44"/>
  <c r="B76" i="44"/>
  <c r="B72" i="44"/>
  <c r="B68" i="44"/>
  <c r="B64" i="44"/>
  <c r="B60" i="44"/>
  <c r="B56" i="44"/>
  <c r="B52" i="44"/>
  <c r="B48" i="44"/>
  <c r="B44" i="44"/>
  <c r="B40" i="44"/>
  <c r="B36" i="44"/>
  <c r="B32" i="44"/>
  <c r="B28" i="44"/>
  <c r="B24" i="44"/>
  <c r="I2" i="44"/>
  <c r="B86" i="44"/>
  <c r="B78" i="44"/>
  <c r="B70" i="44"/>
  <c r="B62" i="44"/>
  <c r="B54" i="44"/>
  <c r="B46" i="44"/>
  <c r="B38" i="44"/>
  <c r="B30" i="44"/>
  <c r="B22" i="44"/>
  <c r="B83" i="44"/>
  <c r="B75" i="44"/>
  <c r="B67" i="44"/>
  <c r="B59" i="44"/>
  <c r="B51" i="44"/>
  <c r="B43" i="44"/>
  <c r="B35" i="44"/>
  <c r="B27" i="44"/>
  <c r="B82" i="44"/>
  <c r="B66" i="44"/>
  <c r="B50" i="44"/>
  <c r="B34" i="44"/>
  <c r="B30" i="62"/>
  <c r="B71" i="44"/>
  <c r="B39" i="44"/>
  <c r="B79" i="44"/>
  <c r="B63" i="44"/>
  <c r="B47" i="44"/>
  <c r="B31" i="44"/>
  <c r="B74" i="44"/>
  <c r="B58" i="44"/>
  <c r="B42" i="44"/>
  <c r="B26" i="44"/>
  <c r="B55" i="44"/>
  <c r="B23" i="44"/>
  <c r="E13" i="42"/>
  <c r="I13" i="42"/>
  <c r="I14" i="42"/>
  <c r="B17" i="42"/>
  <c r="I12" i="42"/>
  <c r="U33" i="57"/>
  <c r="T33" i="57"/>
  <c r="A32" i="45"/>
  <c r="I35" i="63"/>
  <c r="A32" i="51"/>
  <c r="E35" i="63"/>
  <c r="A32" i="33"/>
  <c r="B31" i="33"/>
  <c r="M33" i="57"/>
  <c r="N33" i="57"/>
  <c r="A32" i="39"/>
  <c r="K35" i="63"/>
  <c r="B31" i="39"/>
  <c r="L35" i="63" s="1"/>
  <c r="B18" i="41"/>
  <c r="E16" i="41"/>
  <c r="G12" i="41"/>
  <c r="G15" i="41" s="1"/>
  <c r="E15" i="41"/>
  <c r="F13" i="41" s="1"/>
  <c r="G29" i="62"/>
  <c r="H29" i="62" s="1"/>
  <c r="E29" i="62"/>
  <c r="F29" i="62" s="1"/>
  <c r="C35" i="57"/>
  <c r="C29" i="62"/>
  <c r="I4" i="43"/>
  <c r="I7" i="43"/>
  <c r="O7" i="58" s="1"/>
  <c r="O3" i="58"/>
  <c r="I1" i="45"/>
  <c r="B37" i="59"/>
  <c r="B34" i="58" s="1"/>
  <c r="A35" i="55"/>
  <c r="C38" i="63"/>
  <c r="W33" i="58"/>
  <c r="C33" i="58" s="1"/>
  <c r="C36" i="59" s="1"/>
  <c r="N12" i="63" s="1"/>
  <c r="N37" i="63" s="1"/>
  <c r="E33" i="58"/>
  <c r="D33" i="58"/>
  <c r="V33" i="58"/>
  <c r="E32" i="59"/>
  <c r="J14" i="40"/>
  <c r="J13" i="40"/>
  <c r="C18" i="40"/>
  <c r="J12" i="40"/>
  <c r="E17" i="40"/>
  <c r="B37" i="57" l="1"/>
  <c r="I5" i="45"/>
  <c r="I3" i="45"/>
  <c r="B32" i="45"/>
  <c r="J36" i="63" s="1"/>
  <c r="B30" i="45"/>
  <c r="J34" i="63" s="1"/>
  <c r="B28" i="45"/>
  <c r="J32" i="63" s="1"/>
  <c r="B26" i="45"/>
  <c r="J30" i="63" s="1"/>
  <c r="B24" i="45"/>
  <c r="J28" i="63" s="1"/>
  <c r="B22" i="45"/>
  <c r="J26" i="63" s="1"/>
  <c r="B29" i="45"/>
  <c r="J33" i="63" s="1"/>
  <c r="B25" i="45"/>
  <c r="J29" i="63" s="1"/>
  <c r="B21" i="45"/>
  <c r="J25" i="63" s="1"/>
  <c r="B27" i="45"/>
  <c r="J31" i="63" s="1"/>
  <c r="B23" i="45"/>
  <c r="J27" i="63" s="1"/>
  <c r="B31" i="62"/>
  <c r="I2" i="45"/>
  <c r="I22" i="63" s="1"/>
  <c r="B31" i="45"/>
  <c r="J35" i="63" s="1"/>
  <c r="E36" i="63"/>
  <c r="A33" i="51"/>
  <c r="C36" i="57"/>
  <c r="I4" i="44"/>
  <c r="I7" i="44"/>
  <c r="C30" i="62"/>
  <c r="M34" i="57"/>
  <c r="N34" i="57"/>
  <c r="G36" i="63"/>
  <c r="A33" i="49"/>
  <c r="A37" i="56"/>
  <c r="A40" i="63"/>
  <c r="C36" i="56"/>
  <c r="A36" i="55"/>
  <c r="C39" i="63"/>
  <c r="K36" i="63"/>
  <c r="A33" i="39"/>
  <c r="B32" i="39"/>
  <c r="L36" i="63" s="1"/>
  <c r="A33" i="33"/>
  <c r="B32" i="33"/>
  <c r="I36" i="63"/>
  <c r="A33" i="45"/>
  <c r="E15" i="42"/>
  <c r="F13" i="42" s="1"/>
  <c r="E16" i="42"/>
  <c r="B18" i="42"/>
  <c r="G30" i="62"/>
  <c r="H30" i="62" s="1"/>
  <c r="E30" i="62"/>
  <c r="F30" i="62" s="1"/>
  <c r="E36" i="57"/>
  <c r="D36" i="57"/>
  <c r="O19" i="33"/>
  <c r="N20" i="33"/>
  <c r="P19" i="33"/>
  <c r="C13" i="47" s="1"/>
  <c r="W34" i="58"/>
  <c r="C34" i="58" s="1"/>
  <c r="C37" i="59" s="1"/>
  <c r="N13" i="63" s="1"/>
  <c r="N36" i="63" s="1"/>
  <c r="E34" i="58"/>
  <c r="V34" i="58"/>
  <c r="D34" i="58"/>
  <c r="O4" i="58"/>
  <c r="E13" i="43"/>
  <c r="I14" i="43"/>
  <c r="I13" i="43"/>
  <c r="B17" i="43"/>
  <c r="L15" i="43" s="1"/>
  <c r="I12" i="43"/>
  <c r="J13" i="41"/>
  <c r="J14" i="41"/>
  <c r="C18" i="41"/>
  <c r="E17" i="41"/>
  <c r="J12" i="41"/>
  <c r="E33" i="59"/>
  <c r="T34" i="57"/>
  <c r="U34" i="57"/>
  <c r="I1" i="46"/>
  <c r="B38" i="59"/>
  <c r="B35" i="58" s="1"/>
  <c r="I35" i="57"/>
  <c r="O35" i="57"/>
  <c r="I1" i="47" l="1"/>
  <c r="B39" i="59"/>
  <c r="B36" i="58" s="1"/>
  <c r="C37" i="56"/>
  <c r="A41" i="63"/>
  <c r="A38" i="56"/>
  <c r="C37" i="57"/>
  <c r="I4" i="45"/>
  <c r="I7" i="45"/>
  <c r="C31" i="62"/>
  <c r="M35" i="57"/>
  <c r="N35" i="57"/>
  <c r="B18" i="43"/>
  <c r="E16" i="43"/>
  <c r="E15" i="43"/>
  <c r="F13" i="43"/>
  <c r="I36" i="57"/>
  <c r="O36" i="57"/>
  <c r="C18" i="42"/>
  <c r="J13" i="42"/>
  <c r="J12" i="42"/>
  <c r="J14" i="42"/>
  <c r="E17" i="42"/>
  <c r="E34" i="59"/>
  <c r="A34" i="39"/>
  <c r="K37" i="63"/>
  <c r="B33" i="39"/>
  <c r="L37" i="63" s="1"/>
  <c r="A34" i="49"/>
  <c r="G37" i="63"/>
  <c r="A34" i="51"/>
  <c r="E37" i="63"/>
  <c r="B38" i="57"/>
  <c r="B83" i="46"/>
  <c r="B79" i="46"/>
  <c r="B75" i="46"/>
  <c r="B71" i="46"/>
  <c r="B67" i="46"/>
  <c r="B63" i="46"/>
  <c r="B59" i="46"/>
  <c r="B55" i="46"/>
  <c r="B51" i="46"/>
  <c r="B47" i="46"/>
  <c r="B43" i="46"/>
  <c r="B39" i="46"/>
  <c r="B35" i="46"/>
  <c r="B31" i="46"/>
  <c r="B27" i="46"/>
  <c r="B23" i="46"/>
  <c r="I5" i="46"/>
  <c r="I3" i="46" s="1"/>
  <c r="B86" i="46"/>
  <c r="B82" i="46"/>
  <c r="B78" i="46"/>
  <c r="B74" i="46"/>
  <c r="B70" i="46"/>
  <c r="B66" i="46"/>
  <c r="B62" i="46"/>
  <c r="B58" i="46"/>
  <c r="B54" i="46"/>
  <c r="B50" i="46"/>
  <c r="B46" i="46"/>
  <c r="B42" i="46"/>
  <c r="B38" i="46"/>
  <c r="B34" i="46"/>
  <c r="B30" i="46"/>
  <c r="B26" i="46"/>
  <c r="B22" i="46"/>
  <c r="B80" i="46"/>
  <c r="B72" i="46"/>
  <c r="B64" i="46"/>
  <c r="B56" i="46"/>
  <c r="B48" i="46"/>
  <c r="B40" i="46"/>
  <c r="B32" i="46"/>
  <c r="B24" i="46"/>
  <c r="I2" i="46"/>
  <c r="B85" i="46"/>
  <c r="B77" i="46"/>
  <c r="B69" i="46"/>
  <c r="B61" i="46"/>
  <c r="B53" i="46"/>
  <c r="B45" i="46"/>
  <c r="B37" i="46"/>
  <c r="B29" i="46"/>
  <c r="B21" i="46"/>
  <c r="B81" i="46"/>
  <c r="B65" i="46"/>
  <c r="B49" i="46"/>
  <c r="B33" i="46"/>
  <c r="B84" i="46"/>
  <c r="B36" i="46"/>
  <c r="B76" i="46"/>
  <c r="B60" i="46"/>
  <c r="B44" i="46"/>
  <c r="B28" i="46"/>
  <c r="B73" i="46"/>
  <c r="B57" i="46"/>
  <c r="B41" i="46"/>
  <c r="B25" i="46"/>
  <c r="B68" i="46"/>
  <c r="B52" i="46"/>
  <c r="B32" i="62"/>
  <c r="A34" i="33"/>
  <c r="B33" i="33"/>
  <c r="E13" i="44"/>
  <c r="I14" i="44"/>
  <c r="B17" i="44"/>
  <c r="L15" i="44" s="1"/>
  <c r="I13" i="44"/>
  <c r="I12" i="44"/>
  <c r="T35" i="57"/>
  <c r="U35" i="57"/>
  <c r="A34" i="45"/>
  <c r="I37" i="63"/>
  <c r="A37" i="55"/>
  <c r="C40" i="63"/>
  <c r="W35" i="58"/>
  <c r="D35" i="58"/>
  <c r="V35" i="58"/>
  <c r="E35" i="58"/>
  <c r="C35" i="58"/>
  <c r="C38" i="59" s="1"/>
  <c r="N14" i="63" s="1"/>
  <c r="N35" i="63" s="1"/>
  <c r="N21" i="33"/>
  <c r="O20" i="33"/>
  <c r="P20" i="33"/>
  <c r="C13" i="48" s="1"/>
  <c r="G31" i="62"/>
  <c r="E31" i="62"/>
  <c r="F31" i="62" s="1"/>
  <c r="B33" i="45"/>
  <c r="J37" i="63" s="1"/>
  <c r="E37" i="57"/>
  <c r="D37" i="57"/>
  <c r="C38" i="57" l="1"/>
  <c r="C32" i="62"/>
  <c r="I4" i="46"/>
  <c r="I7" i="46"/>
  <c r="N22" i="33"/>
  <c r="O21" i="33"/>
  <c r="P21" i="33"/>
  <c r="C13" i="49" s="1"/>
  <c r="C41" i="63"/>
  <c r="A38" i="55"/>
  <c r="G32" i="62"/>
  <c r="E32" i="62"/>
  <c r="F32" i="62" s="1"/>
  <c r="G38" i="63"/>
  <c r="A35" i="49"/>
  <c r="I37" i="57"/>
  <c r="O37" i="57"/>
  <c r="I38" i="63"/>
  <c r="A35" i="45"/>
  <c r="B34" i="45"/>
  <c r="J38" i="63" s="1"/>
  <c r="B18" i="44"/>
  <c r="E16" i="44"/>
  <c r="E15" i="44"/>
  <c r="F13" i="44" s="1"/>
  <c r="E38" i="63"/>
  <c r="A35" i="51"/>
  <c r="T36" i="57"/>
  <c r="U36" i="57"/>
  <c r="A39" i="56"/>
  <c r="C38" i="56"/>
  <c r="A42" i="63"/>
  <c r="W36" i="58"/>
  <c r="C36" i="58" s="1"/>
  <c r="C39" i="59" s="1"/>
  <c r="N15" i="63" s="1"/>
  <c r="N34" i="63" s="1"/>
  <c r="E36" i="58"/>
  <c r="D36" i="58"/>
  <c r="V36" i="58"/>
  <c r="A35" i="33"/>
  <c r="B34" i="33"/>
  <c r="D38" i="57"/>
  <c r="E38" i="57"/>
  <c r="B17" i="45"/>
  <c r="L15" i="45" s="1"/>
  <c r="I14" i="45"/>
  <c r="I13" i="45"/>
  <c r="E13" i="45"/>
  <c r="I12" i="45"/>
  <c r="H31" i="62"/>
  <c r="I1" i="48"/>
  <c r="B40" i="59"/>
  <c r="B37" i="58" s="1"/>
  <c r="K38" i="63"/>
  <c r="A35" i="39"/>
  <c r="B34" i="39"/>
  <c r="L38" i="63" s="1"/>
  <c r="M36" i="57"/>
  <c r="N36" i="57"/>
  <c r="E35" i="59"/>
  <c r="E17" i="43"/>
  <c r="J12" i="43"/>
  <c r="C18" i="43"/>
  <c r="J13" i="43"/>
  <c r="J14" i="43"/>
  <c r="B39" i="57"/>
  <c r="B83" i="47"/>
  <c r="B79" i="47"/>
  <c r="B75" i="47"/>
  <c r="B71" i="47"/>
  <c r="B67" i="47"/>
  <c r="B63" i="47"/>
  <c r="B59" i="47"/>
  <c r="B55" i="47"/>
  <c r="B51" i="47"/>
  <c r="B47" i="47"/>
  <c r="B43" i="47"/>
  <c r="B39" i="47"/>
  <c r="B35" i="47"/>
  <c r="B31" i="47"/>
  <c r="B27" i="47"/>
  <c r="B23" i="47"/>
  <c r="B86" i="47"/>
  <c r="B82" i="47"/>
  <c r="B78" i="47"/>
  <c r="B74" i="47"/>
  <c r="B70" i="47"/>
  <c r="B66" i="47"/>
  <c r="B62" i="47"/>
  <c r="B58" i="47"/>
  <c r="B54" i="47"/>
  <c r="B50" i="47"/>
  <c r="B46" i="47"/>
  <c r="B42" i="47"/>
  <c r="B38" i="47"/>
  <c r="B34" i="47"/>
  <c r="B30" i="47"/>
  <c r="B26" i="47"/>
  <c r="B22" i="47"/>
  <c r="I5" i="47"/>
  <c r="I3" i="47" s="1"/>
  <c r="I2" i="47"/>
  <c r="B85" i="47"/>
  <c r="B77" i="47"/>
  <c r="B69" i="47"/>
  <c r="B61" i="47"/>
  <c r="B53" i="47"/>
  <c r="B45" i="47"/>
  <c r="B37" i="47"/>
  <c r="B29" i="47"/>
  <c r="B21" i="47"/>
  <c r="B84" i="47"/>
  <c r="B76" i="47"/>
  <c r="B68" i="47"/>
  <c r="B60" i="47"/>
  <c r="B52" i="47"/>
  <c r="B44" i="47"/>
  <c r="B36" i="47"/>
  <c r="B28" i="47"/>
  <c r="B33" i="62"/>
  <c r="B81" i="47"/>
  <c r="B65" i="47"/>
  <c r="B49" i="47"/>
  <c r="B33" i="47"/>
  <c r="B73" i="47"/>
  <c r="B56" i="47"/>
  <c r="B24" i="47"/>
  <c r="B80" i="47"/>
  <c r="B64" i="47"/>
  <c r="B48" i="47"/>
  <c r="B32" i="47"/>
  <c r="B57" i="47"/>
  <c r="B41" i="47"/>
  <c r="B25" i="47"/>
  <c r="B72" i="47"/>
  <c r="B40" i="47"/>
  <c r="C39" i="57" l="1"/>
  <c r="I4" i="47"/>
  <c r="C33" i="62"/>
  <c r="I7" i="47"/>
  <c r="A36" i="39"/>
  <c r="K39" i="63"/>
  <c r="B35" i="39"/>
  <c r="L39" i="63" s="1"/>
  <c r="E36" i="59"/>
  <c r="C18" i="44"/>
  <c r="J13" i="44"/>
  <c r="J14" i="44"/>
  <c r="J12" i="44"/>
  <c r="E17" i="44"/>
  <c r="T37" i="57"/>
  <c r="U37" i="57"/>
  <c r="B17" i="46"/>
  <c r="L15" i="46" s="1"/>
  <c r="I12" i="46"/>
  <c r="I14" i="46"/>
  <c r="I13" i="46"/>
  <c r="E13" i="46"/>
  <c r="B18" i="45"/>
  <c r="E16" i="45"/>
  <c r="E15" i="45"/>
  <c r="A36" i="33"/>
  <c r="B35" i="33"/>
  <c r="M37" i="57"/>
  <c r="N37" i="57"/>
  <c r="H32" i="62"/>
  <c r="I1" i="49"/>
  <c r="B41" i="59"/>
  <c r="B38" i="58" s="1"/>
  <c r="G33" i="62"/>
  <c r="H33" i="62" s="1"/>
  <c r="E33" i="62"/>
  <c r="F33" i="62" s="1"/>
  <c r="B40" i="57"/>
  <c r="I5" i="48"/>
  <c r="I3" i="48"/>
  <c r="B86" i="48"/>
  <c r="B82" i="48"/>
  <c r="B78" i="48"/>
  <c r="B74" i="48"/>
  <c r="B70" i="48"/>
  <c r="B66" i="48"/>
  <c r="B62" i="48"/>
  <c r="B58" i="48"/>
  <c r="B54" i="48"/>
  <c r="B50" i="48"/>
  <c r="B46" i="48"/>
  <c r="B42" i="48"/>
  <c r="B38" i="48"/>
  <c r="B34" i="48"/>
  <c r="B30" i="48"/>
  <c r="B26" i="48"/>
  <c r="B22" i="48"/>
  <c r="B85" i="48"/>
  <c r="B81" i="48"/>
  <c r="B77" i="48"/>
  <c r="B73" i="48"/>
  <c r="B69" i="48"/>
  <c r="B65" i="48"/>
  <c r="B61" i="48"/>
  <c r="B57" i="48"/>
  <c r="B53" i="48"/>
  <c r="B49" i="48"/>
  <c r="B45" i="48"/>
  <c r="B41" i="48"/>
  <c r="B37" i="48"/>
  <c r="B33" i="48"/>
  <c r="B29" i="48"/>
  <c r="B25" i="48"/>
  <c r="B21" i="48"/>
  <c r="B84" i="48"/>
  <c r="B76" i="48"/>
  <c r="B68" i="48"/>
  <c r="B60" i="48"/>
  <c r="B52" i="48"/>
  <c r="B44" i="48"/>
  <c r="B36" i="48"/>
  <c r="B28" i="48"/>
  <c r="B83" i="48"/>
  <c r="B75" i="48"/>
  <c r="B67" i="48"/>
  <c r="B59" i="48"/>
  <c r="B51" i="48"/>
  <c r="B43" i="48"/>
  <c r="B35" i="48"/>
  <c r="B27" i="48"/>
  <c r="B72" i="48"/>
  <c r="B56" i="48"/>
  <c r="B40" i="48"/>
  <c r="B24" i="48"/>
  <c r="B64" i="48"/>
  <c r="B32" i="48"/>
  <c r="B34" i="62"/>
  <c r="B63" i="48"/>
  <c r="B31" i="48"/>
  <c r="B71" i="48"/>
  <c r="B55" i="48"/>
  <c r="B39" i="48"/>
  <c r="B23" i="48"/>
  <c r="B80" i="48"/>
  <c r="B48" i="48"/>
  <c r="I2" i="48"/>
  <c r="B79" i="48"/>
  <c r="B47" i="48"/>
  <c r="A40" i="56"/>
  <c r="C39" i="56"/>
  <c r="A43" i="63"/>
  <c r="A36" i="51"/>
  <c r="E39" i="63"/>
  <c r="E39" i="57"/>
  <c r="D39" i="57"/>
  <c r="E37" i="58"/>
  <c r="D37" i="58"/>
  <c r="C37" i="58"/>
  <c r="C40" i="59" s="1"/>
  <c r="N16" i="63" s="1"/>
  <c r="N33" i="63" s="1"/>
  <c r="W37" i="58"/>
  <c r="V37" i="58"/>
  <c r="F13" i="45"/>
  <c r="I38" i="57"/>
  <c r="O38" i="57"/>
  <c r="A36" i="45"/>
  <c r="I39" i="63"/>
  <c r="B35" i="45"/>
  <c r="J39" i="63" s="1"/>
  <c r="A36" i="49"/>
  <c r="G39" i="63"/>
  <c r="A39" i="55"/>
  <c r="C42" i="63"/>
  <c r="O22" i="33"/>
  <c r="N23" i="33"/>
  <c r="P22" i="33"/>
  <c r="C13" i="50" s="1"/>
  <c r="A40" i="55" l="1"/>
  <c r="C43" i="63"/>
  <c r="I39" i="57"/>
  <c r="O39" i="57"/>
  <c r="O23" i="33"/>
  <c r="N24" i="33"/>
  <c r="P23" i="33"/>
  <c r="C13" i="51" s="1"/>
  <c r="C12" i="51" s="1"/>
  <c r="I40" i="63"/>
  <c r="A37" i="45"/>
  <c r="B36" i="45"/>
  <c r="J40" i="63" s="1"/>
  <c r="G34" i="62"/>
  <c r="E34" i="62"/>
  <c r="F34" i="62" s="1"/>
  <c r="W38" i="58"/>
  <c r="V38" i="58"/>
  <c r="E38" i="58"/>
  <c r="D38" i="58"/>
  <c r="C38" i="58"/>
  <c r="C41" i="59" s="1"/>
  <c r="N17" i="63" s="1"/>
  <c r="N32" i="63" s="1"/>
  <c r="I1" i="50"/>
  <c r="B42" i="59"/>
  <c r="B39" i="58" s="1"/>
  <c r="G40" i="63"/>
  <c r="A37" i="49"/>
  <c r="T38" i="57"/>
  <c r="U38" i="57"/>
  <c r="E40" i="63"/>
  <c r="A37" i="51"/>
  <c r="A41" i="56"/>
  <c r="C40" i="56"/>
  <c r="A44" i="63"/>
  <c r="D40" i="57"/>
  <c r="E40" i="57"/>
  <c r="B41" i="57"/>
  <c r="I2" i="49"/>
  <c r="G22" i="63" s="1"/>
  <c r="I5" i="49"/>
  <c r="I3" i="49" s="1"/>
  <c r="B21" i="49"/>
  <c r="H25" i="63" s="1"/>
  <c r="B23" i="49"/>
  <c r="H27" i="63" s="1"/>
  <c r="B25" i="49"/>
  <c r="H29" i="63" s="1"/>
  <c r="B27" i="49"/>
  <c r="H31" i="63" s="1"/>
  <c r="B29" i="49"/>
  <c r="H33" i="63" s="1"/>
  <c r="B31" i="49"/>
  <c r="H35" i="63" s="1"/>
  <c r="B33" i="49"/>
  <c r="H37" i="63" s="1"/>
  <c r="B35" i="49"/>
  <c r="H39" i="63" s="1"/>
  <c r="B37" i="49"/>
  <c r="H41" i="63" s="1"/>
  <c r="B22" i="49"/>
  <c r="H26" i="63" s="1"/>
  <c r="B26" i="49"/>
  <c r="H30" i="63" s="1"/>
  <c r="B30" i="49"/>
  <c r="H34" i="63" s="1"/>
  <c r="B34" i="49"/>
  <c r="H38" i="63" s="1"/>
  <c r="B24" i="49"/>
  <c r="H28" i="63" s="1"/>
  <c r="B32" i="49"/>
  <c r="H36" i="63" s="1"/>
  <c r="B36" i="49"/>
  <c r="H40" i="63" s="1"/>
  <c r="B35" i="62"/>
  <c r="B28" i="49"/>
  <c r="H32" i="63" s="1"/>
  <c r="E37" i="59"/>
  <c r="J12" i="45"/>
  <c r="J14" i="45"/>
  <c r="E17" i="45"/>
  <c r="C18" i="45"/>
  <c r="J13" i="45"/>
  <c r="B18" i="46"/>
  <c r="E15" i="46"/>
  <c r="E16" i="46"/>
  <c r="I13" i="47"/>
  <c r="B17" i="47"/>
  <c r="L15" i="47" s="1"/>
  <c r="I14" i="47"/>
  <c r="E13" i="47"/>
  <c r="I12" i="47"/>
  <c r="C40" i="57"/>
  <c r="I4" i="48"/>
  <c r="I7" i="48"/>
  <c r="C34" i="62"/>
  <c r="M38" i="57"/>
  <c r="N38" i="57"/>
  <c r="A37" i="33"/>
  <c r="B36" i="33"/>
  <c r="F13" i="46"/>
  <c r="K40" i="63"/>
  <c r="A37" i="39"/>
  <c r="B36" i="39"/>
  <c r="L40" i="63" s="1"/>
  <c r="C41" i="57" l="1"/>
  <c r="I4" i="49"/>
  <c r="C35" i="62"/>
  <c r="I7" i="49"/>
  <c r="J12" i="46"/>
  <c r="J14" i="46"/>
  <c r="E38" i="59"/>
  <c r="E17" i="46"/>
  <c r="J13" i="46"/>
  <c r="C18" i="46"/>
  <c r="G35" i="62"/>
  <c r="E35" i="62"/>
  <c r="F35" i="62" s="1"/>
  <c r="C41" i="56"/>
  <c r="A42" i="56"/>
  <c r="A45" i="63"/>
  <c r="W39" i="58"/>
  <c r="D39" i="58"/>
  <c r="E39" i="58"/>
  <c r="V39" i="58"/>
  <c r="C39" i="58"/>
  <c r="C42" i="59" s="1"/>
  <c r="N18" i="63" s="1"/>
  <c r="N31" i="63" s="1"/>
  <c r="T39" i="57"/>
  <c r="U39" i="57"/>
  <c r="A38" i="51"/>
  <c r="E41" i="63"/>
  <c r="B42" i="57"/>
  <c r="B83" i="50"/>
  <c r="B79" i="50"/>
  <c r="B75" i="50"/>
  <c r="B71" i="50"/>
  <c r="B67" i="50"/>
  <c r="B63" i="50"/>
  <c r="B59" i="50"/>
  <c r="B55" i="50"/>
  <c r="B51" i="50"/>
  <c r="B47" i="50"/>
  <c r="B43" i="50"/>
  <c r="B39" i="50"/>
  <c r="B35" i="50"/>
  <c r="B31" i="50"/>
  <c r="B27" i="50"/>
  <c r="B23" i="50"/>
  <c r="I5" i="50"/>
  <c r="I3" i="50" s="1"/>
  <c r="B86" i="50"/>
  <c r="B82" i="50"/>
  <c r="B78" i="50"/>
  <c r="B74" i="50"/>
  <c r="B70" i="50"/>
  <c r="B66" i="50"/>
  <c r="B62" i="50"/>
  <c r="B58" i="50"/>
  <c r="B54" i="50"/>
  <c r="B50" i="50"/>
  <c r="B46" i="50"/>
  <c r="B42" i="50"/>
  <c r="B38" i="50"/>
  <c r="B34" i="50"/>
  <c r="B30" i="50"/>
  <c r="B26" i="50"/>
  <c r="B22" i="50"/>
  <c r="B84" i="50"/>
  <c r="B76" i="50"/>
  <c r="B68" i="50"/>
  <c r="B60" i="50"/>
  <c r="B52" i="50"/>
  <c r="B44" i="50"/>
  <c r="B36" i="50"/>
  <c r="B28" i="50"/>
  <c r="B81" i="50"/>
  <c r="B73" i="50"/>
  <c r="B65" i="50"/>
  <c r="B57" i="50"/>
  <c r="B49" i="50"/>
  <c r="B41" i="50"/>
  <c r="B33" i="50"/>
  <c r="B25" i="50"/>
  <c r="B72" i="50"/>
  <c r="B56" i="50"/>
  <c r="B40" i="50"/>
  <c r="B24" i="50"/>
  <c r="B80" i="50"/>
  <c r="B48" i="50"/>
  <c r="B36" i="62"/>
  <c r="I2" i="50"/>
  <c r="B77" i="50"/>
  <c r="B45" i="50"/>
  <c r="B29" i="50"/>
  <c r="B85" i="50"/>
  <c r="B69" i="50"/>
  <c r="B53" i="50"/>
  <c r="B37" i="50"/>
  <c r="B21" i="50"/>
  <c r="B64" i="50"/>
  <c r="B32" i="50"/>
  <c r="B61" i="50"/>
  <c r="H34" i="62"/>
  <c r="M39" i="57"/>
  <c r="N39" i="57"/>
  <c r="A38" i="39"/>
  <c r="K41" i="63"/>
  <c r="B37" i="39"/>
  <c r="L41" i="63" s="1"/>
  <c r="A38" i="33"/>
  <c r="B37" i="33"/>
  <c r="F13" i="47"/>
  <c r="E41" i="57"/>
  <c r="D41" i="57"/>
  <c r="A38" i="49"/>
  <c r="G41" i="63"/>
  <c r="N25" i="33"/>
  <c r="O24" i="33"/>
  <c r="P24" i="33"/>
  <c r="C13" i="52" s="1"/>
  <c r="B18" i="47"/>
  <c r="E16" i="47"/>
  <c r="E15" i="47"/>
  <c r="I12" i="48"/>
  <c r="E13" i="48"/>
  <c r="I13" i="48"/>
  <c r="B17" i="48"/>
  <c r="L15" i="48" s="1"/>
  <c r="I14" i="48"/>
  <c r="I40" i="57"/>
  <c r="O40" i="57"/>
  <c r="A38" i="45"/>
  <c r="I41" i="63"/>
  <c r="B37" i="45"/>
  <c r="J41" i="63" s="1"/>
  <c r="I1" i="51"/>
  <c r="B43" i="59"/>
  <c r="B40" i="58" s="1"/>
  <c r="C44" i="63"/>
  <c r="A41" i="55"/>
  <c r="C42" i="57" l="1"/>
  <c r="I4" i="50"/>
  <c r="C36" i="62"/>
  <c r="I7" i="50"/>
  <c r="G36" i="62"/>
  <c r="E36" i="62"/>
  <c r="F36" i="62" s="1"/>
  <c r="H35" i="62"/>
  <c r="V40" i="58"/>
  <c r="E40" i="58"/>
  <c r="W40" i="58"/>
  <c r="D40" i="58"/>
  <c r="C40" i="58"/>
  <c r="C43" i="59" s="1"/>
  <c r="N19" i="63" s="1"/>
  <c r="N30" i="63" s="1"/>
  <c r="I42" i="63"/>
  <c r="A39" i="45"/>
  <c r="B38" i="45"/>
  <c r="J42" i="63" s="1"/>
  <c r="I1" i="52"/>
  <c r="B44" i="59"/>
  <c r="B41" i="58" s="1"/>
  <c r="A39" i="33"/>
  <c r="B38" i="33"/>
  <c r="E42" i="63"/>
  <c r="A39" i="51"/>
  <c r="A43" i="56"/>
  <c r="C42" i="56"/>
  <c r="A46" i="63"/>
  <c r="I14" i="49"/>
  <c r="B17" i="49"/>
  <c r="L15" i="49" s="1"/>
  <c r="I12" i="49"/>
  <c r="E13" i="49"/>
  <c r="I13" i="49"/>
  <c r="C45" i="63"/>
  <c r="A42" i="55"/>
  <c r="M40" i="57"/>
  <c r="N40" i="57"/>
  <c r="J12" i="47"/>
  <c r="J14" i="47"/>
  <c r="E17" i="47"/>
  <c r="C18" i="47"/>
  <c r="J13" i="47"/>
  <c r="E39" i="59"/>
  <c r="E42" i="57"/>
  <c r="D42" i="57"/>
  <c r="B18" i="48"/>
  <c r="E16" i="48"/>
  <c r="E15" i="48"/>
  <c r="F13" i="48" s="1"/>
  <c r="G42" i="63"/>
  <c r="A39" i="49"/>
  <c r="B38" i="49"/>
  <c r="H42" i="63" s="1"/>
  <c r="K42" i="63"/>
  <c r="A39" i="39"/>
  <c r="B38" i="39"/>
  <c r="L42" i="63" s="1"/>
  <c r="B43" i="57"/>
  <c r="I2" i="51"/>
  <c r="E22" i="63" s="1"/>
  <c r="B39" i="51"/>
  <c r="F43" i="63" s="1"/>
  <c r="B37" i="51"/>
  <c r="F41" i="63" s="1"/>
  <c r="B35" i="51"/>
  <c r="F39" i="63" s="1"/>
  <c r="B33" i="51"/>
  <c r="F37" i="63" s="1"/>
  <c r="B31" i="51"/>
  <c r="F35" i="63" s="1"/>
  <c r="B29" i="51"/>
  <c r="F33" i="63" s="1"/>
  <c r="B27" i="51"/>
  <c r="F31" i="63" s="1"/>
  <c r="B25" i="51"/>
  <c r="F29" i="63" s="1"/>
  <c r="B23" i="51"/>
  <c r="F27" i="63" s="1"/>
  <c r="B21" i="51"/>
  <c r="F25" i="63" s="1"/>
  <c r="B36" i="51"/>
  <c r="F40" i="63" s="1"/>
  <c r="B32" i="51"/>
  <c r="F36" i="63" s="1"/>
  <c r="B28" i="51"/>
  <c r="F32" i="63" s="1"/>
  <c r="B24" i="51"/>
  <c r="F28" i="63" s="1"/>
  <c r="B38" i="51"/>
  <c r="F42" i="63" s="1"/>
  <c r="B30" i="51"/>
  <c r="F34" i="63" s="1"/>
  <c r="B22" i="51"/>
  <c r="F26" i="63" s="1"/>
  <c r="B37" i="62"/>
  <c r="B26" i="51"/>
  <c r="F30" i="63" s="1"/>
  <c r="I5" i="51"/>
  <c r="I3" i="51" s="1"/>
  <c r="B34" i="51"/>
  <c r="F38" i="63" s="1"/>
  <c r="T40" i="57"/>
  <c r="U40" i="57"/>
  <c r="N27" i="33"/>
  <c r="O25" i="33"/>
  <c r="P25" i="33"/>
  <c r="I41" i="57"/>
  <c r="O41" i="57"/>
  <c r="C43" i="57" l="1"/>
  <c r="I4" i="51"/>
  <c r="I7" i="51"/>
  <c r="C37" i="62"/>
  <c r="M41" i="57"/>
  <c r="N41" i="57"/>
  <c r="A40" i="39"/>
  <c r="K43" i="63"/>
  <c r="B39" i="39"/>
  <c r="L43" i="63" s="1"/>
  <c r="I42" i="57"/>
  <c r="O42" i="57"/>
  <c r="A40" i="51"/>
  <c r="E43" i="63"/>
  <c r="E41" i="58"/>
  <c r="D41" i="58"/>
  <c r="V41" i="58"/>
  <c r="W41" i="58"/>
  <c r="C41" i="58"/>
  <c r="C44" i="59" s="1"/>
  <c r="N20" i="63" s="1"/>
  <c r="N29" i="63" s="1"/>
  <c r="I1" i="53"/>
  <c r="B45" i="59"/>
  <c r="B42" i="58" s="1"/>
  <c r="E43" i="57"/>
  <c r="D43" i="57"/>
  <c r="A43" i="55"/>
  <c r="C46" i="63"/>
  <c r="B18" i="49"/>
  <c r="E16" i="49"/>
  <c r="F13" i="49" s="1"/>
  <c r="E15" i="49"/>
  <c r="B44" i="57"/>
  <c r="I5" i="52"/>
  <c r="I3" i="52"/>
  <c r="B85" i="52"/>
  <c r="B81" i="52"/>
  <c r="B77" i="52"/>
  <c r="B73" i="52"/>
  <c r="B69" i="52"/>
  <c r="B65" i="52"/>
  <c r="B61" i="52"/>
  <c r="B57" i="52"/>
  <c r="B53" i="52"/>
  <c r="B49" i="52"/>
  <c r="B45" i="52"/>
  <c r="B41" i="52"/>
  <c r="B37" i="52"/>
  <c r="B33" i="52"/>
  <c r="B29" i="52"/>
  <c r="B25" i="52"/>
  <c r="B21" i="52"/>
  <c r="I2" i="52"/>
  <c r="B84" i="52"/>
  <c r="B80" i="52"/>
  <c r="B76" i="52"/>
  <c r="B72" i="52"/>
  <c r="B68" i="52"/>
  <c r="B64" i="52"/>
  <c r="B60" i="52"/>
  <c r="B56" i="52"/>
  <c r="B52" i="52"/>
  <c r="B48" i="52"/>
  <c r="B44" i="52"/>
  <c r="B40" i="52"/>
  <c r="B36" i="52"/>
  <c r="B32" i="52"/>
  <c r="B28" i="52"/>
  <c r="B24" i="52"/>
  <c r="B83" i="52"/>
  <c r="B75" i="52"/>
  <c r="B67" i="52"/>
  <c r="B59" i="52"/>
  <c r="B51" i="52"/>
  <c r="B43" i="52"/>
  <c r="B35" i="52"/>
  <c r="B27" i="52"/>
  <c r="B82" i="52"/>
  <c r="B74" i="52"/>
  <c r="B66" i="52"/>
  <c r="B58" i="52"/>
  <c r="B50" i="52"/>
  <c r="B42" i="52"/>
  <c r="B34" i="52"/>
  <c r="B26" i="52"/>
  <c r="B71" i="52"/>
  <c r="B55" i="52"/>
  <c r="B39" i="52"/>
  <c r="B23" i="52"/>
  <c r="B79" i="52"/>
  <c r="B47" i="52"/>
  <c r="B78" i="52"/>
  <c r="B46" i="52"/>
  <c r="B86" i="52"/>
  <c r="B70" i="52"/>
  <c r="B54" i="52"/>
  <c r="B38" i="52"/>
  <c r="B22" i="52"/>
  <c r="B38" i="62"/>
  <c r="B63" i="52"/>
  <c r="B31" i="52"/>
  <c r="B62" i="52"/>
  <c r="B30" i="52"/>
  <c r="H36" i="62"/>
  <c r="B17" i="50"/>
  <c r="L15" i="50" s="1"/>
  <c r="I14" i="50"/>
  <c r="E13" i="50"/>
  <c r="I13" i="50"/>
  <c r="I12" i="50"/>
  <c r="G37" i="62"/>
  <c r="H37" i="62" s="1"/>
  <c r="E37" i="62"/>
  <c r="F37" i="62" s="1"/>
  <c r="A40" i="33"/>
  <c r="B39" i="33"/>
  <c r="A40" i="45"/>
  <c r="I43" i="63"/>
  <c r="B39" i="45"/>
  <c r="J43" i="63" s="1"/>
  <c r="T41" i="57"/>
  <c r="U41" i="57"/>
  <c r="O27" i="33"/>
  <c r="N26" i="33"/>
  <c r="P27" i="33"/>
  <c r="A40" i="49"/>
  <c r="G43" i="63"/>
  <c r="B39" i="49"/>
  <c r="H43" i="63" s="1"/>
  <c r="E17" i="48"/>
  <c r="C18" i="48"/>
  <c r="J13" i="48"/>
  <c r="J14" i="48"/>
  <c r="E40" i="59"/>
  <c r="J12" i="48"/>
  <c r="A44" i="56"/>
  <c r="C43" i="56"/>
  <c r="A47" i="63"/>
  <c r="C13" i="58" l="1"/>
  <c r="C13" i="54"/>
  <c r="C13" i="55"/>
  <c r="I44" i="63"/>
  <c r="A41" i="45"/>
  <c r="B40" i="45"/>
  <c r="J44" i="63" s="1"/>
  <c r="C44" i="57"/>
  <c r="I7" i="52"/>
  <c r="I4" i="52"/>
  <c r="C38" i="62"/>
  <c r="O26" i="33"/>
  <c r="P26" i="33"/>
  <c r="E16" i="50"/>
  <c r="B18" i="50"/>
  <c r="E15" i="50"/>
  <c r="F13" i="50" s="1"/>
  <c r="J12" i="49"/>
  <c r="J14" i="49"/>
  <c r="E17" i="49"/>
  <c r="C18" i="49"/>
  <c r="J13" i="49"/>
  <c r="E41" i="59"/>
  <c r="I43" i="57"/>
  <c r="O43" i="57"/>
  <c r="T42" i="57"/>
  <c r="U42" i="57"/>
  <c r="K44" i="63"/>
  <c r="A41" i="39"/>
  <c r="B40" i="39"/>
  <c r="L44" i="63" s="1"/>
  <c r="C44" i="56"/>
  <c r="A45" i="56"/>
  <c r="A48" i="63"/>
  <c r="I1" i="55"/>
  <c r="B47" i="59"/>
  <c r="B44" i="58" s="1"/>
  <c r="A41" i="33"/>
  <c r="B40" i="33"/>
  <c r="G38" i="62"/>
  <c r="E38" i="62"/>
  <c r="F38" i="62" s="1"/>
  <c r="E44" i="57"/>
  <c r="D44" i="57"/>
  <c r="W42" i="58"/>
  <c r="E42" i="58"/>
  <c r="D42" i="58"/>
  <c r="C42" i="58"/>
  <c r="C45" i="59" s="1"/>
  <c r="N21" i="63" s="1"/>
  <c r="N28" i="63" s="1"/>
  <c r="V42" i="58"/>
  <c r="M42" i="57"/>
  <c r="N42" i="57"/>
  <c r="B17" i="51"/>
  <c r="L15" i="51" s="1"/>
  <c r="I14" i="51"/>
  <c r="I13" i="51"/>
  <c r="E13" i="51"/>
  <c r="I12" i="51"/>
  <c r="G44" i="63"/>
  <c r="A41" i="49"/>
  <c r="B40" i="49"/>
  <c r="H44" i="63" s="1"/>
  <c r="A44" i="55"/>
  <c r="C47" i="63"/>
  <c r="B21" i="53"/>
  <c r="B45" i="57"/>
  <c r="I5" i="53"/>
  <c r="I3" i="53"/>
  <c r="I2" i="53"/>
  <c r="B83" i="53"/>
  <c r="B79" i="53"/>
  <c r="B75" i="53"/>
  <c r="B71" i="53"/>
  <c r="B67" i="53"/>
  <c r="B63" i="53"/>
  <c r="B59" i="53"/>
  <c r="B55" i="53"/>
  <c r="B51" i="53"/>
  <c r="B47" i="53"/>
  <c r="B43" i="53"/>
  <c r="B39" i="53"/>
  <c r="B35" i="53"/>
  <c r="B31" i="53"/>
  <c r="B27" i="53"/>
  <c r="B23" i="53"/>
  <c r="B84" i="53"/>
  <c r="B78" i="53"/>
  <c r="B73" i="53"/>
  <c r="B68" i="53"/>
  <c r="B62" i="53"/>
  <c r="B57" i="53"/>
  <c r="B52" i="53"/>
  <c r="B46" i="53"/>
  <c r="B41" i="53"/>
  <c r="B36" i="53"/>
  <c r="B30" i="53"/>
  <c r="B25" i="53"/>
  <c r="B82" i="53"/>
  <c r="B77" i="53"/>
  <c r="B72" i="53"/>
  <c r="B66" i="53"/>
  <c r="B61" i="53"/>
  <c r="B56" i="53"/>
  <c r="B50" i="53"/>
  <c r="B45" i="53"/>
  <c r="B40" i="53"/>
  <c r="B34" i="53"/>
  <c r="B29" i="53"/>
  <c r="B24" i="53"/>
  <c r="B80" i="53"/>
  <c r="B69" i="53"/>
  <c r="B58" i="53"/>
  <c r="B48" i="53"/>
  <c r="B37" i="53"/>
  <c r="B26" i="53"/>
  <c r="B85" i="53"/>
  <c r="B64" i="53"/>
  <c r="B42" i="53"/>
  <c r="B70" i="53"/>
  <c r="B49" i="53"/>
  <c r="B28" i="53"/>
  <c r="B86" i="53"/>
  <c r="B76" i="53"/>
  <c r="B65" i="53"/>
  <c r="B54" i="53"/>
  <c r="B44" i="53"/>
  <c r="B33" i="53"/>
  <c r="B22" i="53"/>
  <c r="B39" i="62"/>
  <c r="B74" i="53"/>
  <c r="B53" i="53"/>
  <c r="B32" i="53"/>
  <c r="B81" i="53"/>
  <c r="B60" i="53"/>
  <c r="B38" i="53"/>
  <c r="E44" i="63"/>
  <c r="A41" i="51"/>
  <c r="B40" i="51"/>
  <c r="F44" i="63" s="1"/>
  <c r="A42" i="33" l="1"/>
  <c r="B41" i="33"/>
  <c r="A42" i="39"/>
  <c r="K45" i="63"/>
  <c r="B41" i="39"/>
  <c r="L45" i="63" s="1"/>
  <c r="G39" i="62"/>
  <c r="E39" i="62"/>
  <c r="F39" i="62" s="1"/>
  <c r="W44" i="58"/>
  <c r="F15" i="58"/>
  <c r="D44" i="58"/>
  <c r="E44" i="58"/>
  <c r="V44" i="58"/>
  <c r="C44" i="58"/>
  <c r="C47" i="59" s="1"/>
  <c r="N23" i="63" s="1"/>
  <c r="C45" i="56"/>
  <c r="A46" i="56"/>
  <c r="A49" i="63"/>
  <c r="T43" i="57"/>
  <c r="U43" i="57"/>
  <c r="I1" i="54"/>
  <c r="B46" i="59"/>
  <c r="B43" i="58" s="1"/>
  <c r="A42" i="51"/>
  <c r="E45" i="63"/>
  <c r="B41" i="51"/>
  <c r="F45" i="63" s="1"/>
  <c r="E45" i="57"/>
  <c r="D45" i="57"/>
  <c r="E15" i="51"/>
  <c r="B18" i="51"/>
  <c r="E16" i="51"/>
  <c r="F13" i="51" s="1"/>
  <c r="H38" i="62"/>
  <c r="I2" i="55"/>
  <c r="I5" i="55"/>
  <c r="I3" i="55"/>
  <c r="B22" i="55"/>
  <c r="D26" i="63" s="1"/>
  <c r="B24" i="55"/>
  <c r="D28" i="63" s="1"/>
  <c r="B26" i="55"/>
  <c r="D30" i="63" s="1"/>
  <c r="B28" i="55"/>
  <c r="D32" i="63" s="1"/>
  <c r="B30" i="55"/>
  <c r="D34" i="63" s="1"/>
  <c r="B32" i="55"/>
  <c r="D36" i="63" s="1"/>
  <c r="B34" i="55"/>
  <c r="D38" i="63" s="1"/>
  <c r="B36" i="55"/>
  <c r="D40" i="63" s="1"/>
  <c r="B38" i="55"/>
  <c r="D42" i="63" s="1"/>
  <c r="B40" i="55"/>
  <c r="D44" i="63" s="1"/>
  <c r="B42" i="55"/>
  <c r="D46" i="63" s="1"/>
  <c r="B44" i="55"/>
  <c r="D48" i="63" s="1"/>
  <c r="B25" i="55"/>
  <c r="D29" i="63" s="1"/>
  <c r="B29" i="55"/>
  <c r="D33" i="63" s="1"/>
  <c r="B33" i="55"/>
  <c r="D37" i="63" s="1"/>
  <c r="B37" i="55"/>
  <c r="D41" i="63" s="1"/>
  <c r="B41" i="55"/>
  <c r="D45" i="63" s="1"/>
  <c r="B23" i="55"/>
  <c r="D27" i="63" s="1"/>
  <c r="B31" i="55"/>
  <c r="D35" i="63" s="1"/>
  <c r="B39" i="55"/>
  <c r="D43" i="63" s="1"/>
  <c r="B21" i="55"/>
  <c r="D25" i="63" s="1"/>
  <c r="B35" i="55"/>
  <c r="D39" i="63" s="1"/>
  <c r="B27" i="55"/>
  <c r="D31" i="63" s="1"/>
  <c r="B43" i="55"/>
  <c r="D47" i="63" s="1"/>
  <c r="M43" i="57"/>
  <c r="N43" i="57"/>
  <c r="J12" i="50"/>
  <c r="J14" i="50"/>
  <c r="E17" i="50"/>
  <c r="C18" i="50"/>
  <c r="J13" i="50"/>
  <c r="E42" i="59"/>
  <c r="C45" i="57"/>
  <c r="I4" i="53"/>
  <c r="I7" i="53"/>
  <c r="C39" i="62"/>
  <c r="A42" i="49"/>
  <c r="G45" i="63"/>
  <c r="B41" i="49"/>
  <c r="H45" i="63" s="1"/>
  <c r="I44" i="57"/>
  <c r="O44" i="57"/>
  <c r="A45" i="55"/>
  <c r="C48" i="63"/>
  <c r="I14" i="52"/>
  <c r="I12" i="52"/>
  <c r="B17" i="52"/>
  <c r="L15" i="52" s="1"/>
  <c r="I13" i="52"/>
  <c r="E13" i="52"/>
  <c r="A42" i="45"/>
  <c r="I45" i="63"/>
  <c r="B41" i="45"/>
  <c r="J45" i="63" s="1"/>
  <c r="I46" i="63" l="1"/>
  <c r="A43" i="45"/>
  <c r="B42" i="45"/>
  <c r="J46" i="63" s="1"/>
  <c r="C49" i="63"/>
  <c r="A46" i="55"/>
  <c r="I13" i="53"/>
  <c r="I12" i="53"/>
  <c r="E13" i="53"/>
  <c r="I14" i="53"/>
  <c r="B17" i="53"/>
  <c r="L15" i="53" s="1"/>
  <c r="I45" i="57"/>
  <c r="O45" i="57"/>
  <c r="M44" i="57"/>
  <c r="N44" i="57"/>
  <c r="B45" i="55"/>
  <c r="D49" i="63" s="1"/>
  <c r="C18" i="51"/>
  <c r="J13" i="51"/>
  <c r="J12" i="51"/>
  <c r="J14" i="51"/>
  <c r="E43" i="59"/>
  <c r="E17" i="51"/>
  <c r="B46" i="57"/>
  <c r="I5" i="54"/>
  <c r="I3" i="54"/>
  <c r="B84" i="54"/>
  <c r="B80" i="54"/>
  <c r="B76" i="54"/>
  <c r="B72" i="54"/>
  <c r="B68" i="54"/>
  <c r="B64" i="54"/>
  <c r="B60" i="54"/>
  <c r="B56" i="54"/>
  <c r="B52" i="54"/>
  <c r="B48" i="54"/>
  <c r="B44" i="54"/>
  <c r="B40" i="54"/>
  <c r="B36" i="54"/>
  <c r="B32" i="54"/>
  <c r="B28" i="54"/>
  <c r="B24" i="54"/>
  <c r="B83" i="54"/>
  <c r="B79" i="54"/>
  <c r="B75" i="54"/>
  <c r="B71" i="54"/>
  <c r="B67" i="54"/>
  <c r="B63" i="54"/>
  <c r="B59" i="54"/>
  <c r="B55" i="54"/>
  <c r="B51" i="54"/>
  <c r="B47" i="54"/>
  <c r="B43" i="54"/>
  <c r="B39" i="54"/>
  <c r="B35" i="54"/>
  <c r="B31" i="54"/>
  <c r="B27" i="54"/>
  <c r="B23" i="54"/>
  <c r="B81" i="54"/>
  <c r="B73" i="54"/>
  <c r="B65" i="54"/>
  <c r="B57" i="54"/>
  <c r="B49" i="54"/>
  <c r="B41" i="54"/>
  <c r="B33" i="54"/>
  <c r="B25" i="54"/>
  <c r="I2" i="54"/>
  <c r="B77" i="54"/>
  <c r="B61" i="54"/>
  <c r="B45" i="54"/>
  <c r="B29" i="54"/>
  <c r="B82" i="54"/>
  <c r="B66" i="54"/>
  <c r="B50" i="54"/>
  <c r="B34" i="54"/>
  <c r="B86" i="54"/>
  <c r="B78" i="54"/>
  <c r="B70" i="54"/>
  <c r="B62" i="54"/>
  <c r="B54" i="54"/>
  <c r="B46" i="54"/>
  <c r="B38" i="54"/>
  <c r="B30" i="54"/>
  <c r="B22" i="54"/>
  <c r="B40" i="62"/>
  <c r="B85" i="54"/>
  <c r="B69" i="54"/>
  <c r="B53" i="54"/>
  <c r="B37" i="54"/>
  <c r="B21" i="54"/>
  <c r="B74" i="54"/>
  <c r="B58" i="54"/>
  <c r="B42" i="54"/>
  <c r="B26" i="54"/>
  <c r="H39" i="62"/>
  <c r="B18" i="52"/>
  <c r="E16" i="52"/>
  <c r="F13" i="52" s="1"/>
  <c r="E15" i="52"/>
  <c r="E46" i="63"/>
  <c r="A43" i="51"/>
  <c r="B42" i="51"/>
  <c r="F46" i="63" s="1"/>
  <c r="A47" i="56"/>
  <c r="C46" i="56"/>
  <c r="A50" i="63"/>
  <c r="T44" i="57"/>
  <c r="U44" i="57"/>
  <c r="G46" i="63"/>
  <c r="A43" i="49"/>
  <c r="B42" i="49"/>
  <c r="H46" i="63" s="1"/>
  <c r="I7" i="55"/>
  <c r="I4" i="55"/>
  <c r="C41" i="62"/>
  <c r="D43" i="58"/>
  <c r="W43" i="58"/>
  <c r="C43" i="58" s="1"/>
  <c r="C46" i="59" s="1"/>
  <c r="N22" i="63" s="1"/>
  <c r="N27" i="63" s="1"/>
  <c r="E43" i="58"/>
  <c r="V43" i="58"/>
  <c r="K46" i="63"/>
  <c r="A43" i="39"/>
  <c r="B42" i="39"/>
  <c r="L46" i="63" s="1"/>
  <c r="A43" i="33"/>
  <c r="B42" i="33"/>
  <c r="C18" i="52" l="1"/>
  <c r="J13" i="52"/>
  <c r="E44" i="59"/>
  <c r="J14" i="52"/>
  <c r="E17" i="52"/>
  <c r="J12" i="52"/>
  <c r="N45" i="57"/>
  <c r="M45" i="57"/>
  <c r="A44" i="39"/>
  <c r="K47" i="63"/>
  <c r="B43" i="39"/>
  <c r="L47" i="63" s="1"/>
  <c r="A44" i="49"/>
  <c r="G47" i="63"/>
  <c r="B43" i="49"/>
  <c r="H47" i="63" s="1"/>
  <c r="E46" i="57"/>
  <c r="D46" i="57"/>
  <c r="A44" i="45"/>
  <c r="I47" i="63"/>
  <c r="B43" i="45"/>
  <c r="J47" i="63" s="1"/>
  <c r="A44" i="33"/>
  <c r="B43" i="33"/>
  <c r="C46" i="57"/>
  <c r="I7" i="54"/>
  <c r="C40" i="62"/>
  <c r="I4" i="54"/>
  <c r="T45" i="57"/>
  <c r="U45" i="57"/>
  <c r="A44" i="51"/>
  <c r="E47" i="63"/>
  <c r="B43" i="51"/>
  <c r="F47" i="63" s="1"/>
  <c r="B18" i="53"/>
  <c r="E16" i="53"/>
  <c r="E15" i="53"/>
  <c r="F13" i="53" s="1"/>
  <c r="I14" i="55"/>
  <c r="G14" i="55" s="1"/>
  <c r="B17" i="55"/>
  <c r="L15" i="55" s="1"/>
  <c r="E13" i="55"/>
  <c r="I12" i="55"/>
  <c r="I13" i="55"/>
  <c r="G13" i="55" s="1"/>
  <c r="A48" i="56"/>
  <c r="C47" i="56"/>
  <c r="A51" i="63"/>
  <c r="G40" i="62"/>
  <c r="H40" i="62" s="1"/>
  <c r="H19" i="62" s="1"/>
  <c r="E40" i="62"/>
  <c r="F40" i="62" s="1"/>
  <c r="A47" i="55"/>
  <c r="C50" i="63"/>
  <c r="B46" i="55"/>
  <c r="D50" i="63" s="1"/>
  <c r="I46" i="57" l="1"/>
  <c r="O46" i="57"/>
  <c r="A48" i="55"/>
  <c r="C51" i="63"/>
  <c r="B47" i="55"/>
  <c r="D51" i="63" s="1"/>
  <c r="B18" i="55"/>
  <c r="G12" i="55"/>
  <c r="G15" i="55" s="1"/>
  <c r="E16" i="55"/>
  <c r="E15" i="55"/>
  <c r="F13" i="55" s="1"/>
  <c r="E48" i="63"/>
  <c r="A45" i="51"/>
  <c r="B44" i="51"/>
  <c r="F48" i="63" s="1"/>
  <c r="B17" i="54"/>
  <c r="L15" i="54" s="1"/>
  <c r="I12" i="54"/>
  <c r="I13" i="54"/>
  <c r="G13" i="54" s="1"/>
  <c r="I14" i="54"/>
  <c r="G14" i="54" s="1"/>
  <c r="E13" i="54"/>
  <c r="I48" i="63"/>
  <c r="A45" i="45"/>
  <c r="B44" i="45"/>
  <c r="J48" i="63" s="1"/>
  <c r="K48" i="63"/>
  <c r="A45" i="39"/>
  <c r="B44" i="39"/>
  <c r="L48" i="63" s="1"/>
  <c r="A49" i="56"/>
  <c r="A52" i="63"/>
  <c r="C48" i="56"/>
  <c r="E45" i="59"/>
  <c r="E17" i="53"/>
  <c r="J13" i="53"/>
  <c r="J12" i="53"/>
  <c r="C18" i="53"/>
  <c r="J14" i="53"/>
  <c r="A45" i="33"/>
  <c r="B44" i="33"/>
  <c r="G48" i="63"/>
  <c r="A45" i="49"/>
  <c r="B44" i="49"/>
  <c r="H48" i="63" s="1"/>
  <c r="A46" i="45" l="1"/>
  <c r="I49" i="63"/>
  <c r="B45" i="45"/>
  <c r="J49" i="63" s="1"/>
  <c r="A46" i="51"/>
  <c r="E49" i="63"/>
  <c r="B45" i="51"/>
  <c r="F49" i="63" s="1"/>
  <c r="A46" i="33"/>
  <c r="B45" i="33"/>
  <c r="A46" i="39"/>
  <c r="K49" i="63"/>
  <c r="B45" i="39"/>
  <c r="L49" i="63" s="1"/>
  <c r="B18" i="54"/>
  <c r="G12" i="54"/>
  <c r="G15" i="54" s="1"/>
  <c r="E16" i="54"/>
  <c r="E15" i="54"/>
  <c r="F13" i="54" s="1"/>
  <c r="C52" i="63"/>
  <c r="A49" i="55"/>
  <c r="B48" i="55"/>
  <c r="D52" i="63" s="1"/>
  <c r="A46" i="49"/>
  <c r="G49" i="63"/>
  <c r="B45" i="49"/>
  <c r="H49" i="63" s="1"/>
  <c r="E47" i="59"/>
  <c r="J12" i="55"/>
  <c r="E17" i="55"/>
  <c r="J14" i="55"/>
  <c r="J13" i="55"/>
  <c r="T46" i="57"/>
  <c r="T48" i="57" s="1"/>
  <c r="P21" i="57" s="1"/>
  <c r="U46" i="57"/>
  <c r="U48" i="57" s="1"/>
  <c r="P22" i="57"/>
  <c r="C49" i="56"/>
  <c r="A50" i="56"/>
  <c r="A53" i="63"/>
  <c r="N46" i="57"/>
  <c r="N48" i="57" s="1"/>
  <c r="M46" i="57"/>
  <c r="M48" i="57" s="1"/>
  <c r="J22" i="57"/>
  <c r="Q46" i="57" l="1"/>
  <c r="Q44" i="57"/>
  <c r="Q42" i="57"/>
  <c r="Q40" i="57"/>
  <c r="Q38" i="57"/>
  <c r="Q36" i="57"/>
  <c r="Q34" i="57"/>
  <c r="Q32" i="57"/>
  <c r="Q30" i="57"/>
  <c r="Q28" i="57"/>
  <c r="Q26" i="57"/>
  <c r="Q45" i="57"/>
  <c r="Q41" i="57"/>
  <c r="Q37" i="57"/>
  <c r="Q33" i="57"/>
  <c r="Q29" i="57"/>
  <c r="Q43" i="57"/>
  <c r="Q35" i="57"/>
  <c r="Q27" i="57"/>
  <c r="Q39" i="57"/>
  <c r="Q47" i="57"/>
  <c r="Q31" i="57"/>
  <c r="R47" i="57"/>
  <c r="S47" i="57" s="1"/>
  <c r="R26" i="57"/>
  <c r="S26" i="57" s="1"/>
  <c r="R27" i="57"/>
  <c r="S27" i="57" s="1"/>
  <c r="R28" i="57"/>
  <c r="S28" i="57" s="1"/>
  <c r="R29" i="57"/>
  <c r="S29" i="57" s="1"/>
  <c r="R30" i="57"/>
  <c r="S30" i="57" s="1"/>
  <c r="R31" i="57"/>
  <c r="S31" i="57" s="1"/>
  <c r="R32" i="57"/>
  <c r="S32" i="57" s="1"/>
  <c r="R33" i="57"/>
  <c r="S33" i="57" s="1"/>
  <c r="R34" i="57"/>
  <c r="S34" i="57" s="1"/>
  <c r="R35" i="57"/>
  <c r="S35" i="57" s="1"/>
  <c r="R36" i="57"/>
  <c r="S36" i="57" s="1"/>
  <c r="R37" i="57"/>
  <c r="S37" i="57" s="1"/>
  <c r="R38" i="57"/>
  <c r="S38" i="57" s="1"/>
  <c r="R39" i="57"/>
  <c r="S39" i="57" s="1"/>
  <c r="R40" i="57"/>
  <c r="S40" i="57" s="1"/>
  <c r="R41" i="57"/>
  <c r="S41" i="57" s="1"/>
  <c r="R42" i="57"/>
  <c r="S42" i="57" s="1"/>
  <c r="R43" i="57"/>
  <c r="S43" i="57" s="1"/>
  <c r="R44" i="57"/>
  <c r="S44" i="57" s="1"/>
  <c r="R45" i="57"/>
  <c r="S45" i="57" s="1"/>
  <c r="E46" i="59"/>
  <c r="J13" i="54"/>
  <c r="C18" i="54"/>
  <c r="J12" i="54"/>
  <c r="E17" i="54"/>
  <c r="J14" i="54"/>
  <c r="E50" i="63"/>
  <c r="A47" i="51"/>
  <c r="B46" i="51"/>
  <c r="F50" i="63" s="1"/>
  <c r="G50" i="63"/>
  <c r="A47" i="49"/>
  <c r="B46" i="49"/>
  <c r="H50" i="63" s="1"/>
  <c r="B46" i="33"/>
  <c r="A47" i="33"/>
  <c r="C50" i="56"/>
  <c r="A51" i="56"/>
  <c r="A54" i="63"/>
  <c r="R46" i="57"/>
  <c r="S46" i="57" s="1"/>
  <c r="J21" i="57"/>
  <c r="C53" i="63"/>
  <c r="A50" i="55"/>
  <c r="B49" i="55"/>
  <c r="D53" i="63" s="1"/>
  <c r="K50" i="63"/>
  <c r="A47" i="39"/>
  <c r="B46" i="39"/>
  <c r="L50" i="63" s="1"/>
  <c r="I50" i="63"/>
  <c r="A47" i="45"/>
  <c r="B46" i="45"/>
  <c r="J50" i="63" s="1"/>
  <c r="A48" i="45" l="1"/>
  <c r="I51" i="63"/>
  <c r="B47" i="45"/>
  <c r="J51" i="63" s="1"/>
  <c r="J48" i="57"/>
  <c r="K48" i="57" s="1"/>
  <c r="B13" i="56" s="1"/>
  <c r="E15" i="60"/>
  <c r="J46" i="57"/>
  <c r="K46" i="57" s="1"/>
  <c r="L46" i="57" s="1"/>
  <c r="J44" i="57"/>
  <c r="K44" i="57" s="1"/>
  <c r="L44" i="57" s="1"/>
  <c r="J42" i="57"/>
  <c r="K42" i="57" s="1"/>
  <c r="L42" i="57" s="1"/>
  <c r="J40" i="57"/>
  <c r="K40" i="57" s="1"/>
  <c r="L40" i="57" s="1"/>
  <c r="J38" i="57"/>
  <c r="K38" i="57" s="1"/>
  <c r="L38" i="57" s="1"/>
  <c r="J36" i="57"/>
  <c r="K36" i="57" s="1"/>
  <c r="L36" i="57" s="1"/>
  <c r="J34" i="57"/>
  <c r="K34" i="57" s="1"/>
  <c r="L34" i="57" s="1"/>
  <c r="J32" i="57"/>
  <c r="K32" i="57" s="1"/>
  <c r="L32" i="57" s="1"/>
  <c r="J30" i="57"/>
  <c r="K30" i="57" s="1"/>
  <c r="L30" i="57" s="1"/>
  <c r="J28" i="57"/>
  <c r="K28" i="57" s="1"/>
  <c r="L28" i="57" s="1"/>
  <c r="J26" i="57"/>
  <c r="K26" i="57" s="1"/>
  <c r="L26" i="57" s="1"/>
  <c r="J47" i="57"/>
  <c r="K47" i="57" s="1"/>
  <c r="L47" i="57" s="1"/>
  <c r="J43" i="57"/>
  <c r="K43" i="57" s="1"/>
  <c r="L43" i="57" s="1"/>
  <c r="J39" i="57"/>
  <c r="K39" i="57" s="1"/>
  <c r="L39" i="57" s="1"/>
  <c r="J35" i="57"/>
  <c r="K35" i="57" s="1"/>
  <c r="L35" i="57" s="1"/>
  <c r="J31" i="57"/>
  <c r="K31" i="57" s="1"/>
  <c r="L31" i="57" s="1"/>
  <c r="J27" i="57"/>
  <c r="K27" i="57" s="1"/>
  <c r="L27" i="57" s="1"/>
  <c r="J45" i="57"/>
  <c r="K45" i="57" s="1"/>
  <c r="L45" i="57" s="1"/>
  <c r="J37" i="57"/>
  <c r="K37" i="57" s="1"/>
  <c r="L37" i="57" s="1"/>
  <c r="J29" i="57"/>
  <c r="K29" i="57" s="1"/>
  <c r="L29" i="57" s="1"/>
  <c r="J41" i="57"/>
  <c r="K41" i="57" s="1"/>
  <c r="L41" i="57" s="1"/>
  <c r="J33" i="57"/>
  <c r="K33" i="57" s="1"/>
  <c r="L33" i="57" s="1"/>
  <c r="G19" i="58"/>
  <c r="A52" i="56"/>
  <c r="C51" i="56"/>
  <c r="A55" i="63"/>
  <c r="A48" i="51"/>
  <c r="E51" i="63"/>
  <c r="B47" i="51"/>
  <c r="F51" i="63" s="1"/>
  <c r="A48" i="49"/>
  <c r="G51" i="63"/>
  <c r="B47" i="49"/>
  <c r="H51" i="63" s="1"/>
  <c r="A48" i="39"/>
  <c r="K51" i="63"/>
  <c r="B47" i="39"/>
  <c r="L51" i="63" s="1"/>
  <c r="A51" i="55"/>
  <c r="C54" i="63"/>
  <c r="B50" i="55"/>
  <c r="D54" i="63" s="1"/>
  <c r="A48" i="33"/>
  <c r="B47" i="33"/>
  <c r="B22" i="56" l="1"/>
  <c r="B26" i="63" s="1"/>
  <c r="B25" i="56"/>
  <c r="B29" i="63" s="1"/>
  <c r="B23" i="56"/>
  <c r="B27" i="63" s="1"/>
  <c r="B24" i="56"/>
  <c r="B28" i="63" s="1"/>
  <c r="B21" i="56"/>
  <c r="B25" i="63" s="1"/>
  <c r="B26" i="56"/>
  <c r="B30" i="63" s="1"/>
  <c r="B27" i="56"/>
  <c r="B31" i="63" s="1"/>
  <c r="B28" i="56"/>
  <c r="B32" i="63" s="1"/>
  <c r="B29" i="56"/>
  <c r="B33" i="63" s="1"/>
  <c r="B30" i="56"/>
  <c r="B34" i="63" s="1"/>
  <c r="B31" i="56"/>
  <c r="B35" i="63" s="1"/>
  <c r="B32" i="56"/>
  <c r="B36" i="63" s="1"/>
  <c r="B33" i="56"/>
  <c r="B37" i="63" s="1"/>
  <c r="B34" i="56"/>
  <c r="B38" i="63" s="1"/>
  <c r="B35" i="56"/>
  <c r="B39" i="63" s="1"/>
  <c r="B36" i="56"/>
  <c r="B40" i="63" s="1"/>
  <c r="B37" i="56"/>
  <c r="B41" i="63" s="1"/>
  <c r="B38" i="56"/>
  <c r="B42" i="63" s="1"/>
  <c r="B39" i="56"/>
  <c r="B43" i="63" s="1"/>
  <c r="B40" i="56"/>
  <c r="B44" i="63" s="1"/>
  <c r="B41" i="56"/>
  <c r="B45" i="63" s="1"/>
  <c r="B42" i="56"/>
  <c r="B46" i="63" s="1"/>
  <c r="B43" i="56"/>
  <c r="B47" i="63" s="1"/>
  <c r="B44" i="56"/>
  <c r="B48" i="63" s="1"/>
  <c r="B45" i="56"/>
  <c r="B49" i="63" s="1"/>
  <c r="B46" i="56"/>
  <c r="B50" i="63" s="1"/>
  <c r="B47" i="56"/>
  <c r="B51" i="63" s="1"/>
  <c r="B48" i="56"/>
  <c r="B52" i="63" s="1"/>
  <c r="B49" i="56"/>
  <c r="B53" i="63" s="1"/>
  <c r="B50" i="56"/>
  <c r="B54" i="63" s="1"/>
  <c r="K52" i="63"/>
  <c r="A49" i="39"/>
  <c r="B48" i="39"/>
  <c r="L52" i="63" s="1"/>
  <c r="A52" i="55"/>
  <c r="C55" i="63"/>
  <c r="B51" i="55"/>
  <c r="D55" i="63" s="1"/>
  <c r="B51" i="56"/>
  <c r="B55" i="63" s="1"/>
  <c r="G52" i="63"/>
  <c r="A49" i="49"/>
  <c r="B48" i="49"/>
  <c r="H52" i="63" s="1"/>
  <c r="G39" i="58"/>
  <c r="H39" i="58" s="1"/>
  <c r="G31" i="58"/>
  <c r="H31" i="58" s="1"/>
  <c r="G23" i="58"/>
  <c r="H23" i="58" s="1"/>
  <c r="G34" i="58"/>
  <c r="H34" i="58" s="1"/>
  <c r="G28" i="58"/>
  <c r="H28" i="58" s="1"/>
  <c r="G36" i="58"/>
  <c r="H36" i="58" s="1"/>
  <c r="G27" i="58"/>
  <c r="H27" i="58" s="1"/>
  <c r="G42" i="58"/>
  <c r="H42" i="58" s="1"/>
  <c r="G26" i="58"/>
  <c r="H26" i="58" s="1"/>
  <c r="G32" i="58"/>
  <c r="H32" i="58" s="1"/>
  <c r="G37" i="58"/>
  <c r="H37" i="58" s="1"/>
  <c r="G29" i="58"/>
  <c r="H29" i="58" s="1"/>
  <c r="G43" i="58"/>
  <c r="H43" i="58" s="1"/>
  <c r="G30" i="58"/>
  <c r="H30" i="58" s="1"/>
  <c r="G40" i="58"/>
  <c r="H40" i="58" s="1"/>
  <c r="G35" i="58"/>
  <c r="H35" i="58" s="1"/>
  <c r="G41" i="58"/>
  <c r="H41" i="58" s="1"/>
  <c r="G33" i="58"/>
  <c r="H33" i="58" s="1"/>
  <c r="G25" i="58"/>
  <c r="H25" i="58" s="1"/>
  <c r="G38" i="58"/>
  <c r="H38" i="58" s="1"/>
  <c r="G44" i="58"/>
  <c r="H44" i="58" s="1"/>
  <c r="G24" i="58"/>
  <c r="H24" i="58" s="1"/>
  <c r="A49" i="33"/>
  <c r="B48" i="33"/>
  <c r="E52" i="63"/>
  <c r="A49" i="51"/>
  <c r="B48" i="51"/>
  <c r="F52" i="63" s="1"/>
  <c r="A53" i="56"/>
  <c r="C52" i="56"/>
  <c r="A56" i="63"/>
  <c r="B52" i="56"/>
  <c r="B56" i="63" s="1"/>
  <c r="K37" i="60"/>
  <c r="L37" i="60" s="1"/>
  <c r="K41" i="60"/>
  <c r="L41" i="60" s="1"/>
  <c r="K45" i="60"/>
  <c r="L45" i="60" s="1"/>
  <c r="K36" i="60"/>
  <c r="L36" i="60" s="1"/>
  <c r="K40" i="60"/>
  <c r="L40" i="60" s="1"/>
  <c r="K44" i="60"/>
  <c r="L44" i="60" s="1"/>
  <c r="K35" i="60"/>
  <c r="L35" i="60" s="1"/>
  <c r="K39" i="60"/>
  <c r="L39" i="60" s="1"/>
  <c r="K43" i="60"/>
  <c r="L43" i="60" s="1"/>
  <c r="K47" i="60"/>
  <c r="L47" i="60" s="1"/>
  <c r="K42" i="60"/>
  <c r="L42" i="60" s="1"/>
  <c r="K46" i="60"/>
  <c r="L46" i="60" s="1"/>
  <c r="K33" i="60"/>
  <c r="L33" i="60" s="1"/>
  <c r="K31" i="60"/>
  <c r="L31" i="60" s="1"/>
  <c r="K29" i="60"/>
  <c r="L29" i="60" s="1"/>
  <c r="K27" i="60"/>
  <c r="L27" i="60" s="1"/>
  <c r="K25" i="60"/>
  <c r="L25" i="60" s="1"/>
  <c r="K23" i="60"/>
  <c r="L23" i="60" s="1"/>
  <c r="K21" i="60"/>
  <c r="L21" i="60" s="1"/>
  <c r="K32" i="60"/>
  <c r="L32" i="60" s="1"/>
  <c r="K28" i="60"/>
  <c r="L28" i="60" s="1"/>
  <c r="K24" i="60"/>
  <c r="L24" i="60" s="1"/>
  <c r="K34" i="60"/>
  <c r="L34" i="60" s="1"/>
  <c r="K26" i="60"/>
  <c r="L26" i="60" s="1"/>
  <c r="K22" i="60"/>
  <c r="L22" i="60" s="1"/>
  <c r="K38" i="60"/>
  <c r="L38" i="60" s="1"/>
  <c r="K30" i="60"/>
  <c r="L30" i="60" s="1"/>
  <c r="I52" i="63"/>
  <c r="A49" i="45"/>
  <c r="B48" i="45"/>
  <c r="J52" i="63" s="1"/>
  <c r="J38" i="58" l="1"/>
  <c r="K38" i="58"/>
  <c r="I38" i="58"/>
  <c r="L38" i="58" s="1"/>
  <c r="J29" i="58"/>
  <c r="I29" i="58"/>
  <c r="K29" i="58"/>
  <c r="I34" i="58"/>
  <c r="K34" i="58"/>
  <c r="J34" i="58"/>
  <c r="A50" i="39"/>
  <c r="K53" i="63"/>
  <c r="B49" i="39"/>
  <c r="L53" i="63" s="1"/>
  <c r="A50" i="33"/>
  <c r="B49" i="33"/>
  <c r="J25" i="58"/>
  <c r="I25" i="58"/>
  <c r="L25" i="58" s="1"/>
  <c r="K25" i="58"/>
  <c r="K40" i="58"/>
  <c r="J40" i="58"/>
  <c r="I40" i="58"/>
  <c r="L40" i="58" s="1"/>
  <c r="I37" i="58"/>
  <c r="K37" i="58"/>
  <c r="J37" i="58"/>
  <c r="J27" i="58"/>
  <c r="I27" i="58"/>
  <c r="K27" i="58"/>
  <c r="K23" i="58"/>
  <c r="I23" i="58"/>
  <c r="J23" i="58"/>
  <c r="A50" i="49"/>
  <c r="G53" i="63"/>
  <c r="B49" i="49"/>
  <c r="H53" i="63" s="1"/>
  <c r="A50" i="51"/>
  <c r="E53" i="63"/>
  <c r="B49" i="51"/>
  <c r="F53" i="63" s="1"/>
  <c r="J24" i="58"/>
  <c r="K24" i="58"/>
  <c r="I24" i="58"/>
  <c r="L24" i="58" s="1"/>
  <c r="J33" i="58"/>
  <c r="K33" i="58"/>
  <c r="I33" i="58"/>
  <c r="J30" i="58"/>
  <c r="I30" i="58"/>
  <c r="L30" i="58" s="1"/>
  <c r="K30" i="58"/>
  <c r="K32" i="58"/>
  <c r="I32" i="58"/>
  <c r="J32" i="58"/>
  <c r="I36" i="58"/>
  <c r="K36" i="58"/>
  <c r="J36" i="58"/>
  <c r="I31" i="58"/>
  <c r="L31" i="58" s="1"/>
  <c r="J31" i="58"/>
  <c r="K31" i="58"/>
  <c r="A53" i="55"/>
  <c r="C56" i="63"/>
  <c r="B52" i="55"/>
  <c r="D56" i="63" s="1"/>
  <c r="A50" i="45"/>
  <c r="I53" i="63"/>
  <c r="B49" i="45"/>
  <c r="J53" i="63" s="1"/>
  <c r="C53" i="56"/>
  <c r="A54" i="56"/>
  <c r="B53" i="56"/>
  <c r="B57" i="63" s="1"/>
  <c r="A57" i="63"/>
  <c r="J35" i="58"/>
  <c r="I35" i="58"/>
  <c r="K35" i="58"/>
  <c r="J42" i="58"/>
  <c r="I42" i="58"/>
  <c r="K42" i="58"/>
  <c r="K44" i="58"/>
  <c r="J44" i="58"/>
  <c r="I44" i="58"/>
  <c r="J41" i="58"/>
  <c r="K41" i="58"/>
  <c r="I41" i="58"/>
  <c r="L41" i="58" s="1"/>
  <c r="K43" i="58"/>
  <c r="I43" i="58"/>
  <c r="J43" i="58"/>
  <c r="J26" i="58"/>
  <c r="I26" i="58"/>
  <c r="K26" i="58"/>
  <c r="I28" i="58"/>
  <c r="J28" i="58"/>
  <c r="K28" i="58"/>
  <c r="I39" i="58"/>
  <c r="J39" i="58"/>
  <c r="K39" i="58"/>
  <c r="M41" i="58" l="1"/>
  <c r="M30" i="58"/>
  <c r="J13" i="58"/>
  <c r="V15" i="58"/>
  <c r="M25" i="58"/>
  <c r="C57" i="63"/>
  <c r="A54" i="55"/>
  <c r="B53" i="55"/>
  <c r="D57" i="63" s="1"/>
  <c r="L32" i="58"/>
  <c r="M24" i="58"/>
  <c r="G54" i="63"/>
  <c r="A51" i="49"/>
  <c r="B50" i="49"/>
  <c r="H54" i="63" s="1"/>
  <c r="B18" i="58"/>
  <c r="L34" i="58"/>
  <c r="M38" i="58"/>
  <c r="L39" i="58"/>
  <c r="L43" i="58"/>
  <c r="L35" i="58"/>
  <c r="A55" i="56"/>
  <c r="C54" i="56"/>
  <c r="A58" i="63"/>
  <c r="B54" i="56"/>
  <c r="B58" i="63" s="1"/>
  <c r="I54" i="63"/>
  <c r="A51" i="45"/>
  <c r="B50" i="45"/>
  <c r="J54" i="63" s="1"/>
  <c r="L33" i="58"/>
  <c r="E54" i="63"/>
  <c r="A51" i="51"/>
  <c r="B50" i="51"/>
  <c r="F54" i="63" s="1"/>
  <c r="K54" i="63"/>
  <c r="A51" i="39"/>
  <c r="B50" i="39"/>
  <c r="L54" i="63" s="1"/>
  <c r="M31" i="58"/>
  <c r="M40" i="58"/>
  <c r="L28" i="58"/>
  <c r="L26" i="58"/>
  <c r="L44" i="58"/>
  <c r="L42" i="58"/>
  <c r="L36" i="58"/>
  <c r="L23" i="58"/>
  <c r="L27" i="58"/>
  <c r="L37" i="58"/>
  <c r="A51" i="33"/>
  <c r="B50" i="33"/>
  <c r="L29" i="58"/>
  <c r="M26" i="58" l="1"/>
  <c r="O31" i="58"/>
  <c r="P31" i="58"/>
  <c r="N31" i="58"/>
  <c r="M32" i="58"/>
  <c r="O30" i="58"/>
  <c r="N30" i="58"/>
  <c r="P30" i="58"/>
  <c r="A52" i="33"/>
  <c r="B51" i="33"/>
  <c r="M28" i="58"/>
  <c r="M43" i="58"/>
  <c r="M34" i="58"/>
  <c r="M37" i="58"/>
  <c r="M42" i="58"/>
  <c r="P40" i="58"/>
  <c r="O40" i="58"/>
  <c r="N40" i="58"/>
  <c r="A52" i="51"/>
  <c r="E55" i="63"/>
  <c r="B51" i="51"/>
  <c r="F55" i="63" s="1"/>
  <c r="A52" i="45"/>
  <c r="I55" i="63"/>
  <c r="B51" i="45"/>
  <c r="J55" i="63" s="1"/>
  <c r="M39" i="58"/>
  <c r="J12" i="58"/>
  <c r="J14" i="58"/>
  <c r="O24" i="58"/>
  <c r="P24" i="58"/>
  <c r="N24" i="58"/>
  <c r="A55" i="55"/>
  <c r="C58" i="63"/>
  <c r="B54" i="55"/>
  <c r="D58" i="63" s="1"/>
  <c r="N41" i="58"/>
  <c r="O41" i="58"/>
  <c r="P41" i="58"/>
  <c r="M23" i="58"/>
  <c r="M33" i="58"/>
  <c r="M35" i="58"/>
  <c r="A52" i="49"/>
  <c r="G55" i="63"/>
  <c r="B51" i="49"/>
  <c r="H55" i="63" s="1"/>
  <c r="N25" i="58"/>
  <c r="O25" i="58"/>
  <c r="P25" i="58"/>
  <c r="M36" i="58"/>
  <c r="M29" i="58"/>
  <c r="M27" i="58"/>
  <c r="M44" i="58"/>
  <c r="A52" i="39"/>
  <c r="K55" i="63"/>
  <c r="B51" i="39"/>
  <c r="L55" i="63" s="1"/>
  <c r="A56" i="56"/>
  <c r="C55" i="56"/>
  <c r="B55" i="56"/>
  <c r="B59" i="63" s="1"/>
  <c r="A59" i="63"/>
  <c r="P38" i="58"/>
  <c r="O38" i="58"/>
  <c r="N38" i="58"/>
  <c r="P44" i="58" l="1"/>
  <c r="O44" i="58"/>
  <c r="N44" i="58"/>
  <c r="Q44" i="58" s="1"/>
  <c r="R44" i="58" s="1"/>
  <c r="P33" i="58"/>
  <c r="N33" i="58"/>
  <c r="O33" i="58"/>
  <c r="O43" i="58"/>
  <c r="P43" i="58"/>
  <c r="N43" i="58"/>
  <c r="G56" i="63"/>
  <c r="A53" i="49"/>
  <c r="B52" i="49"/>
  <c r="H56" i="63" s="1"/>
  <c r="A56" i="55"/>
  <c r="C59" i="63"/>
  <c r="B55" i="55"/>
  <c r="D59" i="63" s="1"/>
  <c r="A53" i="33"/>
  <c r="B52" i="33"/>
  <c r="N32" i="58"/>
  <c r="P32" i="58"/>
  <c r="O32" i="58"/>
  <c r="Q38" i="58"/>
  <c r="R38" i="58" s="1"/>
  <c r="N27" i="58"/>
  <c r="O27" i="58"/>
  <c r="P27" i="58"/>
  <c r="N36" i="58"/>
  <c r="P36" i="58"/>
  <c r="O36" i="58"/>
  <c r="Q25" i="58"/>
  <c r="R25" i="58" s="1"/>
  <c r="N35" i="58"/>
  <c r="P35" i="58"/>
  <c r="O35" i="58"/>
  <c r="N23" i="58"/>
  <c r="Q23" i="58" s="1"/>
  <c r="R23" i="58" s="1"/>
  <c r="O23" i="58"/>
  <c r="P23" i="58"/>
  <c r="Q41" i="58"/>
  <c r="R41" i="58" s="1"/>
  <c r="Q24" i="58"/>
  <c r="R24" i="58" s="1"/>
  <c r="E56" i="63"/>
  <c r="A53" i="51"/>
  <c r="B52" i="51"/>
  <c r="F56" i="63" s="1"/>
  <c r="N42" i="58"/>
  <c r="Q42" i="58" s="1"/>
  <c r="R42" i="58" s="1"/>
  <c r="P42" i="58"/>
  <c r="O42" i="58"/>
  <c r="P34" i="58"/>
  <c r="O34" i="58"/>
  <c r="N34" i="58"/>
  <c r="N28" i="58"/>
  <c r="P28" i="58"/>
  <c r="O28" i="58"/>
  <c r="O26" i="58"/>
  <c r="N26" i="58"/>
  <c r="P26" i="58"/>
  <c r="A60" i="63"/>
  <c r="C56" i="56"/>
  <c r="A57" i="56"/>
  <c r="B56" i="56"/>
  <c r="B60" i="63" s="1"/>
  <c r="N29" i="58"/>
  <c r="Q29" i="58" s="1"/>
  <c r="R29" i="58" s="1"/>
  <c r="P29" i="58"/>
  <c r="O29" i="58"/>
  <c r="O37" i="58"/>
  <c r="P37" i="58"/>
  <c r="N37" i="58"/>
  <c r="K56" i="63"/>
  <c r="A53" i="39"/>
  <c r="B52" i="39"/>
  <c r="L56" i="63" s="1"/>
  <c r="N39" i="58"/>
  <c r="P39" i="58"/>
  <c r="O39" i="58"/>
  <c r="I56" i="63"/>
  <c r="A53" i="45"/>
  <c r="B52" i="45"/>
  <c r="J56" i="63" s="1"/>
  <c r="Q40" i="58"/>
  <c r="R40" i="58" s="1"/>
  <c r="Q30" i="58"/>
  <c r="R30" i="58" s="1"/>
  <c r="Q31" i="58"/>
  <c r="R31" i="58" s="1"/>
  <c r="S42" i="58" l="1"/>
  <c r="T42" i="58"/>
  <c r="T23" i="58"/>
  <c r="S23" i="58"/>
  <c r="A54" i="33"/>
  <c r="B53" i="33"/>
  <c r="A54" i="39"/>
  <c r="K57" i="63"/>
  <c r="B53" i="39"/>
  <c r="L57" i="63" s="1"/>
  <c r="T41" i="58"/>
  <c r="S41" i="58"/>
  <c r="A54" i="49"/>
  <c r="G57" i="63"/>
  <c r="B53" i="49"/>
  <c r="H57" i="63" s="1"/>
  <c r="S44" i="58"/>
  <c r="T44" i="58"/>
  <c r="C57" i="56"/>
  <c r="A58" i="56"/>
  <c r="B57" i="56"/>
  <c r="B61" i="63" s="1"/>
  <c r="A61" i="63"/>
  <c r="Q26" i="58"/>
  <c r="R26" i="58" s="1"/>
  <c r="Q28" i="58"/>
  <c r="R28" i="58" s="1"/>
  <c r="A54" i="51"/>
  <c r="E57" i="63"/>
  <c r="B53" i="51"/>
  <c r="F57" i="63" s="1"/>
  <c r="Q27" i="58"/>
  <c r="R27" i="58" s="1"/>
  <c r="Q32" i="58"/>
  <c r="R32" i="58" s="1"/>
  <c r="S30" i="58"/>
  <c r="T30" i="58"/>
  <c r="T29" i="58"/>
  <c r="S29" i="58"/>
  <c r="T24" i="58"/>
  <c r="S24" i="58"/>
  <c r="T25" i="58"/>
  <c r="S25" i="58"/>
  <c r="T40" i="58"/>
  <c r="S40" i="58"/>
  <c r="T31" i="58"/>
  <c r="S31" i="58"/>
  <c r="A54" i="45"/>
  <c r="I57" i="63"/>
  <c r="B53" i="45"/>
  <c r="J57" i="63" s="1"/>
  <c r="Q39" i="58"/>
  <c r="R39" i="58" s="1"/>
  <c r="Q37" i="58"/>
  <c r="R37" i="58" s="1"/>
  <c r="Q34" i="58"/>
  <c r="R34" i="58" s="1"/>
  <c r="Q35" i="58"/>
  <c r="R35" i="58" s="1"/>
  <c r="Q36" i="58"/>
  <c r="R36" i="58" s="1"/>
  <c r="S38" i="58"/>
  <c r="T38" i="58"/>
  <c r="C60" i="63"/>
  <c r="A57" i="55"/>
  <c r="B56" i="55"/>
  <c r="D60" i="63" s="1"/>
  <c r="Q43" i="58"/>
  <c r="R43" i="58" s="1"/>
  <c r="Q33" i="58"/>
  <c r="R33" i="58" s="1"/>
  <c r="I58" i="63" l="1"/>
  <c r="A55" i="45"/>
  <c r="B54" i="45"/>
  <c r="J58" i="63" s="1"/>
  <c r="T36" i="58"/>
  <c r="S36" i="58"/>
  <c r="T32" i="58"/>
  <c r="S32" i="58"/>
  <c r="E58" i="63"/>
  <c r="A55" i="51"/>
  <c r="B54" i="51"/>
  <c r="F58" i="63" s="1"/>
  <c r="K58" i="63"/>
  <c r="A55" i="39"/>
  <c r="B54" i="39"/>
  <c r="L58" i="63" s="1"/>
  <c r="T33" i="58"/>
  <c r="S33" i="58"/>
  <c r="T35" i="58"/>
  <c r="S35" i="58"/>
  <c r="T27" i="58"/>
  <c r="S27" i="58"/>
  <c r="T28" i="58"/>
  <c r="S28" i="58"/>
  <c r="B58" i="56"/>
  <c r="B62" i="63" s="1"/>
  <c r="A59" i="56"/>
  <c r="C58" i="56"/>
  <c r="A62" i="63"/>
  <c r="T37" i="58"/>
  <c r="S37" i="58"/>
  <c r="G58" i="63"/>
  <c r="A55" i="49"/>
  <c r="B54" i="49"/>
  <c r="H58" i="63" s="1"/>
  <c r="C61" i="63"/>
  <c r="A58" i="55"/>
  <c r="B57" i="55"/>
  <c r="D61" i="63" s="1"/>
  <c r="T39" i="58"/>
  <c r="S39" i="58"/>
  <c r="T43" i="58"/>
  <c r="S43" i="58"/>
  <c r="S34" i="58"/>
  <c r="T34" i="58"/>
  <c r="S26" i="58"/>
  <c r="T26" i="58"/>
  <c r="A55" i="33"/>
  <c r="B54" i="33"/>
  <c r="A59" i="55" l="1"/>
  <c r="C62" i="63"/>
  <c r="B58" i="55"/>
  <c r="D62" i="63" s="1"/>
  <c r="A56" i="39"/>
  <c r="K59" i="63"/>
  <c r="B55" i="39"/>
  <c r="L59" i="63" s="1"/>
  <c r="A60" i="56"/>
  <c r="C59" i="56"/>
  <c r="B59" i="56"/>
  <c r="B63" i="63" s="1"/>
  <c r="A63" i="63"/>
  <c r="A56" i="33"/>
  <c r="B55" i="33"/>
  <c r="A56" i="45"/>
  <c r="I59" i="63"/>
  <c r="B55" i="45"/>
  <c r="J59" i="63" s="1"/>
  <c r="A56" i="49"/>
  <c r="G59" i="63"/>
  <c r="B55" i="49"/>
  <c r="H59" i="63" s="1"/>
  <c r="A56" i="51"/>
  <c r="E59" i="63"/>
  <c r="B55" i="51"/>
  <c r="F59" i="63" s="1"/>
  <c r="K60" i="63" l="1"/>
  <c r="A57" i="39"/>
  <c r="B56" i="39"/>
  <c r="L60" i="63" s="1"/>
  <c r="E60" i="63"/>
  <c r="A57" i="51"/>
  <c r="B56" i="51"/>
  <c r="F60" i="63" s="1"/>
  <c r="A57" i="33"/>
  <c r="B56" i="33"/>
  <c r="C60" i="56"/>
  <c r="A61" i="56"/>
  <c r="A64" i="63"/>
  <c r="B60" i="56"/>
  <c r="B64" i="63" s="1"/>
  <c r="G60" i="63"/>
  <c r="A57" i="49"/>
  <c r="B56" i="49"/>
  <c r="H60" i="63" s="1"/>
  <c r="I60" i="63"/>
  <c r="A57" i="45"/>
  <c r="B56" i="45"/>
  <c r="J60" i="63" s="1"/>
  <c r="A60" i="55"/>
  <c r="C63" i="63"/>
  <c r="B59" i="55"/>
  <c r="D63" i="63" s="1"/>
  <c r="A58" i="45" l="1"/>
  <c r="I61" i="63"/>
  <c r="B57" i="45"/>
  <c r="J61" i="63" s="1"/>
  <c r="A58" i="51"/>
  <c r="E61" i="63"/>
  <c r="B57" i="51"/>
  <c r="F61" i="63" s="1"/>
  <c r="A61" i="55"/>
  <c r="C64" i="63"/>
  <c r="B60" i="55"/>
  <c r="D64" i="63" s="1"/>
  <c r="A58" i="33"/>
  <c r="B57" i="33"/>
  <c r="A58" i="49"/>
  <c r="G61" i="63"/>
  <c r="B57" i="49"/>
  <c r="H61" i="63" s="1"/>
  <c r="C61" i="56"/>
  <c r="A62" i="56"/>
  <c r="A65" i="63"/>
  <c r="B61" i="56"/>
  <c r="B65" i="63" s="1"/>
  <c r="A58" i="39"/>
  <c r="K61" i="63"/>
  <c r="B57" i="39"/>
  <c r="L61" i="63" s="1"/>
  <c r="A63" i="56" l="1"/>
  <c r="C62" i="56"/>
  <c r="B62" i="56"/>
  <c r="B66" i="63" s="1"/>
  <c r="A66" i="63"/>
  <c r="E62" i="63"/>
  <c r="A59" i="51"/>
  <c r="B58" i="51"/>
  <c r="F62" i="63" s="1"/>
  <c r="C65" i="63"/>
  <c r="A62" i="55"/>
  <c r="B61" i="55"/>
  <c r="D65" i="63" s="1"/>
  <c r="A59" i="33"/>
  <c r="B58" i="33"/>
  <c r="G62" i="63"/>
  <c r="A59" i="49"/>
  <c r="B58" i="49"/>
  <c r="H62" i="63" s="1"/>
  <c r="K62" i="63"/>
  <c r="A59" i="39"/>
  <c r="B58" i="39"/>
  <c r="L62" i="63" s="1"/>
  <c r="I62" i="63"/>
  <c r="A59" i="45"/>
  <c r="B58" i="45"/>
  <c r="J62" i="63" s="1"/>
  <c r="A63" i="55" l="1"/>
  <c r="C66" i="63"/>
  <c r="B62" i="55"/>
  <c r="D66" i="63" s="1"/>
  <c r="A64" i="56"/>
  <c r="B63" i="56"/>
  <c r="B67" i="63" s="1"/>
  <c r="C63" i="56"/>
  <c r="A67" i="63"/>
  <c r="A60" i="45"/>
  <c r="I63" i="63"/>
  <c r="B59" i="45"/>
  <c r="J63" i="63" s="1"/>
  <c r="A60" i="33"/>
  <c r="B59" i="33"/>
  <c r="A60" i="49"/>
  <c r="G63" i="63"/>
  <c r="B59" i="49"/>
  <c r="H63" i="63" s="1"/>
  <c r="A60" i="51"/>
  <c r="E63" i="63"/>
  <c r="B59" i="51"/>
  <c r="F63" i="63" s="1"/>
  <c r="A60" i="39"/>
  <c r="K63" i="63"/>
  <c r="B59" i="39"/>
  <c r="L63" i="63" s="1"/>
  <c r="E64" i="63" l="1"/>
  <c r="A61" i="51"/>
  <c r="B60" i="51"/>
  <c r="F64" i="63" s="1"/>
  <c r="I64" i="63"/>
  <c r="A61" i="45"/>
  <c r="B60" i="45"/>
  <c r="J64" i="63" s="1"/>
  <c r="K64" i="63"/>
  <c r="A61" i="39"/>
  <c r="B60" i="39"/>
  <c r="L64" i="63" s="1"/>
  <c r="A68" i="63"/>
  <c r="A65" i="56"/>
  <c r="C64" i="56"/>
  <c r="B64" i="56"/>
  <c r="B68" i="63" s="1"/>
  <c r="A61" i="33"/>
  <c r="B60" i="33"/>
  <c r="G64" i="63"/>
  <c r="A61" i="49"/>
  <c r="B60" i="49"/>
  <c r="H64" i="63" s="1"/>
  <c r="A64" i="55"/>
  <c r="C67" i="63"/>
  <c r="B63" i="55"/>
  <c r="D67" i="63" s="1"/>
  <c r="A62" i="45" l="1"/>
  <c r="I65" i="63"/>
  <c r="B61" i="45"/>
  <c r="J65" i="63" s="1"/>
  <c r="A62" i="39"/>
  <c r="K65" i="63"/>
  <c r="B61" i="39"/>
  <c r="L65" i="63" s="1"/>
  <c r="C68" i="63"/>
  <c r="A65" i="55"/>
  <c r="B64" i="55"/>
  <c r="D68" i="63" s="1"/>
  <c r="C65" i="56"/>
  <c r="A69" i="63"/>
  <c r="A66" i="56"/>
  <c r="B65" i="56"/>
  <c r="B69" i="63" s="1"/>
  <c r="A62" i="33"/>
  <c r="B61" i="33"/>
  <c r="A62" i="51"/>
  <c r="E65" i="63"/>
  <c r="B61" i="51"/>
  <c r="F65" i="63" s="1"/>
  <c r="A62" i="49"/>
  <c r="G65" i="63"/>
  <c r="B61" i="49"/>
  <c r="H65" i="63" s="1"/>
  <c r="E66" i="63" l="1"/>
  <c r="A63" i="51"/>
  <c r="B62" i="51"/>
  <c r="F66" i="63" s="1"/>
  <c r="C69" i="63"/>
  <c r="A66" i="55"/>
  <c r="B65" i="55"/>
  <c r="D69" i="63" s="1"/>
  <c r="A63" i="33"/>
  <c r="B62" i="33"/>
  <c r="C66" i="56"/>
  <c r="A67" i="56"/>
  <c r="B66" i="56"/>
  <c r="B70" i="63" s="1"/>
  <c r="A70" i="63"/>
  <c r="K66" i="63"/>
  <c r="A63" i="39"/>
  <c r="B62" i="39"/>
  <c r="L66" i="63" s="1"/>
  <c r="G66" i="63"/>
  <c r="A63" i="49"/>
  <c r="B62" i="49"/>
  <c r="H66" i="63" s="1"/>
  <c r="I66" i="63"/>
  <c r="A63" i="45"/>
  <c r="B62" i="45"/>
  <c r="J66" i="63" s="1"/>
  <c r="A64" i="49" l="1"/>
  <c r="G67" i="63"/>
  <c r="B63" i="49"/>
  <c r="H67" i="63" s="1"/>
  <c r="A67" i="55"/>
  <c r="C70" i="63"/>
  <c r="B66" i="55"/>
  <c r="D70" i="63" s="1"/>
  <c r="A64" i="45"/>
  <c r="I67" i="63"/>
  <c r="B63" i="45"/>
  <c r="J67" i="63" s="1"/>
  <c r="A64" i="33"/>
  <c r="B63" i="33"/>
  <c r="A64" i="39"/>
  <c r="K67" i="63"/>
  <c r="B63" i="39"/>
  <c r="L67" i="63" s="1"/>
  <c r="A68" i="56"/>
  <c r="C67" i="56"/>
  <c r="B67" i="56"/>
  <c r="B71" i="63" s="1"/>
  <c r="A71" i="63"/>
  <c r="A64" i="51"/>
  <c r="E67" i="63"/>
  <c r="B63" i="51"/>
  <c r="F67" i="63" s="1"/>
  <c r="K68" i="63" l="1"/>
  <c r="A65" i="39"/>
  <c r="B64" i="39"/>
  <c r="L68" i="63" s="1"/>
  <c r="E68" i="63"/>
  <c r="A65" i="51"/>
  <c r="B64" i="51"/>
  <c r="F68" i="63" s="1"/>
  <c r="A69" i="56"/>
  <c r="C68" i="56"/>
  <c r="A72" i="63"/>
  <c r="B68" i="56"/>
  <c r="B72" i="63" s="1"/>
  <c r="I68" i="63"/>
  <c r="A65" i="45"/>
  <c r="B64" i="45"/>
  <c r="J68" i="63" s="1"/>
  <c r="A65" i="33"/>
  <c r="B64" i="33"/>
  <c r="A68" i="55"/>
  <c r="C71" i="63"/>
  <c r="B67" i="55"/>
  <c r="D71" i="63" s="1"/>
  <c r="G68" i="63"/>
  <c r="A65" i="49"/>
  <c r="B64" i="49"/>
  <c r="H68" i="63" s="1"/>
  <c r="A66" i="51" l="1"/>
  <c r="E69" i="63"/>
  <c r="B65" i="51"/>
  <c r="F69" i="63" s="1"/>
  <c r="A66" i="49"/>
  <c r="G69" i="63"/>
  <c r="B65" i="49"/>
  <c r="H69" i="63" s="1"/>
  <c r="A69" i="55"/>
  <c r="C72" i="63"/>
  <c r="B68" i="55"/>
  <c r="D72" i="63" s="1"/>
  <c r="A66" i="45"/>
  <c r="I69" i="63"/>
  <c r="B65" i="45"/>
  <c r="J69" i="63" s="1"/>
  <c r="C69" i="56"/>
  <c r="B69" i="56"/>
  <c r="B73" i="63" s="1"/>
  <c r="A70" i="56"/>
  <c r="A73" i="63"/>
  <c r="A66" i="33"/>
  <c r="B65" i="33"/>
  <c r="A66" i="39"/>
  <c r="K69" i="63"/>
  <c r="B65" i="39"/>
  <c r="L69" i="63" s="1"/>
  <c r="B70" i="56" l="1"/>
  <c r="B74" i="63" s="1"/>
  <c r="A71" i="56"/>
  <c r="C70" i="56"/>
  <c r="A74" i="63"/>
  <c r="I70" i="63"/>
  <c r="A67" i="45"/>
  <c r="B66" i="45"/>
  <c r="J70" i="63" s="1"/>
  <c r="G70" i="63"/>
  <c r="A67" i="49"/>
  <c r="B66" i="49"/>
  <c r="H70" i="63" s="1"/>
  <c r="K70" i="63"/>
  <c r="A67" i="39"/>
  <c r="B66" i="39"/>
  <c r="L70" i="63" s="1"/>
  <c r="C73" i="63"/>
  <c r="A70" i="55"/>
  <c r="B69" i="55"/>
  <c r="D73" i="63" s="1"/>
  <c r="A67" i="33"/>
  <c r="B66" i="33"/>
  <c r="E70" i="63"/>
  <c r="A67" i="51"/>
  <c r="B66" i="51"/>
  <c r="F70" i="63" s="1"/>
  <c r="A68" i="33" l="1"/>
  <c r="B67" i="33"/>
  <c r="A68" i="49"/>
  <c r="G71" i="63"/>
  <c r="B67" i="49"/>
  <c r="H71" i="63" s="1"/>
  <c r="A68" i="51"/>
  <c r="E71" i="63"/>
  <c r="B67" i="51"/>
  <c r="F71" i="63" s="1"/>
  <c r="A68" i="39"/>
  <c r="K71" i="63"/>
  <c r="B67" i="39"/>
  <c r="L71" i="63" s="1"/>
  <c r="A71" i="55"/>
  <c r="C74" i="63"/>
  <c r="B70" i="55"/>
  <c r="D74" i="63" s="1"/>
  <c r="A68" i="45"/>
  <c r="I71" i="63"/>
  <c r="B67" i="45"/>
  <c r="J71" i="63" s="1"/>
  <c r="A72" i="56"/>
  <c r="C71" i="56"/>
  <c r="A75" i="63"/>
  <c r="B71" i="56"/>
  <c r="B75" i="63" s="1"/>
  <c r="A72" i="55" l="1"/>
  <c r="C75" i="63"/>
  <c r="B71" i="55"/>
  <c r="D75" i="63" s="1"/>
  <c r="G72" i="63"/>
  <c r="A69" i="49"/>
  <c r="B68" i="49"/>
  <c r="H72" i="63" s="1"/>
  <c r="A73" i="56"/>
  <c r="C72" i="56"/>
  <c r="A76" i="63"/>
  <c r="B72" i="56"/>
  <c r="B76" i="63" s="1"/>
  <c r="E72" i="63"/>
  <c r="A69" i="51"/>
  <c r="B68" i="51"/>
  <c r="F72" i="63" s="1"/>
  <c r="I72" i="63"/>
  <c r="A69" i="45"/>
  <c r="B68" i="45"/>
  <c r="J72" i="63" s="1"/>
  <c r="K72" i="63"/>
  <c r="A69" i="39"/>
  <c r="B68" i="39"/>
  <c r="L72" i="63" s="1"/>
  <c r="A69" i="33"/>
  <c r="B68" i="33"/>
  <c r="C76" i="63" l="1"/>
  <c r="A73" i="55"/>
  <c r="B72" i="55"/>
  <c r="D76" i="63" s="1"/>
  <c r="A70" i="33"/>
  <c r="B69" i="33"/>
  <c r="A70" i="51"/>
  <c r="E73" i="63"/>
  <c r="B69" i="51"/>
  <c r="F73" i="63" s="1"/>
  <c r="A70" i="45"/>
  <c r="I73" i="63"/>
  <c r="B69" i="45"/>
  <c r="J73" i="63" s="1"/>
  <c r="C73" i="56"/>
  <c r="A74" i="56"/>
  <c r="B73" i="56"/>
  <c r="B77" i="63" s="1"/>
  <c r="A77" i="63"/>
  <c r="A70" i="39"/>
  <c r="K73" i="63"/>
  <c r="B69" i="39"/>
  <c r="L73" i="63" s="1"/>
  <c r="A70" i="49"/>
  <c r="G73" i="63"/>
  <c r="B69" i="49"/>
  <c r="H73" i="63" s="1"/>
  <c r="A71" i="33" l="1"/>
  <c r="B70" i="33"/>
  <c r="E74" i="63"/>
  <c r="A71" i="51"/>
  <c r="B70" i="51"/>
  <c r="F74" i="63" s="1"/>
  <c r="C77" i="63"/>
  <c r="A74" i="55"/>
  <c r="B73" i="55"/>
  <c r="D77" i="63" s="1"/>
  <c r="K74" i="63"/>
  <c r="A71" i="39"/>
  <c r="B70" i="39"/>
  <c r="L74" i="63" s="1"/>
  <c r="G74" i="63"/>
  <c r="A71" i="49"/>
  <c r="B70" i="49"/>
  <c r="H74" i="63" s="1"/>
  <c r="A75" i="56"/>
  <c r="C74" i="56"/>
  <c r="B74" i="56"/>
  <c r="B78" i="63" s="1"/>
  <c r="A78" i="63"/>
  <c r="I74" i="63"/>
  <c r="A71" i="45"/>
  <c r="B70" i="45"/>
  <c r="J74" i="63" s="1"/>
  <c r="A72" i="49" l="1"/>
  <c r="G75" i="63"/>
  <c r="B71" i="49"/>
  <c r="H75" i="63" s="1"/>
  <c r="A72" i="33"/>
  <c r="B71" i="33"/>
  <c r="A72" i="45"/>
  <c r="I75" i="63"/>
  <c r="B71" i="45"/>
  <c r="J75" i="63" s="1"/>
  <c r="A72" i="51"/>
  <c r="E75" i="63"/>
  <c r="B71" i="51"/>
  <c r="F75" i="63" s="1"/>
  <c r="A76" i="56"/>
  <c r="C75" i="56"/>
  <c r="B75" i="56"/>
  <c r="B79" i="63" s="1"/>
  <c r="A79" i="63"/>
  <c r="A75" i="55"/>
  <c r="C78" i="63"/>
  <c r="B74" i="55"/>
  <c r="D78" i="63" s="1"/>
  <c r="A72" i="39"/>
  <c r="K75" i="63"/>
  <c r="B71" i="39"/>
  <c r="L75" i="63" s="1"/>
  <c r="I76" i="63" l="1"/>
  <c r="A73" i="45"/>
  <c r="B72" i="45"/>
  <c r="J76" i="63" s="1"/>
  <c r="A76" i="55"/>
  <c r="C79" i="63"/>
  <c r="B75" i="55"/>
  <c r="D79" i="63" s="1"/>
  <c r="C76" i="56"/>
  <c r="A77" i="56"/>
  <c r="A80" i="63"/>
  <c r="B76" i="56"/>
  <c r="B80" i="63" s="1"/>
  <c r="A73" i="33"/>
  <c r="B72" i="33"/>
  <c r="K76" i="63"/>
  <c r="A73" i="39"/>
  <c r="B72" i="39"/>
  <c r="L76" i="63" s="1"/>
  <c r="E76" i="63"/>
  <c r="A73" i="51"/>
  <c r="B72" i="51"/>
  <c r="F76" i="63" s="1"/>
  <c r="G76" i="63"/>
  <c r="A73" i="49"/>
  <c r="B72" i="49"/>
  <c r="H76" i="63" s="1"/>
  <c r="A74" i="51" l="1"/>
  <c r="E77" i="63"/>
  <c r="B73" i="51"/>
  <c r="F77" i="63" s="1"/>
  <c r="A74" i="49"/>
  <c r="G77" i="63"/>
  <c r="B73" i="49"/>
  <c r="H77" i="63" s="1"/>
  <c r="C77" i="56"/>
  <c r="A78" i="56"/>
  <c r="B77" i="56"/>
  <c r="B81" i="63" s="1"/>
  <c r="A81" i="63"/>
  <c r="A77" i="55"/>
  <c r="C80" i="63"/>
  <c r="B76" i="55"/>
  <c r="D80" i="63" s="1"/>
  <c r="A74" i="33"/>
  <c r="B73" i="33"/>
  <c r="A74" i="39"/>
  <c r="K77" i="63"/>
  <c r="B73" i="39"/>
  <c r="L77" i="63" s="1"/>
  <c r="A74" i="45"/>
  <c r="I77" i="63"/>
  <c r="B73" i="45"/>
  <c r="J77" i="63" s="1"/>
  <c r="G78" i="63" l="1"/>
  <c r="A75" i="49"/>
  <c r="B74" i="49"/>
  <c r="H78" i="63" s="1"/>
  <c r="I78" i="63"/>
  <c r="A75" i="45"/>
  <c r="B74" i="45"/>
  <c r="J78" i="63" s="1"/>
  <c r="A75" i="33"/>
  <c r="B74" i="33"/>
  <c r="K78" i="63"/>
  <c r="A75" i="39"/>
  <c r="B74" i="39"/>
  <c r="L78" i="63" s="1"/>
  <c r="A79" i="56"/>
  <c r="B78" i="56"/>
  <c r="B82" i="63" s="1"/>
  <c r="C78" i="56"/>
  <c r="A82" i="63"/>
  <c r="C81" i="63"/>
  <c r="A78" i="55"/>
  <c r="B77" i="55"/>
  <c r="D81" i="63" s="1"/>
  <c r="E78" i="63"/>
  <c r="A75" i="51"/>
  <c r="B74" i="51"/>
  <c r="F78" i="63" s="1"/>
  <c r="A76" i="45" l="1"/>
  <c r="I79" i="63"/>
  <c r="B75" i="45"/>
  <c r="J79" i="63" s="1"/>
  <c r="A76" i="51"/>
  <c r="E79" i="63"/>
  <c r="B75" i="51"/>
  <c r="F79" i="63" s="1"/>
  <c r="A80" i="56"/>
  <c r="B79" i="56"/>
  <c r="B83" i="63" s="1"/>
  <c r="C79" i="56"/>
  <c r="A83" i="63"/>
  <c r="A76" i="33"/>
  <c r="B75" i="33"/>
  <c r="A76" i="39"/>
  <c r="K79" i="63"/>
  <c r="B75" i="39"/>
  <c r="L79" i="63" s="1"/>
  <c r="A76" i="49"/>
  <c r="G79" i="63"/>
  <c r="B75" i="49"/>
  <c r="H79" i="63" s="1"/>
  <c r="A79" i="55"/>
  <c r="C82" i="63"/>
  <c r="B78" i="55"/>
  <c r="D82" i="63" s="1"/>
  <c r="G80" i="63" l="1"/>
  <c r="A77" i="49"/>
  <c r="B76" i="49"/>
  <c r="H80" i="63" s="1"/>
  <c r="E80" i="63"/>
  <c r="A77" i="51"/>
  <c r="B76" i="51"/>
  <c r="F80" i="63" s="1"/>
  <c r="A80" i="55"/>
  <c r="C83" i="63"/>
  <c r="B79" i="55"/>
  <c r="D83" i="63" s="1"/>
  <c r="A77" i="33"/>
  <c r="B76" i="33"/>
  <c r="C80" i="56"/>
  <c r="A84" i="63"/>
  <c r="A81" i="56"/>
  <c r="B80" i="56"/>
  <c r="B84" i="63" s="1"/>
  <c r="K80" i="63"/>
  <c r="A77" i="39"/>
  <c r="B76" i="39"/>
  <c r="L80" i="63" s="1"/>
  <c r="I80" i="63"/>
  <c r="A77" i="45"/>
  <c r="B76" i="45"/>
  <c r="J80" i="63" s="1"/>
  <c r="C81" i="56" l="1"/>
  <c r="A82" i="56"/>
  <c r="B81" i="56"/>
  <c r="B85" i="63" s="1"/>
  <c r="A85" i="63"/>
  <c r="A78" i="33"/>
  <c r="B77" i="33"/>
  <c r="A78" i="49"/>
  <c r="G81" i="63"/>
  <c r="B77" i="49"/>
  <c r="H81" i="63" s="1"/>
  <c r="A78" i="45"/>
  <c r="I81" i="63"/>
  <c r="B77" i="45"/>
  <c r="J81" i="63" s="1"/>
  <c r="C84" i="63"/>
  <c r="A81" i="55"/>
  <c r="B80" i="55"/>
  <c r="D84" i="63" s="1"/>
  <c r="A78" i="39"/>
  <c r="K81" i="63"/>
  <c r="B77" i="39"/>
  <c r="L81" i="63" s="1"/>
  <c r="A78" i="51"/>
  <c r="E81" i="63"/>
  <c r="B77" i="51"/>
  <c r="F81" i="63" s="1"/>
  <c r="B78" i="33" l="1"/>
  <c r="A79" i="33"/>
  <c r="K82" i="63"/>
  <c r="A79" i="39"/>
  <c r="B78" i="39"/>
  <c r="L82" i="63" s="1"/>
  <c r="E82" i="63"/>
  <c r="A79" i="51"/>
  <c r="B78" i="51"/>
  <c r="F82" i="63" s="1"/>
  <c r="G82" i="63"/>
  <c r="A79" i="49"/>
  <c r="B78" i="49"/>
  <c r="H82" i="63" s="1"/>
  <c r="C85" i="63"/>
  <c r="A82" i="55"/>
  <c r="B81" i="55"/>
  <c r="D85" i="63" s="1"/>
  <c r="I82" i="63"/>
  <c r="A79" i="45"/>
  <c r="B78" i="45"/>
  <c r="J82" i="63" s="1"/>
  <c r="C82" i="56"/>
  <c r="A83" i="56"/>
  <c r="B82" i="56"/>
  <c r="B86" i="63" s="1"/>
  <c r="A86" i="63"/>
  <c r="A80" i="49" l="1"/>
  <c r="G83" i="63"/>
  <c r="B79" i="49"/>
  <c r="H83" i="63" s="1"/>
  <c r="A80" i="33"/>
  <c r="B79" i="33"/>
  <c r="A80" i="45"/>
  <c r="I83" i="63"/>
  <c r="B79" i="45"/>
  <c r="J83" i="63" s="1"/>
  <c r="A80" i="39"/>
  <c r="K83" i="63"/>
  <c r="B79" i="39"/>
  <c r="L83" i="63" s="1"/>
  <c r="A84" i="56"/>
  <c r="C83" i="56"/>
  <c r="B83" i="56"/>
  <c r="B87" i="63" s="1"/>
  <c r="A87" i="63"/>
  <c r="A80" i="51"/>
  <c r="E83" i="63"/>
  <c r="B79" i="51"/>
  <c r="F83" i="63" s="1"/>
  <c r="A83" i="55"/>
  <c r="C86" i="63"/>
  <c r="B82" i="55"/>
  <c r="D86" i="63" s="1"/>
  <c r="E84" i="63" l="1"/>
  <c r="A81" i="51"/>
  <c r="B80" i="51"/>
  <c r="F84" i="63" s="1"/>
  <c r="A85" i="56"/>
  <c r="A88" i="63"/>
  <c r="C84" i="56"/>
  <c r="B84" i="56"/>
  <c r="B88" i="63" s="1"/>
  <c r="A81" i="33"/>
  <c r="B80" i="33"/>
  <c r="I84" i="63"/>
  <c r="A81" i="45"/>
  <c r="B80" i="45"/>
  <c r="J84" i="63" s="1"/>
  <c r="A84" i="55"/>
  <c r="C87" i="63"/>
  <c r="B83" i="55"/>
  <c r="D87" i="63" s="1"/>
  <c r="K84" i="63"/>
  <c r="A81" i="39"/>
  <c r="B80" i="39"/>
  <c r="L84" i="63" s="1"/>
  <c r="G84" i="63"/>
  <c r="A81" i="49"/>
  <c r="B80" i="49"/>
  <c r="H84" i="63" s="1"/>
  <c r="A85" i="55" l="1"/>
  <c r="C88" i="63"/>
  <c r="B84" i="55"/>
  <c r="D88" i="63" s="1"/>
  <c r="A82" i="49"/>
  <c r="G85" i="63"/>
  <c r="B81" i="49"/>
  <c r="H85" i="63" s="1"/>
  <c r="A82" i="33"/>
  <c r="B81" i="33"/>
  <c r="C85" i="56"/>
  <c r="B85" i="56"/>
  <c r="B89" i="63" s="1"/>
  <c r="A89" i="63"/>
  <c r="A86" i="56"/>
  <c r="A82" i="45"/>
  <c r="I85" i="63"/>
  <c r="B81" i="45"/>
  <c r="J85" i="63" s="1"/>
  <c r="A82" i="51"/>
  <c r="E85" i="63"/>
  <c r="B81" i="51"/>
  <c r="F85" i="63" s="1"/>
  <c r="A82" i="39"/>
  <c r="K85" i="63"/>
  <c r="B81" i="39"/>
  <c r="L85" i="63" s="1"/>
  <c r="A83" i="33" l="1"/>
  <c r="B82" i="33"/>
  <c r="E86" i="63"/>
  <c r="A83" i="51"/>
  <c r="B82" i="51"/>
  <c r="F86" i="63" s="1"/>
  <c r="A87" i="56"/>
  <c r="C86" i="56"/>
  <c r="A90" i="63"/>
  <c r="B86" i="56"/>
  <c r="B90" i="63" s="1"/>
  <c r="G86" i="63"/>
  <c r="A83" i="49"/>
  <c r="B82" i="49"/>
  <c r="H86" i="63" s="1"/>
  <c r="K86" i="63"/>
  <c r="A83" i="39"/>
  <c r="B82" i="39"/>
  <c r="L86" i="63" s="1"/>
  <c r="I86" i="63"/>
  <c r="A83" i="45"/>
  <c r="B82" i="45"/>
  <c r="J86" i="63" s="1"/>
  <c r="C89" i="63"/>
  <c r="A86" i="55"/>
  <c r="B85" i="55"/>
  <c r="D89" i="63" s="1"/>
  <c r="A84" i="45" l="1"/>
  <c r="I87" i="63"/>
  <c r="B83" i="45"/>
  <c r="J87" i="63" s="1"/>
  <c r="A84" i="33"/>
  <c r="B83" i="33"/>
  <c r="C90" i="63"/>
  <c r="B86" i="55"/>
  <c r="D90" i="63" s="1"/>
  <c r="A84" i="51"/>
  <c r="E87" i="63"/>
  <c r="B83" i="51"/>
  <c r="F87" i="63" s="1"/>
  <c r="A84" i="49"/>
  <c r="G87" i="63"/>
  <c r="B83" i="49"/>
  <c r="H87" i="63" s="1"/>
  <c r="A84" i="39"/>
  <c r="K87" i="63"/>
  <c r="B83" i="39"/>
  <c r="L87" i="63" s="1"/>
  <c r="A88" i="56"/>
  <c r="C87" i="56"/>
  <c r="B87" i="56"/>
  <c r="B91" i="63" s="1"/>
  <c r="A91" i="63"/>
  <c r="A85" i="33" l="1"/>
  <c r="B84" i="33"/>
  <c r="E88" i="63"/>
  <c r="A85" i="51"/>
  <c r="B84" i="51"/>
  <c r="F88" i="63" s="1"/>
  <c r="G88" i="63"/>
  <c r="A85" i="49"/>
  <c r="B84" i="49"/>
  <c r="H88" i="63" s="1"/>
  <c r="K88" i="63"/>
  <c r="A85" i="39"/>
  <c r="B84" i="39"/>
  <c r="L88" i="63" s="1"/>
  <c r="A89" i="56"/>
  <c r="C88" i="56"/>
  <c r="A92" i="63"/>
  <c r="B88" i="56"/>
  <c r="B92" i="63" s="1"/>
  <c r="I88" i="63"/>
  <c r="A85" i="45"/>
  <c r="B84" i="45"/>
  <c r="J88" i="63" s="1"/>
  <c r="A86" i="33" l="1"/>
  <c r="B86" i="33" s="1"/>
  <c r="B85" i="33"/>
  <c r="C89" i="56"/>
  <c r="A90" i="56"/>
  <c r="B89" i="56"/>
  <c r="B93" i="63" s="1"/>
  <c r="A93" i="63"/>
  <c r="E89" i="63"/>
  <c r="A86" i="51"/>
  <c r="B86" i="51" s="1"/>
  <c r="B85" i="51"/>
  <c r="F89" i="63" s="1"/>
  <c r="G89" i="63"/>
  <c r="A86" i="49"/>
  <c r="B86" i="49" s="1"/>
  <c r="B85" i="49"/>
  <c r="H89" i="63" s="1"/>
  <c r="K89" i="63"/>
  <c r="A86" i="39"/>
  <c r="B86" i="39" s="1"/>
  <c r="B85" i="39"/>
  <c r="L89" i="63" s="1"/>
  <c r="I89" i="63"/>
  <c r="A86" i="45"/>
  <c r="B86" i="45" s="1"/>
  <c r="B85" i="45"/>
  <c r="J89" i="63" s="1"/>
  <c r="B90" i="56" l="1"/>
  <c r="B94" i="63" s="1"/>
  <c r="A91" i="56"/>
  <c r="C90" i="56"/>
  <c r="A94" i="63"/>
  <c r="A92" i="56" l="1"/>
  <c r="B91" i="56"/>
  <c r="B95" i="63" s="1"/>
  <c r="C91" i="56"/>
  <c r="A95" i="63"/>
  <c r="C92" i="56" l="1"/>
  <c r="A96" i="63"/>
  <c r="A93" i="56"/>
  <c r="B92" i="56"/>
  <c r="B96" i="63" s="1"/>
  <c r="C93" i="56" l="1"/>
  <c r="A97" i="63"/>
  <c r="A94" i="56"/>
  <c r="B93" i="56"/>
  <c r="B97" i="63" s="1"/>
  <c r="A95" i="56" l="1"/>
  <c r="B94" i="56"/>
  <c r="B98" i="63" s="1"/>
  <c r="A98" i="63"/>
  <c r="C94" i="56"/>
  <c r="A96" i="56" l="1"/>
  <c r="C95" i="56"/>
  <c r="B95" i="56"/>
  <c r="B99" i="63" s="1"/>
  <c r="A99" i="63"/>
  <c r="A97" i="56" l="1"/>
  <c r="C96" i="56"/>
  <c r="A100" i="63"/>
  <c r="B96" i="56"/>
  <c r="B100" i="63" s="1"/>
  <c r="C97" i="56" l="1"/>
  <c r="A98" i="56"/>
  <c r="A101" i="63"/>
  <c r="B97" i="56"/>
  <c r="B101" i="63" s="1"/>
  <c r="C98" i="56" l="1"/>
  <c r="B98" i="56"/>
  <c r="B102" i="63" s="1"/>
  <c r="A99" i="56"/>
  <c r="A102" i="63"/>
  <c r="A100" i="56" l="1"/>
  <c r="B99" i="56"/>
  <c r="B103" i="63" s="1"/>
  <c r="C99" i="56"/>
  <c r="A103" i="63"/>
  <c r="A101" i="56" l="1"/>
  <c r="C100" i="56"/>
  <c r="A104" i="63"/>
  <c r="B100" i="56"/>
  <c r="B104" i="63" s="1"/>
  <c r="C101" i="56" l="1"/>
  <c r="B101" i="56"/>
  <c r="B105" i="63" s="1"/>
  <c r="A102" i="56"/>
  <c r="A105" i="63"/>
  <c r="A103" i="56" l="1"/>
  <c r="C102" i="56"/>
  <c r="B102" i="56"/>
  <c r="B106" i="63" s="1"/>
  <c r="A106" i="63"/>
  <c r="A104" i="56" l="1"/>
  <c r="C103" i="56"/>
  <c r="B103" i="56"/>
  <c r="B107" i="63" s="1"/>
  <c r="A107" i="63"/>
  <c r="A105" i="56" l="1"/>
  <c r="C104" i="56"/>
  <c r="B104" i="56"/>
  <c r="C105" i="56" l="1"/>
  <c r="A106" i="56"/>
  <c r="B105" i="56"/>
  <c r="B106" i="56" l="1"/>
  <c r="A107" i="56"/>
  <c r="C106" i="56"/>
  <c r="A108" i="56" l="1"/>
  <c r="C107" i="56"/>
  <c r="B107" i="56"/>
  <c r="C108" i="56" l="1"/>
  <c r="A109" i="56"/>
  <c r="B108" i="56"/>
  <c r="C109" i="56" l="1"/>
  <c r="A110" i="56"/>
  <c r="B109" i="56"/>
  <c r="A111" i="56" l="1"/>
  <c r="C110" i="56"/>
  <c r="B110" i="56"/>
  <c r="A112" i="56" l="1"/>
  <c r="B111" i="56"/>
  <c r="C111" i="56"/>
  <c r="A113" i="56" l="1"/>
  <c r="C112" i="56"/>
  <c r="B112" i="56"/>
  <c r="C113" i="56" l="1"/>
  <c r="B113" i="56"/>
  <c r="A114" i="56"/>
  <c r="C114" i="56" l="1"/>
  <c r="A115" i="56"/>
  <c r="B114" i="56"/>
  <c r="A116" i="56" l="1"/>
  <c r="B115" i="56"/>
  <c r="C115" i="56"/>
  <c r="A117" i="56" l="1"/>
  <c r="C116" i="56"/>
  <c r="B116" i="56"/>
  <c r="C117" i="56" l="1"/>
  <c r="A118" i="56"/>
  <c r="B117" i="56"/>
  <c r="A119" i="56" l="1"/>
  <c r="C118" i="56"/>
  <c r="B118" i="56"/>
  <c r="A120" i="56" l="1"/>
  <c r="C119" i="56"/>
  <c r="B119" i="56"/>
  <c r="A121" i="56" l="1"/>
  <c r="C120" i="56"/>
  <c r="B120" i="56"/>
  <c r="C121" i="56" l="1"/>
  <c r="A122" i="56"/>
  <c r="B121" i="56"/>
  <c r="B122" i="56" l="1"/>
  <c r="A123" i="56"/>
  <c r="C122" i="56"/>
  <c r="A124" i="56" l="1"/>
  <c r="C123" i="56"/>
  <c r="B123" i="56"/>
  <c r="C124" i="56" l="1"/>
  <c r="A125" i="56"/>
  <c r="B124" i="56"/>
  <c r="C125" i="56" l="1"/>
  <c r="A126" i="56"/>
  <c r="B125" i="56"/>
  <c r="A127" i="56" l="1"/>
  <c r="C126" i="56"/>
  <c r="B126" i="56"/>
  <c r="A128" i="56" l="1"/>
  <c r="B127" i="56"/>
  <c r="C127" i="56"/>
  <c r="C128" i="56" l="1"/>
  <c r="A129" i="56"/>
  <c r="B128" i="56"/>
  <c r="C129" i="56" l="1"/>
  <c r="A130" i="56"/>
  <c r="B129" i="56"/>
  <c r="C130" i="56" l="1"/>
  <c r="A131" i="56"/>
  <c r="B130" i="56"/>
  <c r="A132" i="56" l="1"/>
  <c r="B131" i="56"/>
  <c r="C131" i="56"/>
  <c r="A133" i="56" l="1"/>
  <c r="C132" i="56"/>
  <c r="B132" i="56"/>
  <c r="C133" i="56" l="1"/>
  <c r="A134" i="56"/>
  <c r="B133" i="56"/>
  <c r="B134" i="56" l="1"/>
  <c r="A135" i="56"/>
  <c r="C134" i="56"/>
  <c r="A136" i="56" l="1"/>
  <c r="C135" i="56"/>
  <c r="B135" i="56"/>
  <c r="C136" i="56" l="1"/>
  <c r="B136" i="56"/>
</calcChain>
</file>

<file path=xl/comments1.xml><?xml version="1.0" encoding="utf-8"?>
<comments xmlns="http://schemas.openxmlformats.org/spreadsheetml/2006/main">
  <authors>
    <author>HARLEYDE</author>
  </authors>
  <commentList>
    <comment ref="O1" authorId="0">
      <text>
        <r>
          <rPr>
            <b/>
            <sz val="8"/>
            <color indexed="81"/>
            <rFont val="Tahoma"/>
            <family val="2"/>
          </rPr>
          <t>From Phase Diagram Sheet</t>
        </r>
      </text>
    </comment>
  </commentList>
</comments>
</file>

<file path=xl/sharedStrings.xml><?xml version="1.0" encoding="utf-8"?>
<sst xmlns="http://schemas.openxmlformats.org/spreadsheetml/2006/main" count="1637" uniqueCount="205">
  <si>
    <t>Method</t>
  </si>
  <si>
    <t xml:space="preserve">T = </t>
  </si>
  <si>
    <t>K</t>
  </si>
  <si>
    <t>g/mol</t>
  </si>
  <si>
    <t xml:space="preserve">VP A = </t>
  </si>
  <si>
    <t xml:space="preserve">VP B = </t>
  </si>
  <si>
    <t xml:space="preserve">P = </t>
  </si>
  <si>
    <t>bar</t>
  </si>
  <si>
    <t xml:space="preserve">VP C = </t>
  </si>
  <si>
    <t>kPa</t>
  </si>
  <si>
    <t xml:space="preserve">VP D = </t>
  </si>
  <si>
    <t>R =</t>
  </si>
  <si>
    <t>J/(mol.K)</t>
  </si>
  <si>
    <t>van der Waals:</t>
  </si>
  <si>
    <t>Integral</t>
  </si>
  <si>
    <r>
      <t>M</t>
    </r>
    <r>
      <rPr>
        <sz val="10"/>
        <rFont val="Arial"/>
        <family val="2"/>
      </rPr>
      <t xml:space="preserve"> = </t>
    </r>
  </si>
  <si>
    <r>
      <t>1 - T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</si>
  <si>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</si>
  <si>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P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</si>
  <si>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</si>
  <si>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/mol</t>
    </r>
  </si>
  <si>
    <r>
      <t>T</t>
    </r>
    <r>
      <rPr>
        <vertAlign val="subscript"/>
        <sz val="10"/>
        <rFont val="Arial"/>
        <family val="2"/>
      </rPr>
      <t>min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</si>
  <si>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min</t>
    </r>
    <r>
      <rPr>
        <sz val="10"/>
        <rFont val="Arial"/>
        <family val="2"/>
      </rPr>
      <t>/T</t>
    </r>
    <r>
      <rPr>
        <vertAlign val="subscript"/>
        <sz val="10"/>
        <rFont val="Arial"/>
        <family val="2"/>
      </rPr>
      <t>c</t>
    </r>
  </si>
  <si>
    <r>
      <t>l</t>
    </r>
    <r>
      <rPr>
        <sz val="10"/>
        <rFont val="Arial"/>
        <family val="2"/>
      </rPr>
      <t>/mol</t>
    </r>
  </si>
  <si>
    <r>
      <t>T</t>
    </r>
    <r>
      <rPr>
        <vertAlign val="subscript"/>
        <sz val="10"/>
        <rFont val="Arial"/>
        <family val="2"/>
      </rPr>
      <t>max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</si>
  <si>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max</t>
    </r>
    <r>
      <rPr>
        <sz val="10"/>
        <rFont val="Arial"/>
        <family val="2"/>
      </rPr>
      <t>/T</t>
    </r>
    <r>
      <rPr>
        <vertAlign val="subscript"/>
        <sz val="10"/>
        <rFont val="Arial"/>
        <family val="2"/>
      </rPr>
      <t>c</t>
    </r>
  </si>
  <si>
    <r>
      <t>z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</si>
  <si>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</si>
  <si>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>/T</t>
    </r>
    <r>
      <rPr>
        <vertAlign val="subscript"/>
        <sz val="10"/>
        <rFont val="Arial"/>
        <family val="2"/>
      </rPr>
      <t>c</t>
    </r>
  </si>
  <si>
    <r>
      <t>w</t>
    </r>
    <r>
      <rPr>
        <sz val="10"/>
        <rFont val="Arial"/>
        <family val="2"/>
      </rPr>
      <t xml:space="preserve"> = </t>
    </r>
  </si>
  <si>
    <r>
      <t>F(v) = v</t>
    </r>
    <r>
      <rPr>
        <vertAlign val="superscript"/>
        <sz val="14"/>
        <rFont val="Arial"/>
        <family val="2"/>
      </rPr>
      <t>3</t>
    </r>
    <r>
      <rPr>
        <sz val="14"/>
        <rFont val="Arial"/>
        <family val="2"/>
      </rPr>
      <t xml:space="preserve"> + a</t>
    </r>
    <r>
      <rPr>
        <vertAlign val="subscript"/>
        <sz val="14"/>
        <rFont val="Arial"/>
        <family val="2"/>
      </rPr>
      <t>1</t>
    </r>
    <r>
      <rPr>
        <sz val="14"/>
        <rFont val="Arial"/>
        <family val="2"/>
      </rPr>
      <t>v</t>
    </r>
    <r>
      <rPr>
        <vertAlign val="superscript"/>
        <sz val="14"/>
        <rFont val="Arial"/>
        <family val="2"/>
      </rPr>
      <t>2</t>
    </r>
    <r>
      <rPr>
        <sz val="14"/>
        <rFont val="Arial"/>
        <family val="2"/>
      </rPr>
      <t xml:space="preserve"> + a</t>
    </r>
    <r>
      <rPr>
        <vertAlign val="subscript"/>
        <sz val="14"/>
        <rFont val="Arial"/>
        <family val="2"/>
      </rPr>
      <t>2</t>
    </r>
    <r>
      <rPr>
        <sz val="14"/>
        <rFont val="Arial"/>
        <family val="2"/>
      </rPr>
      <t>v + a</t>
    </r>
    <r>
      <rPr>
        <vertAlign val="subscript"/>
        <sz val="14"/>
        <rFont val="Arial"/>
        <family val="2"/>
      </rPr>
      <t>3</t>
    </r>
    <r>
      <rPr>
        <sz val="14"/>
        <rFont val="Arial"/>
        <family val="2"/>
      </rPr>
      <t xml:space="preserve">  =  0</t>
    </r>
  </si>
  <si>
    <r>
      <t>a</t>
    </r>
    <r>
      <rPr>
        <b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 xml:space="preserve"> = </t>
    </r>
  </si>
  <si>
    <r>
      <t>a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 </t>
    </r>
  </si>
  <si>
    <r>
      <t>a</t>
    </r>
    <r>
      <rPr>
        <b/>
        <sz val="10"/>
        <rFont val="Arial"/>
        <family val="2"/>
      </rPr>
      <t xml:space="preserve"> = </t>
    </r>
  </si>
  <si>
    <r>
      <t>a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 </t>
    </r>
  </si>
  <si>
    <r>
      <t>b</t>
    </r>
    <r>
      <rPr>
        <b/>
        <sz val="10"/>
        <rFont val="Arial"/>
        <family val="2"/>
      </rPr>
      <t xml:space="preserve"> = </t>
    </r>
  </si>
  <si>
    <r>
      <t>a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 </t>
    </r>
  </si>
  <si>
    <r>
      <t>V</t>
    </r>
    <r>
      <rPr>
        <b/>
        <vertAlign val="subscript"/>
        <sz val="10"/>
        <rFont val="Times New Roman"/>
        <family val="1"/>
      </rPr>
      <t>L</t>
    </r>
    <r>
      <rPr>
        <b/>
        <sz val="10"/>
        <rFont val="Times New Roman"/>
        <family val="1"/>
      </rPr>
      <t xml:space="preserve"> = </t>
    </r>
  </si>
  <si>
    <r>
      <t>10</t>
    </r>
    <r>
      <rPr>
        <vertAlign val="superscript"/>
        <sz val="10"/>
        <rFont val="Arial"/>
        <family val="2"/>
      </rPr>
      <t>6</t>
    </r>
    <r>
      <rPr>
        <sz val="10"/>
        <rFont val="Arial"/>
        <family val="2"/>
      </rPr>
      <t>F(V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) = </t>
    </r>
  </si>
  <si>
    <r>
      <t>V</t>
    </r>
    <r>
      <rPr>
        <b/>
        <vertAlign val="subscript"/>
        <sz val="10"/>
        <rFont val="Times New Roman"/>
        <family val="1"/>
      </rPr>
      <t>V</t>
    </r>
    <r>
      <rPr>
        <b/>
        <sz val="10"/>
        <rFont val="Times New Roman"/>
        <family val="1"/>
      </rPr>
      <t xml:space="preserve"> = </t>
    </r>
  </si>
  <si>
    <r>
      <t>F(V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 xml:space="preserve">) = </t>
    </r>
  </si>
  <si>
    <r>
      <t>V</t>
    </r>
    <r>
      <rPr>
        <b/>
        <vertAlign val="subscript"/>
        <sz val="10"/>
        <rFont val="Arial"/>
        <family val="2"/>
      </rPr>
      <t>IG</t>
    </r>
    <r>
      <rPr>
        <b/>
        <sz val="10"/>
        <rFont val="Arial"/>
        <family val="2"/>
      </rPr>
      <t xml:space="preserve"> = </t>
    </r>
  </si>
  <si>
    <r>
      <t>10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F(V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 xml:space="preserve">) = </t>
    </r>
  </si>
  <si>
    <r>
      <t>V</t>
    </r>
    <r>
      <rPr>
        <b/>
        <vertAlign val="subscript"/>
        <sz val="10"/>
        <rFont val="Times New Roman"/>
        <family val="1"/>
      </rPr>
      <t>I</t>
    </r>
    <r>
      <rPr>
        <b/>
        <sz val="10"/>
        <rFont val="Times New Roman"/>
        <family val="1"/>
      </rPr>
      <t xml:space="preserve"> = </t>
    </r>
  </si>
  <si>
    <t>V</t>
  </si>
  <si>
    <t>P</t>
  </si>
  <si>
    <t xml:space="preserve">a = </t>
  </si>
  <si>
    <t xml:space="preserve">Slope = </t>
  </si>
  <si>
    <t>Predicted</t>
  </si>
  <si>
    <t>T</t>
  </si>
  <si>
    <t>1000/T</t>
  </si>
  <si>
    <t>%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</si>
  <si>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</si>
  <si>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</si>
  <si>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</si>
  <si>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</si>
  <si>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</si>
  <si>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</si>
  <si>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</si>
  <si>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</si>
  <si>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</si>
  <si>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</si>
  <si>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</si>
  <si>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</si>
  <si>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</si>
  <si>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</si>
  <si>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</si>
  <si>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</si>
  <si>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</si>
  <si>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</si>
  <si>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</si>
  <si>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</si>
  <si>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</si>
  <si>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 xml:space="preserve">m = </t>
  </si>
  <si>
    <t>Correlation</t>
  </si>
  <si>
    <t>V-vapour</t>
  </si>
  <si>
    <t>EOS</t>
  </si>
  <si>
    <t>a = a(T)</t>
  </si>
  <si>
    <t>V-liquid</t>
  </si>
  <si>
    <t>Tb</t>
  </si>
  <si>
    <t>Tmax</t>
  </si>
  <si>
    <t>T, K</t>
  </si>
  <si>
    <t>% Error:</t>
  </si>
  <si>
    <t>B = B(T)</t>
  </si>
  <si>
    <t>Ref 1</t>
  </si>
  <si>
    <t>Ref 2</t>
  </si>
  <si>
    <t>Ref 3</t>
  </si>
  <si>
    <t xml:space="preserve">A = </t>
  </si>
  <si>
    <t xml:space="preserve">B = </t>
  </si>
  <si>
    <t xml:space="preserve">C = </t>
  </si>
  <si>
    <t>Rackett equation for the volume of saturated liquids</t>
  </si>
  <si>
    <t>Volume translation:</t>
  </si>
  <si>
    <t>A Peneloux, E Rauzy and R Freeze, Fluid phase Equilibria, 8 (1982) 7</t>
  </si>
  <si>
    <t>Rackett</t>
  </si>
  <si>
    <t>C(T)</t>
  </si>
  <si>
    <t>Pressure</t>
  </si>
  <si>
    <t>1.5 Tc</t>
  </si>
  <si>
    <t>Tc</t>
  </si>
  <si>
    <r>
      <t>10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F(V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 xml:space="preserve">) = </t>
    </r>
  </si>
  <si>
    <r>
      <t>a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</si>
  <si>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b</t>
    </r>
    <r>
      <rPr>
        <sz val="10"/>
        <rFont val="Arial"/>
        <family val="2"/>
      </rPr>
      <t xml:space="preserve"> = </t>
    </r>
  </si>
  <si>
    <r>
      <t>a(T)/a</t>
    </r>
    <r>
      <rPr>
        <i/>
        <vertAlign val="subscript"/>
        <sz val="14"/>
        <rFont val="Bookman Old Style"/>
        <family val="1"/>
      </rPr>
      <t>c</t>
    </r>
    <r>
      <rPr>
        <i/>
        <sz val="14"/>
        <rFont val="Bookman Old Style"/>
        <family val="1"/>
      </rPr>
      <t xml:space="preserve"> = exp(m(1-T</t>
    </r>
    <r>
      <rPr>
        <i/>
        <vertAlign val="subscript"/>
        <sz val="14"/>
        <rFont val="Bookman Old Style"/>
        <family val="1"/>
      </rPr>
      <t>R</t>
    </r>
    <r>
      <rPr>
        <i/>
        <sz val="14"/>
        <rFont val="Bookman Old Style"/>
        <family val="1"/>
      </rPr>
      <t>))</t>
    </r>
  </si>
  <si>
    <r>
      <t>r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</si>
  <si>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Times New Roman"/>
        <family val="1"/>
      </rPr>
      <t>R</t>
    </r>
  </si>
  <si>
    <r>
      <t>a</t>
    </r>
    <r>
      <rPr>
        <sz val="10"/>
        <rFont val="Times New Roman"/>
        <family val="1"/>
      </rPr>
      <t xml:space="preserve"> = </t>
    </r>
    <r>
      <rPr>
        <i/>
        <sz val="10"/>
        <rFont val="Times New Roman"/>
        <family val="1"/>
      </rPr>
      <t>a</t>
    </r>
    <r>
      <rPr>
        <sz val="10"/>
        <rFont val="Times New Roman"/>
        <family val="1"/>
      </rPr>
      <t>(T)</t>
    </r>
  </si>
  <si>
    <r>
      <t>l</t>
    </r>
    <r>
      <rPr>
        <sz val="10"/>
        <rFont val="Times New Roman"/>
        <family val="1"/>
      </rPr>
      <t>n(</t>
    </r>
    <r>
      <rPr>
        <i/>
        <sz val="10"/>
        <rFont val="Times New Roman"/>
        <family val="1"/>
      </rPr>
      <t>a</t>
    </r>
    <r>
      <rPr>
        <sz val="10"/>
        <rFont val="Times New Roman"/>
        <family val="1"/>
      </rPr>
      <t>/</t>
    </r>
    <r>
      <rPr>
        <i/>
        <sz val="10"/>
        <rFont val="Times New Roman"/>
        <family val="1"/>
      </rPr>
      <t>a</t>
    </r>
    <r>
      <rPr>
        <vertAlign val="subscript"/>
        <sz val="10"/>
        <rFont val="Times New Roman"/>
        <family val="1"/>
      </rPr>
      <t>c</t>
    </r>
    <r>
      <rPr>
        <sz val="10"/>
        <rFont val="Times New Roman"/>
        <family val="1"/>
      </rPr>
      <t>)</t>
    </r>
  </si>
  <si>
    <r>
      <t>V</t>
    </r>
    <r>
      <rPr>
        <b/>
        <vertAlign val="subscript"/>
        <sz val="10"/>
        <rFont val="Times New Roman"/>
        <family val="1"/>
      </rPr>
      <t>L</t>
    </r>
  </si>
  <si>
    <r>
      <t>1 - T</t>
    </r>
    <r>
      <rPr>
        <vertAlign val="subscript"/>
        <sz val="12"/>
        <rFont val="Times New Roman"/>
        <family val="1"/>
      </rPr>
      <t>R</t>
    </r>
  </si>
  <si>
    <r>
      <t>a</t>
    </r>
    <r>
      <rPr>
        <sz val="10"/>
        <rFont val="Times New Roman"/>
        <family val="1"/>
      </rPr>
      <t xml:space="preserve"> </t>
    </r>
    <r>
      <rPr>
        <vertAlign val="subscript"/>
        <sz val="10"/>
        <rFont val="Times New Roman"/>
        <family val="1"/>
      </rPr>
      <t>Error</t>
    </r>
  </si>
  <si>
    <r>
      <t>l</t>
    </r>
    <r>
      <rPr>
        <sz val="10"/>
        <rFont val="Times New Roman"/>
        <family val="1"/>
      </rPr>
      <t>n(a/a</t>
    </r>
    <r>
      <rPr>
        <vertAlign val="subscript"/>
        <sz val="10"/>
        <rFont val="Times New Roman"/>
        <family val="1"/>
      </rPr>
      <t>c</t>
    </r>
    <r>
      <rPr>
        <sz val="10"/>
        <rFont val="Times New Roman"/>
        <family val="1"/>
      </rPr>
      <t>)(1-T</t>
    </r>
    <r>
      <rPr>
        <vertAlign val="subscript"/>
        <sz val="10"/>
        <rFont val="Times New Roman"/>
        <family val="1"/>
      </rPr>
      <t>R</t>
    </r>
    <r>
      <rPr>
        <sz val="10"/>
        <rFont val="Times New Roman"/>
        <family val="1"/>
      </rPr>
      <t>)</t>
    </r>
  </si>
  <si>
    <r>
      <t>(1-T</t>
    </r>
    <r>
      <rPr>
        <vertAlign val="subscript"/>
        <sz val="10"/>
        <rFont val="Times New Roman"/>
        <family val="1"/>
      </rPr>
      <t>R</t>
    </r>
    <r>
      <rPr>
        <sz val="10"/>
        <rFont val="Times New Roman"/>
        <family val="1"/>
      </rPr>
      <t>)</t>
    </r>
    <r>
      <rPr>
        <vertAlign val="superscript"/>
        <sz val="10"/>
        <rFont val="Times New Roman"/>
        <family val="1"/>
      </rPr>
      <t>2</t>
    </r>
  </si>
  <si>
    <r>
      <t>(1-T</t>
    </r>
    <r>
      <rPr>
        <i/>
        <vertAlign val="subscript"/>
        <sz val="14"/>
        <rFont val="Bookman Old Style"/>
        <family val="1"/>
      </rPr>
      <t>R</t>
    </r>
    <r>
      <rPr>
        <i/>
        <vertAlign val="superscript"/>
        <sz val="14"/>
        <rFont val="Bookman Old Style"/>
        <family val="1"/>
      </rPr>
      <t>1/2</t>
    </r>
    <r>
      <rPr>
        <i/>
        <sz val="14"/>
        <rFont val="Bookman Old Style"/>
        <family val="1"/>
      </rPr>
      <t>)</t>
    </r>
  </si>
  <si>
    <r>
      <t>1-sqrt(</t>
    </r>
    <r>
      <rPr>
        <i/>
        <sz val="10"/>
        <rFont val="Times New Roman"/>
        <family val="1"/>
      </rPr>
      <t>a</t>
    </r>
    <r>
      <rPr>
        <sz val="10"/>
        <rFont val="Times New Roman"/>
        <family val="1"/>
      </rPr>
      <t>/</t>
    </r>
    <r>
      <rPr>
        <i/>
        <sz val="10"/>
        <rFont val="Times New Roman"/>
        <family val="1"/>
      </rPr>
      <t>a</t>
    </r>
    <r>
      <rPr>
        <vertAlign val="subscript"/>
        <sz val="10"/>
        <rFont val="Times New Roman"/>
        <family val="1"/>
      </rPr>
      <t>c</t>
    </r>
    <r>
      <rPr>
        <sz val="10"/>
        <rFont val="Times New Roman"/>
        <family val="1"/>
      </rPr>
      <t>)</t>
    </r>
  </si>
  <si>
    <r>
      <t>T</t>
    </r>
    <r>
      <rPr>
        <vertAlign val="subscript"/>
        <sz val="10"/>
        <rFont val="Arial"/>
        <family val="2"/>
      </rPr>
      <t>R</t>
    </r>
  </si>
  <si>
    <r>
      <t>V</t>
    </r>
    <r>
      <rPr>
        <b/>
        <vertAlign val="subscript"/>
        <sz val="10"/>
        <rFont val="Times New Roman"/>
        <family val="1"/>
      </rPr>
      <t>V</t>
    </r>
  </si>
  <si>
    <r>
      <t>P</t>
    </r>
    <r>
      <rPr>
        <vertAlign val="subscript"/>
        <sz val="10"/>
        <rFont val="Arial"/>
        <family val="2"/>
      </rPr>
      <t>error</t>
    </r>
  </si>
  <si>
    <r>
      <t>P</t>
    </r>
    <r>
      <rPr>
        <vertAlign val="subscript"/>
        <sz val="10"/>
        <rFont val="Arial"/>
        <family val="2"/>
      </rPr>
      <t>pred</t>
    </r>
    <r>
      <rPr>
        <sz val="10"/>
        <rFont val="Arial"/>
        <family val="2"/>
      </rPr>
      <t>/P</t>
    </r>
  </si>
  <si>
    <r>
      <t>o</t>
    </r>
    <r>
      <rPr>
        <sz val="10"/>
        <rFont val="Arial"/>
        <family val="2"/>
      </rPr>
      <t>C</t>
    </r>
  </si>
  <si>
    <r>
      <t>V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 xml:space="preserve"> </t>
    </r>
  </si>
  <si>
    <r>
      <t>V</t>
    </r>
    <r>
      <rPr>
        <b/>
        <vertAlign val="subscript"/>
        <sz val="10"/>
        <rFont val="Arial"/>
        <family val="2"/>
      </rPr>
      <t>R</t>
    </r>
    <r>
      <rPr>
        <b/>
        <sz val="10"/>
        <rFont val="Arial"/>
        <family val="2"/>
      </rPr>
      <t xml:space="preserve"> </t>
    </r>
  </si>
  <si>
    <r>
      <t xml:space="preserve">T, 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</si>
  <si>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r>
      <t xml:space="preserve">B, </t>
    </r>
    <r>
      <rPr>
        <sz val="10"/>
        <rFont val="MT Extra"/>
        <family val="1"/>
        <charset val="2"/>
      </rPr>
      <t>l</t>
    </r>
    <r>
      <rPr>
        <sz val="10"/>
        <rFont val="Times New Roman"/>
        <family val="1"/>
      </rPr>
      <t>/mol</t>
    </r>
  </si>
  <si>
    <r>
      <t>l</t>
    </r>
    <r>
      <rPr>
        <sz val="12"/>
        <rFont val="Times New Roman"/>
        <family val="1"/>
      </rPr>
      <t>n(</t>
    </r>
    <r>
      <rPr>
        <i/>
        <sz val="12"/>
        <rFont val="Times New Roman"/>
        <family val="1"/>
      </rPr>
      <t>a</t>
    </r>
    <r>
      <rPr>
        <sz val="12"/>
        <rFont val="Times New Roman"/>
        <family val="1"/>
      </rPr>
      <t>/</t>
    </r>
    <r>
      <rPr>
        <i/>
        <sz val="12"/>
        <rFont val="Times New Roman"/>
        <family val="1"/>
      </rPr>
      <t>a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)</t>
    </r>
  </si>
  <si>
    <r>
      <t>a</t>
    </r>
    <r>
      <rPr>
        <sz val="12"/>
        <rFont val="Times New Roman"/>
        <family val="1"/>
      </rPr>
      <t xml:space="preserve"> = </t>
    </r>
    <r>
      <rPr>
        <i/>
        <sz val="12"/>
        <rFont val="Times New Roman"/>
        <family val="1"/>
      </rPr>
      <t>a</t>
    </r>
    <r>
      <rPr>
        <sz val="12"/>
        <rFont val="Times New Roman"/>
        <family val="1"/>
      </rPr>
      <t>(T)</t>
    </r>
  </si>
  <si>
    <r>
      <t>V</t>
    </r>
    <r>
      <rPr>
        <vertAlign val="subscript"/>
        <sz val="10"/>
        <rFont val="Times New Roman"/>
        <family val="1"/>
      </rPr>
      <t>L</t>
    </r>
    <r>
      <rPr>
        <sz val="10"/>
        <rFont val="Times New Roman"/>
        <family val="1"/>
      </rPr>
      <t xml:space="preserve"> = V</t>
    </r>
    <r>
      <rPr>
        <vertAlign val="subscript"/>
        <sz val="10"/>
        <rFont val="Times New Roman"/>
        <family val="1"/>
      </rPr>
      <t>L,EOS</t>
    </r>
    <r>
      <rPr>
        <sz val="10"/>
        <rFont val="Times New Roman"/>
        <family val="1"/>
      </rPr>
      <t xml:space="preserve"> + C(T)</t>
    </r>
  </si>
  <si>
    <t>Data points</t>
  </si>
  <si>
    <t>T/K</t>
  </si>
  <si>
    <t xml:space="preserve">Temperature factor = </t>
  </si>
  <si>
    <t>Tmin</t>
  </si>
  <si>
    <r>
      <t>m</t>
    </r>
    <r>
      <rPr>
        <b/>
        <sz val="10"/>
        <color indexed="16"/>
        <rFont val="Times New Roman"/>
        <family val="1"/>
      </rPr>
      <t xml:space="preserve"> = </t>
    </r>
  </si>
  <si>
    <r>
      <t>a</t>
    </r>
    <r>
      <rPr>
        <b/>
        <vertAlign val="subscript"/>
        <sz val="10"/>
        <rFont val="Arial"/>
        <family val="2"/>
      </rPr>
      <t>estimate</t>
    </r>
  </si>
  <si>
    <r>
      <t>10</t>
    </r>
    <r>
      <rPr>
        <vertAlign val="superscript"/>
        <sz val="10"/>
        <rFont val="Arial"/>
        <family val="2"/>
      </rPr>
      <t>6</t>
    </r>
    <r>
      <rPr>
        <sz val="10"/>
        <rFont val="Arial"/>
        <family val="2"/>
      </rPr>
      <t>*F(V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)</t>
    </r>
    <r>
      <rPr>
        <sz val="10"/>
        <rFont val="Arial"/>
        <family val="2"/>
      </rPr>
      <t xml:space="preserve"> = </t>
    </r>
  </si>
  <si>
    <r>
      <t>F(V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>)</t>
    </r>
    <r>
      <rPr>
        <sz val="10"/>
        <rFont val="Arial"/>
        <family val="2"/>
      </rPr>
      <t xml:space="preserve"> = </t>
    </r>
  </si>
  <si>
    <r>
      <t>10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*F(V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sz val="10"/>
        <rFont val="Arial"/>
        <family val="2"/>
      </rPr>
      <t xml:space="preserve"> = </t>
    </r>
  </si>
  <si>
    <t>Toluene</t>
  </si>
  <si>
    <t>c =</t>
  </si>
  <si>
    <t>solve e13</t>
  </si>
  <si>
    <t>solve e15</t>
  </si>
  <si>
    <t>solve e16</t>
  </si>
  <si>
    <t>B(T) = A - Bexp(C/T)</t>
  </si>
  <si>
    <t>Ref 4</t>
  </si>
  <si>
    <t>$B$13&gt;$B$12</t>
  </si>
  <si>
    <t>$B$16&lt;$B$17</t>
  </si>
  <si>
    <t>$B$18&lt;$B$16</t>
  </si>
  <si>
    <t>$B$18&gt;$B$15</t>
  </si>
  <si>
    <t>$E$17&gt;0</t>
  </si>
  <si>
    <t>$E$17&lt;4</t>
  </si>
  <si>
    <t>Constraints and Criteria:</t>
  </si>
  <si>
    <t>Clausius</t>
  </si>
  <si>
    <t>Clausius:</t>
  </si>
  <si>
    <t xml:space="preserve">c = </t>
  </si>
  <si>
    <t>$B$15&gt;0.158</t>
  </si>
  <si>
    <r>
      <t>V</t>
    </r>
    <r>
      <rPr>
        <b/>
        <vertAlign val="subscript"/>
        <sz val="10"/>
        <rFont val="Arial"/>
        <family val="2"/>
      </rPr>
      <t>L</t>
    </r>
    <r>
      <rPr>
        <b/>
        <sz val="10"/>
        <rFont val="Arial"/>
        <family val="2"/>
      </rPr>
      <t>/V</t>
    </r>
    <r>
      <rPr>
        <b/>
        <vertAlign val="subscript"/>
        <sz val="10"/>
        <rFont val="Arial"/>
        <family val="2"/>
      </rPr>
      <t>V</t>
    </r>
  </si>
  <si>
    <t>1.5Tc</t>
  </si>
  <si>
    <t>u</t>
  </si>
  <si>
    <t>v</t>
  </si>
  <si>
    <t>Errors</t>
  </si>
  <si>
    <t>Adachi-Lu</t>
  </si>
  <si>
    <t>Soave</t>
  </si>
  <si>
    <t>Ideal gas</t>
  </si>
  <si>
    <r>
      <t>a(T)/a</t>
    </r>
    <r>
      <rPr>
        <i/>
        <vertAlign val="subscript"/>
        <sz val="14"/>
        <rFont val="Bookman Old Style"/>
        <family val="1"/>
      </rPr>
      <t>c</t>
    </r>
    <r>
      <rPr>
        <i/>
        <sz val="14"/>
        <rFont val="Bookman Old Style"/>
        <family val="1"/>
      </rPr>
      <t xml:space="preserve"> = [1 + m(1-T</t>
    </r>
    <r>
      <rPr>
        <i/>
        <vertAlign val="subscript"/>
        <sz val="14"/>
        <rFont val="Bookman Old Style"/>
        <family val="1"/>
      </rPr>
      <t>R</t>
    </r>
    <r>
      <rPr>
        <i/>
        <vertAlign val="superscript"/>
        <sz val="14"/>
        <rFont val="Bookman Old Style"/>
        <family val="1"/>
      </rPr>
      <t>1/2</t>
    </r>
    <r>
      <rPr>
        <i/>
        <sz val="14"/>
        <rFont val="Bookman Old Style"/>
        <family val="1"/>
      </rPr>
      <t>)]</t>
    </r>
    <r>
      <rPr>
        <i/>
        <vertAlign val="superscript"/>
        <sz val="14"/>
        <rFont val="Bookman Old Style"/>
        <family val="1"/>
      </rPr>
      <t>2</t>
    </r>
  </si>
  <si>
    <t>Newton-Raphson</t>
  </si>
  <si>
    <t>1/K</t>
  </si>
  <si>
    <r>
      <t>M</t>
    </r>
    <r>
      <rPr>
        <sz val="12"/>
        <rFont val="Times New Roman"/>
      </rPr>
      <t xml:space="preserve"> = </t>
    </r>
  </si>
  <si>
    <r>
      <t>T</t>
    </r>
    <r>
      <rPr>
        <vertAlign val="subscript"/>
        <sz val="10"/>
        <rFont val="Arial"/>
        <family val="2"/>
      </rPr>
      <t>c</t>
    </r>
    <r>
      <rPr>
        <sz val="12"/>
        <rFont val="Times New Roman"/>
      </rPr>
      <t xml:space="preserve"> = </t>
    </r>
  </si>
  <si>
    <r>
      <t>P</t>
    </r>
    <r>
      <rPr>
        <vertAlign val="subscript"/>
        <sz val="10"/>
        <rFont val="Arial"/>
        <family val="2"/>
      </rPr>
      <t>c</t>
    </r>
    <r>
      <rPr>
        <sz val="12"/>
        <rFont val="Times New Roman"/>
      </rPr>
      <t xml:space="preserve"> = </t>
    </r>
  </si>
  <si>
    <r>
      <t>V</t>
    </r>
    <r>
      <rPr>
        <vertAlign val="subscript"/>
        <sz val="10"/>
        <rFont val="Arial"/>
        <family val="2"/>
      </rPr>
      <t>c</t>
    </r>
    <r>
      <rPr>
        <sz val="12"/>
        <rFont val="Times New Roman"/>
      </rPr>
      <t xml:space="preserve"> = </t>
    </r>
  </si>
  <si>
    <r>
      <t>cm</t>
    </r>
    <r>
      <rPr>
        <vertAlign val="superscript"/>
        <sz val="10"/>
        <rFont val="Arial"/>
        <family val="2"/>
      </rPr>
      <t>3</t>
    </r>
    <r>
      <rPr>
        <sz val="12"/>
        <rFont val="Times New Roman"/>
      </rPr>
      <t>/mol</t>
    </r>
  </si>
  <si>
    <r>
      <t>T</t>
    </r>
    <r>
      <rPr>
        <vertAlign val="subscript"/>
        <sz val="10"/>
        <rFont val="Arial"/>
        <family val="2"/>
      </rPr>
      <t>min</t>
    </r>
    <r>
      <rPr>
        <sz val="12"/>
        <rFont val="Times New Roman"/>
      </rPr>
      <t xml:space="preserve"> = </t>
    </r>
  </si>
  <si>
    <r>
      <t>T</t>
    </r>
    <r>
      <rPr>
        <vertAlign val="subscript"/>
        <sz val="10"/>
        <rFont val="Arial"/>
        <family val="2"/>
      </rPr>
      <t>max</t>
    </r>
    <r>
      <rPr>
        <sz val="12"/>
        <rFont val="Times New Roman"/>
      </rPr>
      <t xml:space="preserve"> = </t>
    </r>
  </si>
  <si>
    <r>
      <t>z</t>
    </r>
    <r>
      <rPr>
        <vertAlign val="subscript"/>
        <sz val="10"/>
        <rFont val="Arial"/>
        <family val="2"/>
      </rPr>
      <t>c</t>
    </r>
    <r>
      <rPr>
        <sz val="12"/>
        <rFont val="Times New Roman"/>
      </rPr>
      <t xml:space="preserve"> = </t>
    </r>
  </si>
  <si>
    <r>
      <t>T</t>
    </r>
    <r>
      <rPr>
        <vertAlign val="subscript"/>
        <sz val="10"/>
        <rFont val="Arial"/>
        <family val="2"/>
      </rPr>
      <t>b</t>
    </r>
    <r>
      <rPr>
        <sz val="12"/>
        <rFont val="Times New Roman"/>
      </rPr>
      <t xml:space="preserve"> = </t>
    </r>
  </si>
  <si>
    <r>
      <t>w</t>
    </r>
    <r>
      <rPr>
        <sz val="12"/>
        <rFont val="Times New Roman"/>
      </rPr>
      <t xml:space="preserve"> = </t>
    </r>
  </si>
  <si>
    <t>The procedure is as follows:</t>
  </si>
  <si>
    <t>Enter the component data in Columns B and F on the Sheet T = Tb (Fields in brown)</t>
  </si>
  <si>
    <t xml:space="preserve">The vapour pressure data and critical properties are obtained from: </t>
  </si>
  <si>
    <t xml:space="preserve">Note that the data is automatically copied to other sheets </t>
  </si>
  <si>
    <t>Note that the Sheet T = Tb is the control sheet.</t>
  </si>
  <si>
    <t>Run "Solve all sheets on Sheet T = Tb</t>
  </si>
  <si>
    <t>Check that convergence was achieved on all Tx sheets</t>
  </si>
  <si>
    <t>If not, then optimize manually by the following process:</t>
  </si>
  <si>
    <t>Use starting values for ac for the Sheet Tx under consideration (Column P on Sheet T = Tb)</t>
  </si>
  <si>
    <t xml:space="preserve">Minimize, using Solver, the errors in the liquid and vapour molar volumes: </t>
  </si>
  <si>
    <t>Set D 15 to zero by changing B15</t>
  </si>
  <si>
    <t>Set D 16 to zero by changing B16</t>
  </si>
  <si>
    <t>Minimize the integration error (Cell E13) by changing ac (Cell B12)</t>
  </si>
  <si>
    <t>Repeat this process until convergence is achieved</t>
  </si>
  <si>
    <t>Check Sheet a = a(T) and compare the performance of the Adachi-Lu and Soave Temperature correlations</t>
  </si>
  <si>
    <t>The sheet Pvap shows how well the EOS (with only one adjustable parameter!) fits the vapour pressure data</t>
  </si>
  <si>
    <t>Note that this sheet uses the EOS to calculate the prssure for a given temperature using the Adachi-Lu function for a = a(T)</t>
  </si>
  <si>
    <t>Other Sheets show:</t>
  </si>
  <si>
    <t>The predicted vapour-liquid phase diagram</t>
  </si>
  <si>
    <t>Comparison of predicted liquid volumes using EOS and Rackett equation</t>
  </si>
  <si>
    <t>Comparison of predicted second virial coefficient with experimental data</t>
  </si>
  <si>
    <t>This programme fits the Clausius type EOS to vapour pressure data</t>
  </si>
  <si>
    <r>
      <t>Reid, R. C., Prausnitz, J. M., &amp; Poling, B. E. (2001) The Properties of Gases and Liquids. McGraw-Hill, 5</t>
    </r>
    <r>
      <rPr>
        <vertAlign val="superscript"/>
        <sz val="12"/>
        <rFont val="Times New Roman"/>
        <family val="1"/>
      </rPr>
      <t>th</t>
    </r>
    <r>
      <rPr>
        <sz val="12"/>
        <rFont val="Times New Roman"/>
        <family val="1"/>
      </rPr>
      <t xml:space="preserve"> Ed., New York</t>
    </r>
  </si>
  <si>
    <t>?</t>
  </si>
  <si>
    <t>.</t>
  </si>
  <si>
    <t>Cyclohexane</t>
  </si>
  <si>
    <t xml:space="preserve">x = </t>
  </si>
  <si>
    <t xml:space="preserve">VP E = </t>
  </si>
  <si>
    <t xml:space="preserve">VP F = </t>
  </si>
  <si>
    <r>
      <t>VP t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 xml:space="preserve"> = </t>
    </r>
  </si>
  <si>
    <t xml:space="preserve">VP n = 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</si>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</sst>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4" formatCode="0.0000"/>
    <numFmt numFmtId="175" formatCode="0.000"/>
    <numFmt numFmtId="176" formatCode="0.00000"/>
    <numFmt numFmtId="177" formatCode="0.0"/>
    <numFmt numFmtId="184" formatCode="0.00000E+00"/>
    <numFmt numFmtId="185" formatCode="0.0E+00"/>
  </numFmts>
  <fonts count="49" x14ac:knownFonts="1">
    <font>
      <sz val="12"/>
      <name val="Times New Roman"/>
    </font>
    <font>
      <sz val="10"/>
      <name val="Times New Roman"/>
      <family val="1"/>
    </font>
    <font>
      <vertAlign val="subscript"/>
      <sz val="10"/>
      <name val="Times New Roman"/>
      <family val="1"/>
    </font>
    <font>
      <sz val="10"/>
      <name val="Arial"/>
      <family val="2"/>
    </font>
    <font>
      <sz val="14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0"/>
      <name val="Script MT Bold"/>
      <family val="4"/>
    </font>
    <font>
      <sz val="10"/>
      <name val="Symbol"/>
      <family val="1"/>
      <charset val="2"/>
    </font>
    <font>
      <vertAlign val="superscript"/>
      <sz val="14"/>
      <name val="Arial"/>
      <family val="2"/>
    </font>
    <font>
      <vertAlign val="subscript"/>
      <sz val="14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i/>
      <sz val="12"/>
      <name val="Times New Roman"/>
      <family val="1"/>
    </font>
    <font>
      <b/>
      <sz val="14"/>
      <name val="Arial"/>
      <family val="2"/>
    </font>
    <font>
      <b/>
      <sz val="12"/>
      <color indexed="14"/>
      <name val="Arial"/>
      <family val="2"/>
    </font>
    <font>
      <b/>
      <sz val="14"/>
      <color indexed="14"/>
      <name val="Arial"/>
      <family val="2"/>
    </font>
    <font>
      <b/>
      <i/>
      <sz val="10"/>
      <name val="Times New Roman"/>
      <family val="1"/>
    </font>
    <font>
      <b/>
      <vertAlign val="subscript"/>
      <sz val="10"/>
      <name val="Times New Roman"/>
      <family val="1"/>
    </font>
    <font>
      <b/>
      <sz val="10"/>
      <name val="Times New Roman"/>
      <family val="1"/>
    </font>
    <font>
      <b/>
      <sz val="12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14"/>
      <name val="Arial"/>
      <family val="2"/>
    </font>
    <font>
      <i/>
      <sz val="10"/>
      <name val="Script MT Bold"/>
      <family val="4"/>
    </font>
    <font>
      <i/>
      <vertAlign val="subscript"/>
      <sz val="14"/>
      <name val="Bookman Old Style"/>
      <family val="1"/>
    </font>
    <font>
      <i/>
      <sz val="14"/>
      <name val="Bookman Old Style"/>
      <family val="1"/>
    </font>
    <font>
      <i/>
      <vertAlign val="superscript"/>
      <sz val="14"/>
      <name val="Bookman Old Style"/>
      <family val="1"/>
    </font>
    <font>
      <i/>
      <sz val="10"/>
      <name val="Times New Roman"/>
      <family val="1"/>
    </font>
    <font>
      <sz val="10"/>
      <name val="MT Extra"/>
      <family val="1"/>
      <charset val="2"/>
    </font>
    <font>
      <vertAlign val="subscript"/>
      <sz val="12"/>
      <name val="Times New Roman"/>
      <family val="1"/>
    </font>
    <font>
      <sz val="12"/>
      <name val="Times New Roman"/>
      <family val="1"/>
    </font>
    <font>
      <vertAlign val="superscript"/>
      <sz val="10"/>
      <name val="Times New Roman"/>
      <family val="1"/>
    </font>
    <font>
      <i/>
      <sz val="12"/>
      <name val="Times New Roman"/>
      <family val="1"/>
    </font>
    <font>
      <sz val="12"/>
      <name val="MT Extra"/>
      <family val="1"/>
      <charset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b/>
      <sz val="10"/>
      <color indexed="16"/>
      <name val="Times New Roman"/>
      <family val="1"/>
    </font>
    <font>
      <b/>
      <i/>
      <sz val="10"/>
      <color indexed="16"/>
      <name val="Times New Roman"/>
      <family val="1"/>
    </font>
    <font>
      <b/>
      <sz val="10"/>
      <color indexed="16"/>
      <name val="Arial"/>
      <family val="2"/>
    </font>
    <font>
      <b/>
      <i/>
      <sz val="10"/>
      <name val="Arial"/>
      <family val="2"/>
    </font>
    <font>
      <b/>
      <sz val="12"/>
      <color indexed="10"/>
      <name val="Times New Roman"/>
      <family val="1"/>
    </font>
    <font>
      <b/>
      <sz val="8"/>
      <color indexed="81"/>
      <name val="Tahoma"/>
      <family val="2"/>
    </font>
    <font>
      <vertAlign val="superscript"/>
      <sz val="12"/>
      <name val="Times New Roman"/>
      <family val="1"/>
    </font>
    <font>
      <sz val="9"/>
      <name val="Arial"/>
      <family val="2"/>
    </font>
    <font>
      <b/>
      <sz val="9"/>
      <color indexed="10"/>
      <name val="Arial"/>
      <family val="2"/>
    </font>
    <font>
      <sz val="24"/>
      <name val="Arial"/>
      <family val="2"/>
    </font>
    <font>
      <b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3" fillId="0" borderId="0"/>
  </cellStyleXfs>
  <cellXfs count="340">
    <xf numFmtId="0" fontId="0" fillId="0" borderId="0" xfId="0"/>
    <xf numFmtId="0" fontId="4" fillId="0" borderId="0" xfId="3" applyFont="1"/>
    <xf numFmtId="0" fontId="3" fillId="0" borderId="0" xfId="3"/>
    <xf numFmtId="49" fontId="3" fillId="0" borderId="0" xfId="3" applyNumberFormat="1" applyAlignment="1">
      <alignment horizontal="right"/>
    </xf>
    <xf numFmtId="0" fontId="3" fillId="0" borderId="0" xfId="3" applyAlignment="1">
      <alignment horizontal="right"/>
    </xf>
    <xf numFmtId="0" fontId="3" fillId="0" borderId="0" xfId="3" applyAlignment="1">
      <alignment horizontal="center"/>
    </xf>
    <xf numFmtId="11" fontId="3" fillId="0" borderId="0" xfId="3" applyNumberFormat="1"/>
    <xf numFmtId="175" fontId="3" fillId="0" borderId="0" xfId="3" applyNumberFormat="1" applyAlignment="1">
      <alignment horizontal="center"/>
    </xf>
    <xf numFmtId="0" fontId="8" fillId="0" borderId="0" xfId="3" applyFont="1"/>
    <xf numFmtId="0" fontId="9" fillId="0" borderId="0" xfId="3" applyFont="1" applyAlignment="1">
      <alignment horizontal="right"/>
    </xf>
    <xf numFmtId="0" fontId="12" fillId="0" borderId="0" xfId="3" applyFont="1" applyAlignment="1">
      <alignment horizontal="left"/>
    </xf>
    <xf numFmtId="11" fontId="12" fillId="0" borderId="0" xfId="3" applyNumberFormat="1" applyFont="1"/>
    <xf numFmtId="1" fontId="3" fillId="0" borderId="0" xfId="3" applyNumberFormat="1" applyAlignment="1">
      <alignment horizontal="center"/>
    </xf>
    <xf numFmtId="0" fontId="14" fillId="0" borderId="0" xfId="3" applyFont="1" applyAlignment="1">
      <alignment horizontal="right"/>
    </xf>
    <xf numFmtId="1" fontId="6" fillId="0" borderId="0" xfId="3" applyNumberFormat="1" applyFont="1" applyAlignment="1">
      <alignment horizontal="center"/>
    </xf>
    <xf numFmtId="0" fontId="12" fillId="0" borderId="0" xfId="3" applyFont="1"/>
    <xf numFmtId="0" fontId="15" fillId="0" borderId="0" xfId="3" applyFont="1" applyAlignment="1">
      <alignment horizontal="right"/>
    </xf>
    <xf numFmtId="2" fontId="3" fillId="0" borderId="0" xfId="3" applyNumberFormat="1" applyAlignment="1">
      <alignment horizontal="center"/>
    </xf>
    <xf numFmtId="2" fontId="3" fillId="0" borderId="0" xfId="3" applyNumberFormat="1"/>
    <xf numFmtId="1" fontId="16" fillId="0" borderId="0" xfId="3" applyNumberFormat="1" applyFont="1" applyAlignment="1">
      <alignment horizontal="center"/>
    </xf>
    <xf numFmtId="1" fontId="17" fillId="0" borderId="0" xfId="3" applyNumberFormat="1" applyFont="1" applyAlignment="1">
      <alignment horizontal="center"/>
    </xf>
    <xf numFmtId="1" fontId="3" fillId="0" borderId="0" xfId="3" applyNumberFormat="1"/>
    <xf numFmtId="0" fontId="18" fillId="0" borderId="0" xfId="3" applyFont="1" applyAlignment="1">
      <alignment horizontal="right"/>
    </xf>
    <xf numFmtId="175" fontId="21" fillId="0" borderId="0" xfId="3" applyNumberFormat="1" applyFont="1" applyAlignment="1">
      <alignment horizontal="center"/>
    </xf>
    <xf numFmtId="0" fontId="6" fillId="0" borderId="0" xfId="3" applyFont="1" applyAlignment="1">
      <alignment horizontal="right"/>
    </xf>
    <xf numFmtId="1" fontId="21" fillId="0" borderId="0" xfId="3" applyNumberFormat="1" applyFont="1" applyAlignment="1">
      <alignment horizontal="center"/>
    </xf>
    <xf numFmtId="175" fontId="22" fillId="0" borderId="0" xfId="3" applyNumberFormat="1" applyFont="1" applyAlignment="1">
      <alignment horizontal="center"/>
    </xf>
    <xf numFmtId="0" fontId="12" fillId="0" borderId="0" xfId="3" applyFont="1" applyAlignment="1">
      <alignment horizontal="right"/>
    </xf>
    <xf numFmtId="177" fontId="12" fillId="0" borderId="0" xfId="3" applyNumberFormat="1" applyFont="1" applyAlignment="1">
      <alignment horizontal="center"/>
    </xf>
    <xf numFmtId="1" fontId="22" fillId="0" borderId="0" xfId="3" applyNumberFormat="1" applyFont="1" applyAlignment="1">
      <alignment horizontal="center"/>
    </xf>
    <xf numFmtId="0" fontId="18" fillId="0" borderId="0" xfId="3" applyFont="1" applyAlignment="1">
      <alignment horizontal="center"/>
    </xf>
    <xf numFmtId="0" fontId="3" fillId="0" borderId="0" xfId="3" applyBorder="1" applyAlignment="1">
      <alignment horizontal="right"/>
    </xf>
    <xf numFmtId="2" fontId="3" fillId="0" borderId="0" xfId="3" applyNumberFormat="1" applyBorder="1" applyAlignment="1">
      <alignment horizontal="center"/>
    </xf>
    <xf numFmtId="1" fontId="3" fillId="0" borderId="0" xfId="3" applyNumberFormat="1" applyBorder="1"/>
    <xf numFmtId="0" fontId="3" fillId="0" borderId="0" xfId="3" applyBorder="1"/>
    <xf numFmtId="2" fontId="3" fillId="0" borderId="0" xfId="3" applyNumberFormat="1" applyBorder="1"/>
    <xf numFmtId="176" fontId="3" fillId="0" borderId="0" xfId="3" applyNumberFormat="1" applyBorder="1"/>
    <xf numFmtId="176" fontId="3" fillId="0" borderId="0" xfId="3" applyNumberFormat="1"/>
    <xf numFmtId="174" fontId="23" fillId="0" borderId="0" xfId="3" applyNumberFormat="1" applyFont="1" applyAlignment="1">
      <alignment horizontal="center"/>
    </xf>
    <xf numFmtId="2" fontId="21" fillId="0" borderId="0" xfId="3" applyNumberFormat="1" applyFont="1" applyAlignment="1">
      <alignment horizontal="center"/>
    </xf>
    <xf numFmtId="175" fontId="12" fillId="0" borderId="0" xfId="3" applyNumberFormat="1" applyFont="1" applyAlignment="1">
      <alignment horizontal="center"/>
    </xf>
    <xf numFmtId="174" fontId="3" fillId="0" borderId="0" xfId="3" applyNumberFormat="1" applyAlignment="1">
      <alignment horizontal="center"/>
    </xf>
    <xf numFmtId="1" fontId="3" fillId="0" borderId="0" xfId="3" applyNumberFormat="1" applyBorder="1" applyAlignment="1">
      <alignment horizontal="center"/>
    </xf>
    <xf numFmtId="0" fontId="3" fillId="0" borderId="0" xfId="3" applyBorder="1" applyAlignment="1">
      <alignment horizontal="center"/>
    </xf>
    <xf numFmtId="2" fontId="22" fillId="0" borderId="0" xfId="3" applyNumberFormat="1" applyFont="1" applyAlignment="1">
      <alignment horizontal="center"/>
    </xf>
    <xf numFmtId="49" fontId="3" fillId="0" borderId="0" xfId="3" applyNumberFormat="1" applyBorder="1" applyAlignment="1">
      <alignment horizontal="right"/>
    </xf>
    <xf numFmtId="0" fontId="24" fillId="0" borderId="0" xfId="3" applyFont="1"/>
    <xf numFmtId="0" fontId="26" fillId="0" borderId="0" xfId="3" applyFont="1"/>
    <xf numFmtId="0" fontId="3" fillId="0" borderId="1" xfId="3" applyBorder="1"/>
    <xf numFmtId="0" fontId="26" fillId="0" borderId="2" xfId="3" applyFont="1" applyBorder="1"/>
    <xf numFmtId="0" fontId="3" fillId="0" borderId="2" xfId="3" applyBorder="1"/>
    <xf numFmtId="0" fontId="3" fillId="0" borderId="3" xfId="3" applyBorder="1"/>
    <xf numFmtId="0" fontId="3" fillId="0" borderId="4" xfId="3" applyBorder="1" applyAlignment="1">
      <alignment horizontal="right"/>
    </xf>
    <xf numFmtId="174" fontId="3" fillId="0" borderId="5" xfId="3" applyNumberFormat="1" applyBorder="1"/>
    <xf numFmtId="0" fontId="3" fillId="0" borderId="5" xfId="3" applyBorder="1" applyAlignment="1">
      <alignment horizontal="right"/>
    </xf>
    <xf numFmtId="2" fontId="3" fillId="0" borderId="5" xfId="3" applyNumberFormat="1" applyBorder="1" applyAlignment="1">
      <alignment horizontal="center"/>
    </xf>
    <xf numFmtId="0" fontId="3" fillId="0" borderId="6" xfId="3" applyBorder="1" applyAlignment="1">
      <alignment horizontal="right"/>
    </xf>
    <xf numFmtId="2" fontId="3" fillId="0" borderId="7" xfId="3" applyNumberFormat="1" applyBorder="1" applyAlignment="1">
      <alignment horizontal="center"/>
    </xf>
    <xf numFmtId="0" fontId="3" fillId="0" borderId="8" xfId="3" applyBorder="1" applyAlignment="1">
      <alignment horizontal="right"/>
    </xf>
    <xf numFmtId="0" fontId="3" fillId="0" borderId="9" xfId="3" applyBorder="1" applyAlignment="1">
      <alignment horizontal="right"/>
    </xf>
    <xf numFmtId="2" fontId="3" fillId="0" borderId="10" xfId="3" applyNumberFormat="1" applyBorder="1" applyAlignment="1">
      <alignment horizontal="center"/>
    </xf>
    <xf numFmtId="0" fontId="3" fillId="0" borderId="8" xfId="3" applyBorder="1"/>
    <xf numFmtId="0" fontId="3" fillId="0" borderId="9" xfId="3" applyBorder="1"/>
    <xf numFmtId="0" fontId="1" fillId="0" borderId="0" xfId="3" applyFont="1"/>
    <xf numFmtId="0" fontId="1" fillId="0" borderId="0" xfId="3" applyFont="1" applyAlignment="1">
      <alignment horizontal="center"/>
    </xf>
    <xf numFmtId="0" fontId="28" fillId="0" borderId="0" xfId="3" applyFont="1" applyBorder="1" applyAlignment="1">
      <alignment horizontal="center"/>
    </xf>
    <xf numFmtId="0" fontId="29" fillId="0" borderId="0" xfId="3" applyFont="1" applyBorder="1" applyAlignment="1">
      <alignment horizontal="center"/>
    </xf>
    <xf numFmtId="0" fontId="31" fillId="0" borderId="8" xfId="3" applyFont="1" applyBorder="1" applyAlignment="1">
      <alignment horizontal="center"/>
    </xf>
    <xf numFmtId="0" fontId="1" fillId="0" borderId="0" xfId="3" applyFont="1" applyBorder="1" applyAlignment="1">
      <alignment horizontal="center"/>
    </xf>
    <xf numFmtId="0" fontId="26" fillId="0" borderId="9" xfId="3" applyFont="1" applyBorder="1"/>
    <xf numFmtId="0" fontId="1" fillId="0" borderId="10" xfId="3" applyFont="1" applyBorder="1" applyAlignment="1">
      <alignment horizontal="center"/>
    </xf>
    <xf numFmtId="0" fontId="3" fillId="0" borderId="10" xfId="3" applyBorder="1"/>
    <xf numFmtId="177" fontId="3" fillId="0" borderId="0" xfId="3" applyNumberFormat="1" applyAlignment="1">
      <alignment horizontal="center"/>
    </xf>
    <xf numFmtId="0" fontId="12" fillId="0" borderId="0" xfId="3" applyFont="1" applyAlignment="1">
      <alignment horizontal="center"/>
    </xf>
    <xf numFmtId="2" fontId="6" fillId="0" borderId="0" xfId="3" applyNumberFormat="1" applyFont="1" applyBorder="1" applyAlignment="1">
      <alignment horizontal="center"/>
    </xf>
    <xf numFmtId="174" fontId="3" fillId="0" borderId="0" xfId="3" applyNumberFormat="1" applyBorder="1" applyAlignment="1">
      <alignment horizontal="center"/>
    </xf>
    <xf numFmtId="175" fontId="3" fillId="0" borderId="0" xfId="3" applyNumberFormat="1" applyBorder="1" applyAlignment="1">
      <alignment horizontal="center"/>
    </xf>
    <xf numFmtId="174" fontId="3" fillId="0" borderId="10" xfId="3" applyNumberFormat="1" applyBorder="1" applyAlignment="1">
      <alignment horizontal="center"/>
    </xf>
    <xf numFmtId="0" fontId="3" fillId="0" borderId="11" xfId="3" applyBorder="1"/>
    <xf numFmtId="0" fontId="3" fillId="0" borderId="12" xfId="3" applyBorder="1"/>
    <xf numFmtId="1" fontId="3" fillId="0" borderId="12" xfId="3" applyNumberFormat="1" applyBorder="1" applyAlignment="1">
      <alignment horizontal="center"/>
    </xf>
    <xf numFmtId="174" fontId="12" fillId="0" borderId="12" xfId="3" applyNumberFormat="1" applyFont="1" applyBorder="1" applyAlignment="1">
      <alignment horizontal="center"/>
    </xf>
    <xf numFmtId="0" fontId="3" fillId="0" borderId="13" xfId="3" applyBorder="1"/>
    <xf numFmtId="175" fontId="3" fillId="0" borderId="14" xfId="3" applyNumberFormat="1" applyBorder="1" applyAlignment="1">
      <alignment horizontal="center"/>
    </xf>
    <xf numFmtId="1" fontId="3" fillId="0" borderId="14" xfId="3" applyNumberFormat="1" applyBorder="1" applyAlignment="1">
      <alignment horizontal="center"/>
    </xf>
    <xf numFmtId="0" fontId="3" fillId="0" borderId="14" xfId="3" applyBorder="1"/>
    <xf numFmtId="174" fontId="12" fillId="0" borderId="14" xfId="3" applyNumberFormat="1" applyFont="1" applyBorder="1" applyAlignment="1">
      <alignment horizontal="center"/>
    </xf>
    <xf numFmtId="174" fontId="12" fillId="0" borderId="15" xfId="3" applyNumberFormat="1" applyFont="1" applyBorder="1" applyAlignment="1">
      <alignment horizontal="center"/>
    </xf>
    <xf numFmtId="2" fontId="12" fillId="0" borderId="0" xfId="3" applyNumberFormat="1" applyFont="1" applyAlignment="1">
      <alignment horizontal="center"/>
    </xf>
    <xf numFmtId="174" fontId="12" fillId="0" borderId="0" xfId="3" applyNumberFormat="1" applyFont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8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1" fontId="12" fillId="0" borderId="0" xfId="3" applyNumberFormat="1" applyFont="1" applyAlignment="1">
      <alignment horizontal="center"/>
    </xf>
    <xf numFmtId="177" fontId="3" fillId="0" borderId="0" xfId="3" applyNumberFormat="1"/>
    <xf numFmtId="2" fontId="6" fillId="0" borderId="0" xfId="3" applyNumberFormat="1" applyFont="1" applyAlignment="1">
      <alignment horizontal="center"/>
    </xf>
    <xf numFmtId="174" fontId="3" fillId="0" borderId="0" xfId="3" applyNumberFormat="1" applyBorder="1"/>
    <xf numFmtId="0" fontId="26" fillId="0" borderId="0" xfId="3" applyFont="1" applyBorder="1"/>
    <xf numFmtId="0" fontId="3" fillId="0" borderId="4" xfId="3" applyBorder="1"/>
    <xf numFmtId="0" fontId="3" fillId="0" borderId="5" xfId="3" applyBorder="1"/>
    <xf numFmtId="0" fontId="1" fillId="0" borderId="5" xfId="3" applyFont="1" applyBorder="1"/>
    <xf numFmtId="0" fontId="31" fillId="0" borderId="9" xfId="3" applyFont="1" applyBorder="1" applyAlignment="1">
      <alignment horizontal="center"/>
    </xf>
    <xf numFmtId="0" fontId="34" fillId="0" borderId="0" xfId="3" applyFont="1" applyBorder="1" applyAlignment="1">
      <alignment horizontal="center"/>
    </xf>
    <xf numFmtId="0" fontId="33" fillId="0" borderId="0" xfId="3" applyFont="1" applyBorder="1" applyAlignment="1">
      <alignment horizontal="center"/>
    </xf>
    <xf numFmtId="0" fontId="33" fillId="0" borderId="9" xfId="3" applyFont="1" applyBorder="1" applyAlignment="1">
      <alignment horizontal="center"/>
    </xf>
    <xf numFmtId="0" fontId="31" fillId="0" borderId="0" xfId="3" applyFont="1" applyBorder="1" applyAlignment="1">
      <alignment horizontal="center"/>
    </xf>
    <xf numFmtId="1" fontId="12" fillId="0" borderId="0" xfId="3" applyNumberFormat="1" applyFont="1" applyBorder="1" applyAlignment="1">
      <alignment horizontal="center"/>
    </xf>
    <xf numFmtId="177" fontId="3" fillId="0" borderId="0" xfId="3" applyNumberFormat="1" applyBorder="1" applyAlignment="1">
      <alignment horizontal="center"/>
    </xf>
    <xf numFmtId="1" fontId="12" fillId="0" borderId="0" xfId="3" applyNumberFormat="1" applyFont="1" applyBorder="1"/>
    <xf numFmtId="174" fontId="12" fillId="0" borderId="0" xfId="3" applyNumberFormat="1" applyFont="1" applyBorder="1" applyAlignment="1">
      <alignment horizontal="center"/>
    </xf>
    <xf numFmtId="175" fontId="3" fillId="0" borderId="0" xfId="3" applyNumberFormat="1"/>
    <xf numFmtId="0" fontId="3" fillId="0" borderId="0" xfId="2"/>
    <xf numFmtId="49" fontId="3" fillId="0" borderId="0" xfId="2" applyNumberFormat="1" applyAlignment="1">
      <alignment horizontal="right"/>
    </xf>
    <xf numFmtId="2" fontId="3" fillId="0" borderId="0" xfId="2" applyNumberFormat="1"/>
    <xf numFmtId="0" fontId="3" fillId="0" borderId="0" xfId="2" applyAlignment="1">
      <alignment horizontal="right"/>
    </xf>
    <xf numFmtId="0" fontId="26" fillId="0" borderId="0" xfId="2" applyFont="1"/>
    <xf numFmtId="0" fontId="39" fillId="0" borderId="0" xfId="2" applyFont="1" applyAlignment="1">
      <alignment horizontal="right"/>
    </xf>
    <xf numFmtId="175" fontId="40" fillId="0" borderId="0" xfId="2" applyNumberFormat="1" applyFont="1" applyAlignment="1">
      <alignment horizontal="left"/>
    </xf>
    <xf numFmtId="11" fontId="3" fillId="0" borderId="0" xfId="2" applyNumberFormat="1"/>
    <xf numFmtId="11" fontId="3" fillId="0" borderId="0" xfId="2" applyNumberFormat="1" applyAlignment="1">
      <alignment horizontal="center"/>
    </xf>
    <xf numFmtId="0" fontId="14" fillId="0" borderId="0" xfId="2" applyFont="1" applyAlignment="1">
      <alignment horizontal="left"/>
    </xf>
    <xf numFmtId="175" fontId="3" fillId="0" borderId="0" xfId="2" applyNumberFormat="1" applyAlignment="1">
      <alignment horizontal="center"/>
    </xf>
    <xf numFmtId="177" fontId="3" fillId="0" borderId="0" xfId="2" applyNumberFormat="1" applyAlignment="1">
      <alignment horizontal="center"/>
    </xf>
    <xf numFmtId="1" fontId="3" fillId="0" borderId="0" xfId="2" applyNumberFormat="1" applyAlignment="1">
      <alignment horizontal="center"/>
    </xf>
    <xf numFmtId="0" fontId="8" fillId="0" borderId="0" xfId="2" applyFont="1"/>
    <xf numFmtId="0" fontId="12" fillId="0" borderId="0" xfId="2" applyFont="1" applyAlignment="1">
      <alignment horizontal="left"/>
    </xf>
    <xf numFmtId="0" fontId="3" fillId="0" borderId="0" xfId="2" applyAlignment="1">
      <alignment horizontal="left"/>
    </xf>
    <xf numFmtId="0" fontId="14" fillId="0" borderId="0" xfId="2" applyFont="1" applyAlignment="1">
      <alignment horizontal="right"/>
    </xf>
    <xf numFmtId="1" fontId="6" fillId="0" borderId="0" xfId="2" applyNumberFormat="1" applyFont="1" applyAlignment="1">
      <alignment horizontal="center"/>
    </xf>
    <xf numFmtId="0" fontId="12" fillId="0" borderId="0" xfId="2" applyFont="1"/>
    <xf numFmtId="0" fontId="15" fillId="0" borderId="0" xfId="2" applyFont="1" applyAlignment="1">
      <alignment horizontal="right"/>
    </xf>
    <xf numFmtId="2" fontId="3" fillId="0" borderId="0" xfId="2" applyNumberFormat="1" applyAlignment="1">
      <alignment horizontal="center"/>
    </xf>
    <xf numFmtId="1" fontId="16" fillId="0" borderId="0" xfId="2" applyNumberFormat="1" applyFont="1" applyAlignment="1">
      <alignment horizontal="center"/>
    </xf>
    <xf numFmtId="1" fontId="3" fillId="0" borderId="0" xfId="2" applyNumberFormat="1"/>
    <xf numFmtId="0" fontId="18" fillId="0" borderId="0" xfId="2" applyFont="1" applyAlignment="1">
      <alignment horizontal="right"/>
    </xf>
    <xf numFmtId="175" fontId="21" fillId="0" borderId="0" xfId="2" applyNumberFormat="1" applyFont="1" applyAlignment="1">
      <alignment horizontal="center"/>
    </xf>
    <xf numFmtId="1" fontId="21" fillId="0" borderId="0" xfId="2" applyNumberFormat="1" applyFont="1" applyAlignment="1">
      <alignment horizontal="center"/>
    </xf>
    <xf numFmtId="175" fontId="22" fillId="0" borderId="0" xfId="2" applyNumberFormat="1" applyFont="1" applyAlignment="1">
      <alignment horizontal="center"/>
    </xf>
    <xf numFmtId="0" fontId="12" fillId="0" borderId="0" xfId="2" applyFont="1" applyAlignment="1">
      <alignment horizontal="right"/>
    </xf>
    <xf numFmtId="1" fontId="22" fillId="0" borderId="0" xfId="2" applyNumberFormat="1" applyFont="1" applyAlignment="1">
      <alignment horizontal="center"/>
    </xf>
    <xf numFmtId="0" fontId="3" fillId="0" borderId="0" xfId="2" applyAlignment="1">
      <alignment horizontal="center"/>
    </xf>
    <xf numFmtId="176" fontId="3" fillId="0" borderId="0" xfId="2" applyNumberFormat="1"/>
    <xf numFmtId="0" fontId="15" fillId="0" borderId="0" xfId="2" applyFont="1"/>
    <xf numFmtId="0" fontId="3" fillId="0" borderId="0" xfId="2" applyFill="1"/>
    <xf numFmtId="1" fontId="17" fillId="2" borderId="0" xfId="2" applyNumberFormat="1" applyFont="1" applyFill="1" applyAlignment="1">
      <alignment horizontal="center"/>
    </xf>
    <xf numFmtId="0" fontId="18" fillId="2" borderId="0" xfId="2" applyFont="1" applyFill="1" applyAlignment="1">
      <alignment horizontal="right"/>
    </xf>
    <xf numFmtId="177" fontId="12" fillId="0" borderId="0" xfId="2" applyNumberFormat="1" applyFont="1" applyFill="1" applyAlignment="1">
      <alignment horizontal="center"/>
    </xf>
    <xf numFmtId="0" fontId="41" fillId="2" borderId="0" xfId="1" applyFont="1" applyFill="1" applyAlignment="1">
      <alignment horizontal="right"/>
    </xf>
    <xf numFmtId="0" fontId="3" fillId="2" borderId="0" xfId="1" applyFill="1"/>
    <xf numFmtId="0" fontId="3" fillId="0" borderId="0" xfId="2" applyFont="1"/>
    <xf numFmtId="1" fontId="3" fillId="0" borderId="0" xfId="3" quotePrefix="1" applyNumberFormat="1" applyFont="1" applyAlignment="1">
      <alignment horizontal="center"/>
    </xf>
    <xf numFmtId="0" fontId="18" fillId="2" borderId="0" xfId="3" applyFont="1" applyFill="1" applyAlignment="1">
      <alignment horizontal="right"/>
    </xf>
    <xf numFmtId="0" fontId="3" fillId="2" borderId="0" xfId="3" applyFill="1"/>
    <xf numFmtId="1" fontId="23" fillId="0" borderId="0" xfId="3" applyNumberFormat="1" applyFont="1" applyAlignment="1">
      <alignment horizontal="center"/>
    </xf>
    <xf numFmtId="174" fontId="6" fillId="0" borderId="0" xfId="3" applyNumberFormat="1" applyFont="1" applyAlignment="1">
      <alignment horizontal="center"/>
    </xf>
    <xf numFmtId="0" fontId="3" fillId="0" borderId="0" xfId="3" applyFont="1"/>
    <xf numFmtId="0" fontId="3" fillId="0" borderId="16" xfId="3" applyBorder="1"/>
    <xf numFmtId="0" fontId="3" fillId="0" borderId="17" xfId="3" applyBorder="1"/>
    <xf numFmtId="0" fontId="1" fillId="0" borderId="8" xfId="3" applyFont="1" applyBorder="1" applyAlignment="1">
      <alignment horizontal="right"/>
    </xf>
    <xf numFmtId="0" fontId="18" fillId="0" borderId="17" xfId="3" applyFont="1" applyBorder="1" applyAlignment="1">
      <alignment horizontal="center"/>
    </xf>
    <xf numFmtId="0" fontId="12" fillId="0" borderId="0" xfId="3" applyFont="1" applyBorder="1" applyAlignment="1">
      <alignment horizontal="center"/>
    </xf>
    <xf numFmtId="0" fontId="3" fillId="0" borderId="18" xfId="3" applyBorder="1"/>
    <xf numFmtId="0" fontId="15" fillId="0" borderId="0" xfId="3" applyFont="1"/>
    <xf numFmtId="0" fontId="3" fillId="0" borderId="0" xfId="1" applyBorder="1"/>
    <xf numFmtId="0" fontId="3" fillId="0" borderId="0" xfId="1" applyBorder="1" applyAlignment="1">
      <alignment horizontal="right"/>
    </xf>
    <xf numFmtId="1" fontId="3" fillId="0" borderId="0" xfId="1" applyNumberFormat="1" applyBorder="1" applyAlignment="1">
      <alignment horizontal="center"/>
    </xf>
    <xf numFmtId="1" fontId="3" fillId="0" borderId="0" xfId="1" applyNumberFormat="1" applyBorder="1"/>
    <xf numFmtId="0" fontId="3" fillId="0" borderId="0" xfId="1" applyFill="1" applyBorder="1"/>
    <xf numFmtId="0" fontId="3" fillId="0" borderId="8" xfId="1" applyBorder="1"/>
    <xf numFmtId="0" fontId="12" fillId="0" borderId="0" xfId="1" applyFont="1" applyBorder="1"/>
    <xf numFmtId="0" fontId="12" fillId="0" borderId="0" xfId="1" applyFont="1"/>
    <xf numFmtId="1" fontId="12" fillId="0" borderId="0" xfId="1" applyNumberFormat="1" applyFont="1"/>
    <xf numFmtId="1" fontId="12" fillId="0" borderId="0" xfId="1" applyNumberFormat="1" applyFont="1" applyAlignment="1">
      <alignment horizontal="center"/>
    </xf>
    <xf numFmtId="0" fontId="1" fillId="0" borderId="0" xfId="3" applyFont="1" applyBorder="1"/>
    <xf numFmtId="0" fontId="20" fillId="0" borderId="0" xfId="3" applyFont="1" applyBorder="1" applyAlignment="1">
      <alignment horizontal="center"/>
    </xf>
    <xf numFmtId="0" fontId="8" fillId="0" borderId="0" xfId="3" applyFont="1" applyBorder="1" applyAlignment="1">
      <alignment horizontal="center"/>
    </xf>
    <xf numFmtId="175" fontId="21" fillId="0" borderId="0" xfId="3" applyNumberFormat="1" applyFont="1" applyBorder="1" applyAlignment="1">
      <alignment horizontal="center"/>
    </xf>
    <xf numFmtId="175" fontId="3" fillId="0" borderId="1" xfId="3" applyNumberFormat="1" applyBorder="1"/>
    <xf numFmtId="175" fontId="3" fillId="0" borderId="2" xfId="3" applyNumberFormat="1" applyBorder="1"/>
    <xf numFmtId="0" fontId="12" fillId="0" borderId="5" xfId="3" applyFont="1" applyBorder="1"/>
    <xf numFmtId="0" fontId="12" fillId="0" borderId="7" xfId="3" applyFont="1" applyBorder="1"/>
    <xf numFmtId="0" fontId="12" fillId="0" borderId="13" xfId="3" applyFont="1" applyBorder="1" applyAlignment="1">
      <alignment horizontal="center"/>
    </xf>
    <xf numFmtId="0" fontId="12" fillId="0" borderId="14" xfId="3" applyFont="1" applyBorder="1" applyAlignment="1">
      <alignment horizontal="center"/>
    </xf>
    <xf numFmtId="0" fontId="12" fillId="0" borderId="15" xfId="3" applyFont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1" fontId="3" fillId="0" borderId="0" xfId="3" applyNumberFormat="1" applyBorder="1" applyAlignment="1">
      <alignment horizontal="right"/>
    </xf>
    <xf numFmtId="1" fontId="3" fillId="0" borderId="0" xfId="1" applyNumberFormat="1" applyBorder="1" applyAlignment="1">
      <alignment horizontal="right"/>
    </xf>
    <xf numFmtId="177" fontId="12" fillId="0" borderId="0" xfId="1" applyNumberFormat="1" applyFont="1" applyBorder="1" applyAlignment="1">
      <alignment horizontal="right"/>
    </xf>
    <xf numFmtId="2" fontId="3" fillId="2" borderId="0" xfId="3" applyNumberFormat="1" applyFill="1" applyAlignment="1">
      <alignment horizontal="center"/>
    </xf>
    <xf numFmtId="174" fontId="3" fillId="2" borderId="0" xfId="3" applyNumberFormat="1" applyFill="1" applyAlignment="1">
      <alignment horizontal="center"/>
    </xf>
    <xf numFmtId="1" fontId="17" fillId="2" borderId="0" xfId="3" applyNumberFormat="1" applyFont="1" applyFill="1" applyAlignment="1">
      <alignment horizontal="center"/>
    </xf>
    <xf numFmtId="0" fontId="3" fillId="0" borderId="0" xfId="3" applyFill="1" applyBorder="1"/>
    <xf numFmtId="0" fontId="3" fillId="0" borderId="0" xfId="3" applyFill="1"/>
    <xf numFmtId="0" fontId="3" fillId="0" borderId="0" xfId="2" applyFont="1" applyBorder="1"/>
    <xf numFmtId="1" fontId="3" fillId="0" borderId="0" xfId="2" applyNumberFormat="1" applyBorder="1"/>
    <xf numFmtId="0" fontId="3" fillId="0" borderId="0" xfId="2" applyBorder="1"/>
    <xf numFmtId="0" fontId="3" fillId="0" borderId="4" xfId="2" applyFont="1" applyBorder="1"/>
    <xf numFmtId="0" fontId="3" fillId="0" borderId="5" xfId="2" applyFont="1" applyBorder="1"/>
    <xf numFmtId="0" fontId="3" fillId="0" borderId="16" xfId="2" applyFont="1" applyBorder="1"/>
    <xf numFmtId="1" fontId="3" fillId="0" borderId="8" xfId="2" applyNumberFormat="1" applyBorder="1"/>
    <xf numFmtId="1" fontId="3" fillId="0" borderId="17" xfId="2" applyNumberFormat="1" applyBorder="1"/>
    <xf numFmtId="0" fontId="3" fillId="0" borderId="17" xfId="2" applyBorder="1"/>
    <xf numFmtId="0" fontId="3" fillId="0" borderId="8" xfId="2" applyFont="1" applyBorder="1"/>
    <xf numFmtId="0" fontId="3" fillId="0" borderId="17" xfId="2" applyFont="1" applyBorder="1"/>
    <xf numFmtId="0" fontId="3" fillId="0" borderId="19" xfId="2" applyFont="1" applyBorder="1"/>
    <xf numFmtId="0" fontId="3" fillId="0" borderId="20" xfId="2" applyFont="1" applyBorder="1"/>
    <xf numFmtId="0" fontId="3" fillId="0" borderId="21" xfId="2" applyFont="1" applyBorder="1"/>
    <xf numFmtId="0" fontId="12" fillId="0" borderId="4" xfId="2" applyFont="1" applyBorder="1"/>
    <xf numFmtId="0" fontId="3" fillId="0" borderId="5" xfId="2" applyBorder="1"/>
    <xf numFmtId="0" fontId="3" fillId="0" borderId="16" xfId="2" applyBorder="1"/>
    <xf numFmtId="0" fontId="3" fillId="0" borderId="11" xfId="2" applyFont="1" applyBorder="1"/>
    <xf numFmtId="0" fontId="3" fillId="0" borderId="12" xfId="2" applyFont="1" applyBorder="1"/>
    <xf numFmtId="0" fontId="3" fillId="0" borderId="18" xfId="2" applyFont="1" applyBorder="1"/>
    <xf numFmtId="0" fontId="3" fillId="0" borderId="2" xfId="3" applyFont="1" applyBorder="1" applyAlignment="1">
      <alignment horizontal="right"/>
    </xf>
    <xf numFmtId="0" fontId="36" fillId="0" borderId="0" xfId="0" applyFont="1"/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0" fontId="3" fillId="0" borderId="0" xfId="3" applyFont="1" applyAlignment="1">
      <alignment horizontal="right"/>
    </xf>
    <xf numFmtId="0" fontId="3" fillId="2" borderId="0" xfId="3" applyFill="1" applyBorder="1"/>
    <xf numFmtId="2" fontId="3" fillId="2" borderId="0" xfId="3" applyNumberFormat="1" applyFill="1" applyBorder="1" applyAlignment="1">
      <alignment horizontal="center"/>
    </xf>
    <xf numFmtId="0" fontId="12" fillId="0" borderId="5" xfId="3" applyFont="1" applyFill="1" applyBorder="1"/>
    <xf numFmtId="175" fontId="3" fillId="0" borderId="0" xfId="3" applyNumberFormat="1" applyFill="1" applyAlignment="1">
      <alignment horizontal="center"/>
    </xf>
    <xf numFmtId="177" fontId="12" fillId="0" borderId="0" xfId="3" applyNumberFormat="1" applyFont="1" applyBorder="1" applyAlignment="1">
      <alignment horizontal="center"/>
    </xf>
    <xf numFmtId="0" fontId="1" fillId="0" borderId="8" xfId="3" applyFont="1" applyBorder="1"/>
    <xf numFmtId="0" fontId="3" fillId="0" borderId="8" xfId="3" applyBorder="1" applyAlignment="1">
      <alignment horizontal="center"/>
    </xf>
    <xf numFmtId="175" fontId="3" fillId="0" borderId="17" xfId="3" applyNumberFormat="1" applyFont="1" applyBorder="1"/>
    <xf numFmtId="175" fontId="3" fillId="0" borderId="17" xfId="3" applyNumberFormat="1" applyBorder="1"/>
    <xf numFmtId="0" fontId="3" fillId="0" borderId="11" xfId="3" applyBorder="1" applyAlignment="1">
      <alignment horizontal="center"/>
    </xf>
    <xf numFmtId="0" fontId="3" fillId="0" borderId="12" xfId="3" applyBorder="1" applyAlignment="1">
      <alignment horizontal="center"/>
    </xf>
    <xf numFmtId="177" fontId="3" fillId="0" borderId="12" xfId="3" applyNumberFormat="1" applyBorder="1" applyAlignment="1">
      <alignment horizontal="center"/>
    </xf>
    <xf numFmtId="175" fontId="3" fillId="0" borderId="12" xfId="3" applyNumberFormat="1" applyBorder="1" applyAlignment="1">
      <alignment horizontal="center"/>
    </xf>
    <xf numFmtId="0" fontId="12" fillId="0" borderId="22" xfId="3" applyFont="1" applyBorder="1" applyAlignment="1">
      <alignment horizontal="right"/>
    </xf>
    <xf numFmtId="0" fontId="1" fillId="0" borderId="23" xfId="3" applyFont="1" applyBorder="1"/>
    <xf numFmtId="0" fontId="18" fillId="0" borderId="23" xfId="3" applyFont="1" applyBorder="1" applyAlignment="1">
      <alignment horizontal="center"/>
    </xf>
    <xf numFmtId="0" fontId="8" fillId="0" borderId="23" xfId="3" applyFont="1" applyBorder="1" applyAlignment="1">
      <alignment horizontal="center"/>
    </xf>
    <xf numFmtId="175" fontId="21" fillId="0" borderId="23" xfId="3" applyNumberFormat="1" applyFont="1" applyBorder="1" applyAlignment="1">
      <alignment horizontal="center"/>
    </xf>
    <xf numFmtId="175" fontId="3" fillId="0" borderId="23" xfId="3" applyNumberFormat="1" applyBorder="1" applyAlignment="1">
      <alignment horizontal="center"/>
    </xf>
    <xf numFmtId="175" fontId="3" fillId="0" borderId="24" xfId="3" applyNumberFormat="1" applyBorder="1" applyAlignment="1">
      <alignment horizontal="center"/>
    </xf>
    <xf numFmtId="0" fontId="12" fillId="0" borderId="22" xfId="3" applyFont="1" applyBorder="1"/>
    <xf numFmtId="0" fontId="3" fillId="0" borderId="5" xfId="3" applyFont="1" applyBorder="1"/>
    <xf numFmtId="0" fontId="12" fillId="0" borderId="17" xfId="3" applyFont="1" applyBorder="1"/>
    <xf numFmtId="0" fontId="3" fillId="0" borderId="0" xfId="3" applyFont="1" applyBorder="1"/>
    <xf numFmtId="0" fontId="35" fillId="0" borderId="0" xfId="3" applyFont="1" applyFill="1" applyBorder="1"/>
    <xf numFmtId="0" fontId="12" fillId="0" borderId="6" xfId="3" applyFont="1" applyFill="1" applyBorder="1"/>
    <xf numFmtId="175" fontId="21" fillId="0" borderId="0" xfId="0" applyNumberFormat="1" applyFont="1" applyAlignment="1">
      <alignment horizontal="center"/>
    </xf>
    <xf numFmtId="2" fontId="3" fillId="0" borderId="0" xfId="3" applyNumberFormat="1" applyFont="1" applyBorder="1" applyAlignment="1">
      <alignment horizontal="center"/>
    </xf>
    <xf numFmtId="0" fontId="3" fillId="0" borderId="0" xfId="3" applyFont="1" applyAlignment="1">
      <alignment horizontal="center"/>
    </xf>
    <xf numFmtId="0" fontId="3" fillId="0" borderId="0" xfId="3" applyFont="1" applyBorder="1" applyAlignment="1">
      <alignment horizontal="right"/>
    </xf>
    <xf numFmtId="175" fontId="22" fillId="3" borderId="0" xfId="3" applyNumberFormat="1" applyFont="1" applyFill="1" applyAlignment="1">
      <alignment horizontal="center"/>
    </xf>
    <xf numFmtId="11" fontId="3" fillId="0" borderId="0" xfId="3" applyNumberFormat="1" applyAlignment="1">
      <alignment horizontal="center"/>
    </xf>
    <xf numFmtId="0" fontId="4" fillId="0" borderId="0" xfId="0" applyFont="1"/>
    <xf numFmtId="0" fontId="37" fillId="0" borderId="0" xfId="0" applyFont="1"/>
    <xf numFmtId="0" fontId="37" fillId="0" borderId="0" xfId="0" applyFont="1" applyAlignment="1">
      <alignment horizontal="center"/>
    </xf>
    <xf numFmtId="176" fontId="37" fillId="0" borderId="0" xfId="0" applyNumberFormat="1" applyFont="1"/>
    <xf numFmtId="184" fontId="37" fillId="0" borderId="0" xfId="0" applyNumberFormat="1" applyFont="1"/>
    <xf numFmtId="0" fontId="8" fillId="0" borderId="0" xfId="0" applyFont="1"/>
    <xf numFmtId="175" fontId="37" fillId="0" borderId="0" xfId="0" applyNumberFormat="1" applyFont="1" applyAlignment="1">
      <alignment horizontal="center"/>
    </xf>
    <xf numFmtId="2" fontId="37" fillId="0" borderId="0" xfId="0" applyNumberFormat="1" applyFont="1"/>
    <xf numFmtId="0" fontId="9" fillId="0" borderId="0" xfId="0" applyFont="1" applyAlignment="1">
      <alignment horizontal="right"/>
    </xf>
    <xf numFmtId="0" fontId="0" fillId="0" borderId="0" xfId="0" applyAlignment="1">
      <alignment horizontal="center"/>
    </xf>
    <xf numFmtId="175" fontId="0" fillId="0" borderId="0" xfId="0" applyNumberFormat="1"/>
    <xf numFmtId="0" fontId="23" fillId="0" borderId="0" xfId="2" applyFont="1" applyAlignment="1">
      <alignment horizontal="center"/>
    </xf>
    <xf numFmtId="175" fontId="3" fillId="2" borderId="0" xfId="1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15" fillId="0" borderId="0" xfId="3" applyNumberFormat="1" applyFont="1" applyFill="1" applyAlignment="1">
      <alignment horizontal="center"/>
    </xf>
    <xf numFmtId="177" fontId="3" fillId="3" borderId="0" xfId="3" applyNumberFormat="1" applyFill="1" applyAlignment="1">
      <alignment horizontal="center"/>
    </xf>
    <xf numFmtId="177" fontId="22" fillId="3" borderId="0" xfId="3" applyNumberFormat="1" applyFont="1" applyFill="1" applyAlignment="1">
      <alignment horizontal="center"/>
    </xf>
    <xf numFmtId="177" fontId="21" fillId="0" borderId="0" xfId="3" applyNumberFormat="1" applyFont="1" applyAlignment="1">
      <alignment horizontal="center"/>
    </xf>
    <xf numFmtId="0" fontId="47" fillId="0" borderId="0" xfId="3" applyFont="1"/>
    <xf numFmtId="0" fontId="31" fillId="0" borderId="0" xfId="0" applyFont="1"/>
    <xf numFmtId="1" fontId="16" fillId="0" borderId="0" xfId="0" applyNumberFormat="1" applyFont="1" applyAlignment="1">
      <alignment horizontal="center"/>
    </xf>
    <xf numFmtId="11" fontId="3" fillId="0" borderId="0" xfId="3" applyNumberFormat="1" applyAlignment="1">
      <alignment horizontal="right"/>
    </xf>
    <xf numFmtId="11" fontId="3" fillId="0" borderId="0" xfId="3" applyNumberFormat="1" applyFill="1"/>
    <xf numFmtId="0" fontId="3" fillId="0" borderId="25" xfId="3" applyBorder="1"/>
    <xf numFmtId="0" fontId="4" fillId="0" borderId="26" xfId="3" applyFont="1" applyBorder="1"/>
    <xf numFmtId="0" fontId="3" fillId="0" borderId="26" xfId="3" applyBorder="1"/>
    <xf numFmtId="0" fontId="3" fillId="0" borderId="27" xfId="3" applyBorder="1"/>
    <xf numFmtId="11" fontId="12" fillId="0" borderId="28" xfId="3" applyNumberFormat="1" applyFont="1" applyBorder="1"/>
    <xf numFmtId="11" fontId="3" fillId="0" borderId="28" xfId="3" applyNumberFormat="1" applyBorder="1"/>
    <xf numFmtId="0" fontId="3" fillId="0" borderId="29" xfId="3" applyBorder="1"/>
    <xf numFmtId="0" fontId="3" fillId="0" borderId="30" xfId="3" applyBorder="1" applyAlignment="1">
      <alignment horizontal="right"/>
    </xf>
    <xf numFmtId="11" fontId="45" fillId="0" borderId="31" xfId="3" applyNumberFormat="1" applyFont="1" applyBorder="1" applyAlignment="1">
      <alignment horizontal="right"/>
    </xf>
    <xf numFmtId="11" fontId="45" fillId="0" borderId="31" xfId="3" applyNumberFormat="1" applyFont="1" applyBorder="1"/>
    <xf numFmtId="11" fontId="45" fillId="0" borderId="31" xfId="3" applyNumberFormat="1" applyFont="1" applyFill="1" applyBorder="1"/>
    <xf numFmtId="11" fontId="46" fillId="0" borderId="32" xfId="3" applyNumberFormat="1" applyFont="1" applyBorder="1"/>
    <xf numFmtId="174" fontId="3" fillId="2" borderId="0" xfId="3" applyNumberFormat="1" applyFill="1" applyBorder="1" applyAlignment="1">
      <alignment horizontal="center"/>
    </xf>
    <xf numFmtId="1" fontId="3" fillId="2" borderId="0" xfId="3" applyNumberFormat="1" applyFill="1" applyBorder="1" applyAlignment="1">
      <alignment horizontal="center"/>
    </xf>
    <xf numFmtId="49" fontId="3" fillId="0" borderId="0" xfId="3" applyNumberFormat="1" applyFont="1" applyAlignment="1">
      <alignment horizontal="right"/>
    </xf>
    <xf numFmtId="0" fontId="23" fillId="0" borderId="0" xfId="3" applyFont="1"/>
    <xf numFmtId="2" fontId="23" fillId="0" borderId="0" xfId="3" applyNumberFormat="1" applyFont="1"/>
    <xf numFmtId="0" fontId="3" fillId="0" borderId="31" xfId="3" applyBorder="1"/>
    <xf numFmtId="0" fontId="3" fillId="0" borderId="28" xfId="3" applyBorder="1"/>
    <xf numFmtId="0" fontId="3" fillId="0" borderId="32" xfId="3" applyBorder="1"/>
    <xf numFmtId="0" fontId="3" fillId="0" borderId="30" xfId="3" applyBorder="1"/>
    <xf numFmtId="2" fontId="3" fillId="0" borderId="26" xfId="3" applyNumberFormat="1" applyBorder="1"/>
    <xf numFmtId="49" fontId="3" fillId="0" borderId="26" xfId="3" applyNumberFormat="1" applyBorder="1" applyAlignment="1">
      <alignment horizontal="right"/>
    </xf>
    <xf numFmtId="0" fontId="3" fillId="0" borderId="31" xfId="3" applyBorder="1" applyAlignment="1">
      <alignment horizontal="right"/>
    </xf>
    <xf numFmtId="0" fontId="3" fillId="0" borderId="0" xfId="2" applyFill="1" applyBorder="1"/>
    <xf numFmtId="0" fontId="3" fillId="0" borderId="32" xfId="3" applyBorder="1" applyAlignment="1">
      <alignment horizontal="right"/>
    </xf>
    <xf numFmtId="175" fontId="48" fillId="0" borderId="0" xfId="3" applyNumberFormat="1" applyFont="1" applyAlignment="1">
      <alignment horizontal="center"/>
    </xf>
    <xf numFmtId="177" fontId="48" fillId="0" borderId="0" xfId="3" applyNumberFormat="1" applyFont="1" applyAlignment="1">
      <alignment horizontal="center"/>
    </xf>
    <xf numFmtId="174" fontId="48" fillId="0" borderId="0" xfId="3" applyNumberFormat="1" applyFont="1" applyAlignment="1">
      <alignment horizontal="center"/>
    </xf>
    <xf numFmtId="0" fontId="48" fillId="0" borderId="0" xfId="3" applyFont="1" applyAlignment="1">
      <alignment horizontal="right"/>
    </xf>
    <xf numFmtId="0" fontId="48" fillId="0" borderId="0" xfId="3" applyFont="1"/>
    <xf numFmtId="174" fontId="48" fillId="3" borderId="0" xfId="3" applyNumberFormat="1" applyFont="1" applyFill="1" applyAlignment="1">
      <alignment horizontal="center"/>
    </xf>
    <xf numFmtId="175" fontId="48" fillId="3" borderId="0" xfId="3" applyNumberFormat="1" applyFont="1" applyFill="1" applyAlignment="1">
      <alignment horizontal="center"/>
    </xf>
    <xf numFmtId="177" fontId="48" fillId="0" borderId="0" xfId="3" applyNumberFormat="1" applyFont="1"/>
    <xf numFmtId="2" fontId="48" fillId="0" borderId="0" xfId="3" applyNumberFormat="1" applyFont="1" applyAlignment="1">
      <alignment horizontal="center"/>
    </xf>
    <xf numFmtId="175" fontId="37" fillId="0" borderId="0" xfId="3" applyNumberFormat="1" applyFont="1" applyAlignment="1">
      <alignment horizontal="center"/>
    </xf>
    <xf numFmtId="1" fontId="37" fillId="0" borderId="0" xfId="3" applyNumberFormat="1" applyFont="1" applyAlignment="1">
      <alignment horizontal="center"/>
    </xf>
    <xf numFmtId="177" fontId="37" fillId="0" borderId="0" xfId="3" applyNumberFormat="1" applyFont="1" applyAlignment="1">
      <alignment horizontal="center"/>
    </xf>
    <xf numFmtId="0" fontId="37" fillId="0" borderId="0" xfId="3" applyFont="1" applyAlignment="1">
      <alignment horizontal="right"/>
    </xf>
    <xf numFmtId="174" fontId="37" fillId="0" borderId="0" xfId="3" applyNumberFormat="1" applyFont="1" applyAlignment="1">
      <alignment horizontal="center"/>
    </xf>
    <xf numFmtId="0" fontId="37" fillId="0" borderId="0" xfId="3" applyFont="1"/>
    <xf numFmtId="177" fontId="37" fillId="3" borderId="0" xfId="3" applyNumberFormat="1" applyFont="1" applyFill="1" applyAlignment="1">
      <alignment horizontal="center"/>
    </xf>
    <xf numFmtId="175" fontId="37" fillId="3" borderId="0" xfId="3" applyNumberFormat="1" applyFont="1" applyFill="1" applyAlignment="1">
      <alignment horizontal="center"/>
    </xf>
    <xf numFmtId="177" fontId="37" fillId="0" borderId="0" xfId="3" applyNumberFormat="1" applyFont="1"/>
    <xf numFmtId="2" fontId="37" fillId="0" borderId="0" xfId="3" applyNumberFormat="1" applyFont="1" applyAlignment="1">
      <alignment horizontal="center"/>
    </xf>
    <xf numFmtId="174" fontId="37" fillId="3" borderId="0" xfId="3" applyNumberFormat="1" applyFont="1" applyFill="1" applyAlignment="1">
      <alignment horizontal="center"/>
    </xf>
    <xf numFmtId="185" fontId="37" fillId="0" borderId="0" xfId="3" applyNumberFormat="1" applyFont="1" applyAlignment="1">
      <alignment horizontal="center"/>
    </xf>
    <xf numFmtId="185" fontId="48" fillId="0" borderId="0" xfId="3" applyNumberFormat="1" applyFont="1" applyAlignment="1">
      <alignment horizontal="center"/>
    </xf>
    <xf numFmtId="185" fontId="3" fillId="0" borderId="0" xfId="3" applyNumberFormat="1"/>
    <xf numFmtId="175" fontId="6" fillId="0" borderId="0" xfId="0" applyNumberFormat="1" applyFont="1" applyAlignment="1">
      <alignment horizontal="center"/>
    </xf>
    <xf numFmtId="0" fontId="0" fillId="0" borderId="33" xfId="0" applyBorder="1"/>
    <xf numFmtId="0" fontId="0" fillId="0" borderId="34" xfId="0" applyFill="1" applyBorder="1"/>
    <xf numFmtId="0" fontId="0" fillId="0" borderId="34" xfId="0" applyBorder="1"/>
    <xf numFmtId="0" fontId="3" fillId="0" borderId="34" xfId="3" applyBorder="1"/>
    <xf numFmtId="1" fontId="0" fillId="0" borderId="34" xfId="0" applyNumberFormat="1" applyBorder="1" applyAlignment="1">
      <alignment horizontal="center"/>
    </xf>
    <xf numFmtId="177" fontId="3" fillId="0" borderId="34" xfId="3" applyNumberFormat="1" applyBorder="1" applyAlignment="1">
      <alignment horizontal="center"/>
    </xf>
    <xf numFmtId="1" fontId="3" fillId="0" borderId="34" xfId="3" applyNumberFormat="1" applyBorder="1" applyAlignment="1">
      <alignment horizontal="center"/>
    </xf>
    <xf numFmtId="2" fontId="3" fillId="0" borderId="35" xfId="3" applyNumberFormat="1" applyFill="1" applyBorder="1" applyAlignment="1">
      <alignment horizontal="center"/>
    </xf>
    <xf numFmtId="0" fontId="0" fillId="0" borderId="36" xfId="0" applyBorder="1"/>
    <xf numFmtId="2" fontId="3" fillId="0" borderId="37" xfId="3" applyNumberFormat="1" applyFill="1" applyBorder="1" applyAlignment="1">
      <alignment horizontal="center"/>
    </xf>
    <xf numFmtId="0" fontId="12" fillId="0" borderId="0" xfId="3" applyFont="1" applyBorder="1"/>
    <xf numFmtId="0" fontId="3" fillId="0" borderId="37" xfId="3" applyBorder="1"/>
    <xf numFmtId="0" fontId="0" fillId="0" borderId="38" xfId="0" applyBorder="1"/>
    <xf numFmtId="0" fontId="0" fillId="0" borderId="39" xfId="0" applyBorder="1"/>
    <xf numFmtId="0" fontId="0" fillId="0" borderId="40" xfId="0" applyBorder="1"/>
  </cellXfs>
  <cellStyles count="4">
    <cellStyle name="Normal" xfId="0" builtinId="0"/>
    <cellStyle name="Normal_2" xfId="1"/>
    <cellStyle name="Normal_ace-toluene" xfId="2"/>
    <cellStyle name="Normal_Toluene-vdWaals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59466889956094"/>
          <c:y val="4.4362332091118235E-2"/>
          <c:w val="0.78313406582201039"/>
          <c:h val="0.8114609911667044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 T = Tb'!$A$21:$A$86</c:f>
              <c:numCache>
                <c:formatCode>0.000</c:formatCode>
                <c:ptCount val="66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  <c:pt idx="65">
                  <c:v>3819.7415298236938</c:v>
                </c:pt>
              </c:numCache>
            </c:numRef>
          </c:xVal>
          <c:yVal>
            <c:numRef>
              <c:f>' T = Tb'!$B$21:$B$86</c:f>
              <c:numCache>
                <c:formatCode>General</c:formatCode>
                <c:ptCount val="66"/>
                <c:pt idx="0">
                  <c:v>29426052.167355638</c:v>
                </c:pt>
                <c:pt idx="1">
                  <c:v>134.84658129902149</c:v>
                </c:pt>
                <c:pt idx="2">
                  <c:v>-231.99366617727733</c:v>
                </c:pt>
                <c:pt idx="3">
                  <c:v>-235.73755650834187</c:v>
                </c:pt>
                <c:pt idx="4">
                  <c:v>-186.78189944849208</c:v>
                </c:pt>
                <c:pt idx="5">
                  <c:v>-135.88894163544555</c:v>
                </c:pt>
                <c:pt idx="6">
                  <c:v>-93.790122816111293</c:v>
                </c:pt>
                <c:pt idx="7">
                  <c:v>-61.648212629585615</c:v>
                </c:pt>
                <c:pt idx="8">
                  <c:v>-38.128779607090003</c:v>
                </c:pt>
                <c:pt idx="9">
                  <c:v>-21.428770764887567</c:v>
                </c:pt>
                <c:pt idx="10">
                  <c:v>-9.8881934806704983</c:v>
                </c:pt>
                <c:pt idx="11">
                  <c:v>-2.146313998308615</c:v>
                </c:pt>
                <c:pt idx="12">
                  <c:v>2.854585440779533</c:v>
                </c:pt>
                <c:pt idx="13">
                  <c:v>5.9124258619870265</c:v>
                </c:pt>
                <c:pt idx="14">
                  <c:v>7.6174000722639699</c:v>
                </c:pt>
                <c:pt idx="15">
                  <c:v>8.3996125358822482</c:v>
                </c:pt>
                <c:pt idx="16">
                  <c:v>8.5685333474835659</c:v>
                </c:pt>
                <c:pt idx="17">
                  <c:v>8.3441138766735996</c:v>
                </c:pt>
                <c:pt idx="18">
                  <c:v>7.8806468844523305</c:v>
                </c:pt>
                <c:pt idx="19">
                  <c:v>7.2847369643637592</c:v>
                </c:pt>
                <c:pt idx="20">
                  <c:v>6.6286657690445825</c:v>
                </c:pt>
                <c:pt idx="21">
                  <c:v>5.9602373236407269</c:v>
                </c:pt>
                <c:pt idx="22">
                  <c:v>5.3099731633484994</c:v>
                </c:pt>
                <c:pt idx="23">
                  <c:v>4.6963334079938628</c:v>
                </c:pt>
                <c:pt idx="24">
                  <c:v>4.1294793650601846</c:v>
                </c:pt>
                <c:pt idx="25">
                  <c:v>3.6139657485228098</c:v>
                </c:pt>
                <c:pt idx="26">
                  <c:v>3.1506518953901685</c:v>
                </c:pt>
                <c:pt idx="27">
                  <c:v>2.7380462195901512</c:v>
                </c:pt>
                <c:pt idx="28">
                  <c:v>2.3732415975273686</c:v>
                </c:pt>
                <c:pt idx="29">
                  <c:v>2.0525571860191132</c:v>
                </c:pt>
                <c:pt idx="30">
                  <c:v>1.7719708908355023</c:v>
                </c:pt>
                <c:pt idx="31">
                  <c:v>1.5274036303114735</c:v>
                </c:pt>
                <c:pt idx="32">
                  <c:v>1.3148995929477405</c:v>
                </c:pt>
                <c:pt idx="33">
                  <c:v>1.1307342904875168</c:v>
                </c:pt>
                <c:pt idx="34">
                  <c:v>0.97147317017858159</c:v>
                </c:pt>
                <c:pt idx="35">
                  <c:v>0.83399698427231372</c:v>
                </c:pt>
                <c:pt idx="36">
                  <c:v>0.71550536209532878</c:v>
                </c:pt>
                <c:pt idx="37">
                  <c:v>0.61350660280202485</c:v>
                </c:pt>
                <c:pt idx="38">
                  <c:v>0.52579924599394101</c:v>
                </c:pt>
                <c:pt idx="39">
                  <c:v>0.45044921890855283</c:v>
                </c:pt>
                <c:pt idx="40">
                  <c:v>0.38576510951249604</c:v>
                </c:pt>
                <c:pt idx="41">
                  <c:v>0.33027323329205927</c:v>
                </c:pt>
                <c:pt idx="42">
                  <c:v>0.282693544800664</c:v>
                </c:pt>
                <c:pt idx="43">
                  <c:v>0.24191701816687877</c:v>
                </c:pt>
                <c:pt idx="44">
                  <c:v>0.20698482941808247</c:v>
                </c:pt>
                <c:pt idx="45">
                  <c:v>0.17706947828999581</c:v>
                </c:pt>
                <c:pt idx="46">
                  <c:v>0.15145785978364978</c:v>
                </c:pt>
                <c:pt idx="47">
                  <c:v>0.12953621568597154</c:v>
                </c:pt>
                <c:pt idx="48">
                  <c:v>0.11077684896660206</c:v>
                </c:pt>
                <c:pt idx="49">
                  <c:v>9.4726458977192229E-2</c:v>
                </c:pt>
                <c:pt idx="50">
                  <c:v>8.0995945319259202E-2</c:v>
                </c:pt>
                <c:pt idx="51">
                  <c:v>6.9251527908398502E-2</c:v>
                </c:pt>
                <c:pt idx="52">
                  <c:v>5.920703651294227E-2</c:v>
                </c:pt>
                <c:pt idx="53">
                  <c:v>5.061723237509972E-2</c:v>
                </c:pt>
                <c:pt idx="54">
                  <c:v>4.3272035724315858E-2</c:v>
                </c:pt>
                <c:pt idx="55">
                  <c:v>3.6991544925610055E-2</c:v>
                </c:pt>
                <c:pt idx="56">
                  <c:v>3.1621744928843218E-2</c:v>
                </c:pt>
                <c:pt idx="57">
                  <c:v>2.7030814135535618E-2</c:v>
                </c:pt>
                <c:pt idx="58">
                  <c:v>2.3105949507452584E-2</c:v>
                </c:pt>
                <c:pt idx="59">
                  <c:v>1.9750639565737117E-2</c:v>
                </c:pt>
                <c:pt idx="60">
                  <c:v>1.688232381801975E-2</c:v>
                </c:pt>
                <c:pt idx="61">
                  <c:v>1.4430385107261459E-2</c:v>
                </c:pt>
                <c:pt idx="62">
                  <c:v>1.2334428438801247E-2</c:v>
                </c:pt>
                <c:pt idx="63">
                  <c:v>1.0542806070333682E-2</c:v>
                </c:pt>
                <c:pt idx="64">
                  <c:v>9.0113541129246775E-3</c:v>
                </c:pt>
                <c:pt idx="65">
                  <c:v>7.7023106630808276E-3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 T = Tb'!$B$15</c:f>
              <c:numCache>
                <c:formatCode>0.000</c:formatCode>
                <c:ptCount val="1"/>
                <c:pt idx="0">
                  <c:v>0.16964399264565108</c:v>
                </c:pt>
              </c:numCache>
            </c:numRef>
          </c:xVal>
          <c:yVal>
            <c:numRef>
              <c:f>' T = Tb'!$I$3</c:f>
              <c:numCache>
                <c:formatCode>General</c:formatCode>
                <c:ptCount val="1"/>
                <c:pt idx="0">
                  <c:v>1.0132747124684822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 T = Tb'!$B$18</c:f>
              <c:numCache>
                <c:formatCode>0.000</c:formatCode>
                <c:ptCount val="1"/>
                <c:pt idx="0">
                  <c:v>0.86953048529731802</c:v>
                </c:pt>
              </c:numCache>
            </c:numRef>
          </c:xVal>
          <c:yVal>
            <c:numRef>
              <c:f>' T = Tb'!$I$3</c:f>
              <c:numCache>
                <c:formatCode>General</c:formatCode>
                <c:ptCount val="1"/>
                <c:pt idx="0">
                  <c:v>1.0132747124684822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 T = Tb'!$B$16</c:f>
              <c:numCache>
                <c:formatCode>0</c:formatCode>
                <c:ptCount val="1"/>
                <c:pt idx="0">
                  <c:v>28.144083746434529</c:v>
                </c:pt>
              </c:numCache>
            </c:numRef>
          </c:xVal>
          <c:yVal>
            <c:numRef>
              <c:f>' T = Tb'!$I$3</c:f>
              <c:numCache>
                <c:formatCode>General</c:formatCode>
                <c:ptCount val="1"/>
                <c:pt idx="0">
                  <c:v>1.0132747124684822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18784"/>
        <c:axId val="214570496"/>
      </c:scatterChart>
      <c:valAx>
        <c:axId val="214518784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V-2b [</a:t>
                </a:r>
                <a:r>
                  <a:rPr lang="en-GB" sz="1200" b="1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39558310504342575"/>
              <c:y val="0.92236682139449999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570496"/>
        <c:crossesAt val="-1000000"/>
        <c:crossBetween val="midCat"/>
        <c:minorUnit val="10"/>
      </c:valAx>
      <c:valAx>
        <c:axId val="214570496"/>
        <c:scaling>
          <c:orientation val="minMax"/>
          <c:max val="100"/>
          <c:min val="-400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1.0040180331051415E-2"/>
              <c:y val="0.341959643202369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518784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GB" sz="1175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T = T</a:t>
            </a:r>
            <a:r>
              <a:rPr lang="en-GB" sz="1175" b="0" i="0" u="none" strike="noStrike" baseline="-25000">
                <a:solidFill>
                  <a:srgbClr val="000000"/>
                </a:solidFill>
                <a:latin typeface="Times New Roman"/>
                <a:cs typeface="Times New Roman"/>
              </a:rPr>
              <a:t>min</a:t>
            </a:r>
            <a:r>
              <a:rPr lang="en-GB" sz="1175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4819277108433739"/>
          <c:y val="0.271930601044525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481927710843373"/>
          <c:y val="4.3859774362020175E-2"/>
          <c:w val="0.72289156626506024"/>
          <c:h val="0.774856013729023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Tmin!$A$21:$A$80</c:f>
              <c:numCache>
                <c:formatCode>0.000</c:formatCode>
                <c:ptCount val="60"/>
                <c:pt idx="0">
                  <c:v>0.15</c:v>
                </c:pt>
                <c:pt idx="1">
                  <c:v>0.1875</c:v>
                </c:pt>
                <c:pt idx="2">
                  <c:v>0.234375</c:v>
                </c:pt>
                <c:pt idx="3">
                  <c:v>0.29296875</c:v>
                </c:pt>
                <c:pt idx="4">
                  <c:v>0.3662109375</c:v>
                </c:pt>
                <c:pt idx="5">
                  <c:v>0.457763671875</c:v>
                </c:pt>
                <c:pt idx="6">
                  <c:v>0.57220458984375</c:v>
                </c:pt>
                <c:pt idx="7">
                  <c:v>0.7152557373046875</c:v>
                </c:pt>
                <c:pt idx="8">
                  <c:v>0.89406967163085938</c:v>
                </c:pt>
                <c:pt idx="9">
                  <c:v>1.1175870895385742</c:v>
                </c:pt>
                <c:pt idx="10">
                  <c:v>1.3969838619232178</c:v>
                </c:pt>
                <c:pt idx="11">
                  <c:v>1.7462298274040222</c:v>
                </c:pt>
                <c:pt idx="12">
                  <c:v>2.1827872842550278</c:v>
                </c:pt>
                <c:pt idx="13">
                  <c:v>2.7284841053187847</c:v>
                </c:pt>
                <c:pt idx="14">
                  <c:v>3.4106051316484809</c:v>
                </c:pt>
                <c:pt idx="15">
                  <c:v>4.2632564145606011</c:v>
                </c:pt>
                <c:pt idx="16">
                  <c:v>5.3290705182007514</c:v>
                </c:pt>
                <c:pt idx="17">
                  <c:v>6.6613381477509392</c:v>
                </c:pt>
                <c:pt idx="18">
                  <c:v>8.3266726846886741</c:v>
                </c:pt>
                <c:pt idx="19">
                  <c:v>10.408340855860843</c:v>
                </c:pt>
                <c:pt idx="20">
                  <c:v>13.010426069826053</c:v>
                </c:pt>
                <c:pt idx="21">
                  <c:v>16.263032587282567</c:v>
                </c:pt>
                <c:pt idx="22">
                  <c:v>20.328790734103208</c:v>
                </c:pt>
                <c:pt idx="23">
                  <c:v>25.41098841762901</c:v>
                </c:pt>
                <c:pt idx="24">
                  <c:v>31.763735522036264</c:v>
                </c:pt>
                <c:pt idx="25">
                  <c:v>39.704669402545328</c:v>
                </c:pt>
                <c:pt idx="26">
                  <c:v>49.630836753181661</c:v>
                </c:pt>
                <c:pt idx="27">
                  <c:v>62.038545941477075</c:v>
                </c:pt>
                <c:pt idx="28">
                  <c:v>77.548182426846338</c:v>
                </c:pt>
                <c:pt idx="29">
                  <c:v>96.93522803355792</c:v>
                </c:pt>
                <c:pt idx="30">
                  <c:v>121.1690350419474</c:v>
                </c:pt>
                <c:pt idx="31">
                  <c:v>151.46129380243426</c:v>
                </c:pt>
                <c:pt idx="32">
                  <c:v>189.32661725304283</c:v>
                </c:pt>
                <c:pt idx="33">
                  <c:v>236.65827156630354</c:v>
                </c:pt>
                <c:pt idx="34">
                  <c:v>295.82283945787941</c:v>
                </c:pt>
                <c:pt idx="35">
                  <c:v>369.77854932234925</c:v>
                </c:pt>
                <c:pt idx="36">
                  <c:v>462.22318665293653</c:v>
                </c:pt>
                <c:pt idx="37">
                  <c:v>577.77898331617064</c:v>
                </c:pt>
                <c:pt idx="38">
                  <c:v>722.22372914521327</c:v>
                </c:pt>
                <c:pt idx="39">
                  <c:v>902.77966143151662</c:v>
                </c:pt>
                <c:pt idx="40">
                  <c:v>1128.4745767893958</c:v>
                </c:pt>
                <c:pt idx="41">
                  <c:v>1410.5932209867447</c:v>
                </c:pt>
                <c:pt idx="42">
                  <c:v>1763.2415262334307</c:v>
                </c:pt>
                <c:pt idx="43">
                  <c:v>2204.0519077917884</c:v>
                </c:pt>
                <c:pt idx="44">
                  <c:v>2755.0648847397356</c:v>
                </c:pt>
                <c:pt idx="45">
                  <c:v>3443.8311059246694</c:v>
                </c:pt>
                <c:pt idx="46">
                  <c:v>4304.7888824058364</c:v>
                </c:pt>
                <c:pt idx="47">
                  <c:v>5380.9861030072952</c:v>
                </c:pt>
                <c:pt idx="48">
                  <c:v>6726.2326287591186</c:v>
                </c:pt>
                <c:pt idx="49">
                  <c:v>8407.7907859488987</c:v>
                </c:pt>
                <c:pt idx="50">
                  <c:v>10509.738482436123</c:v>
                </c:pt>
                <c:pt idx="51">
                  <c:v>13137.173103045154</c:v>
                </c:pt>
                <c:pt idx="52">
                  <c:v>16421.466378806443</c:v>
                </c:pt>
                <c:pt idx="53">
                  <c:v>20526.832973508055</c:v>
                </c:pt>
                <c:pt idx="54">
                  <c:v>25658.541216885067</c:v>
                </c:pt>
                <c:pt idx="55">
                  <c:v>32073.176521106332</c:v>
                </c:pt>
                <c:pt idx="56">
                  <c:v>40091.470651382915</c:v>
                </c:pt>
                <c:pt idx="57">
                  <c:v>50114.338314228648</c:v>
                </c:pt>
                <c:pt idx="58">
                  <c:v>62642.922892785806</c:v>
                </c:pt>
                <c:pt idx="59">
                  <c:v>78303.653615982257</c:v>
                </c:pt>
              </c:numCache>
            </c:numRef>
          </c:xVal>
          <c:yVal>
            <c:numRef>
              <c:f>Tmin!$B$21:$B$80</c:f>
              <c:numCache>
                <c:formatCode>General</c:formatCode>
                <c:ptCount val="60"/>
                <c:pt idx="0">
                  <c:v>1184.5400261506941</c:v>
                </c:pt>
                <c:pt idx="1">
                  <c:v>-448.06138451836864</c:v>
                </c:pt>
                <c:pt idx="2">
                  <c:v>-359.40921558001287</c:v>
                </c:pt>
                <c:pt idx="3">
                  <c:v>-236.61209945251406</c:v>
                </c:pt>
                <c:pt idx="4">
                  <c:v>-146.10755844636421</c:v>
                </c:pt>
                <c:pt idx="5">
                  <c:v>-86.131524208303105</c:v>
                </c:pt>
                <c:pt idx="6">
                  <c:v>-48.12457795876481</c:v>
                </c:pt>
                <c:pt idx="7">
                  <c:v>-24.769814769340659</c:v>
                </c:pt>
                <c:pt idx="8">
                  <c:v>-10.84785735982744</c:v>
                </c:pt>
                <c:pt idx="9">
                  <c:v>-2.8589225237487246</c:v>
                </c:pt>
                <c:pt idx="10">
                  <c:v>1.4737536131786784</c:v>
                </c:pt>
                <c:pt idx="11">
                  <c:v>3.6030936679795174</c:v>
                </c:pt>
                <c:pt idx="12">
                  <c:v>4.4420805545745115</c:v>
                </c:pt>
                <c:pt idx="13">
                  <c:v>4.5557859377431509</c:v>
                </c:pt>
                <c:pt idx="14">
                  <c:v>4.2879373651856918</c:v>
                </c:pt>
                <c:pt idx="15">
                  <c:v>3.8430336253168647</c:v>
                </c:pt>
                <c:pt idx="16">
                  <c:v>3.3390263570210856</c:v>
                </c:pt>
                <c:pt idx="17">
                  <c:v>2.8408063603145854</c:v>
                </c:pt>
                <c:pt idx="18">
                  <c:v>2.3813013401752912</c:v>
                </c:pt>
                <c:pt idx="19">
                  <c:v>1.9746425547218822</c:v>
                </c:pt>
                <c:pt idx="20">
                  <c:v>1.624290141803818</c:v>
                </c:pt>
                <c:pt idx="21">
                  <c:v>1.3279766313881012</c:v>
                </c:pt>
                <c:pt idx="22">
                  <c:v>1.0806578399859932</c:v>
                </c:pt>
                <c:pt idx="23">
                  <c:v>0.87622735058660228</c:v>
                </c:pt>
                <c:pt idx="24">
                  <c:v>0.70847265913776925</c:v>
                </c:pt>
                <c:pt idx="25">
                  <c:v>0.57157329126321854</c:v>
                </c:pt>
                <c:pt idx="26">
                  <c:v>0.46032808204628239</c:v>
                </c:pt>
                <c:pt idx="27">
                  <c:v>0.37022719099616841</c:v>
                </c:pt>
                <c:pt idx="28">
                  <c:v>0.29743931910313348</c:v>
                </c:pt>
                <c:pt idx="29">
                  <c:v>0.23875637036039596</c:v>
                </c:pt>
                <c:pt idx="30">
                  <c:v>0.1915202790894612</c:v>
                </c:pt>
                <c:pt idx="31">
                  <c:v>0.15354595926884276</c:v>
                </c:pt>
                <c:pt idx="32">
                  <c:v>0.12304780817673093</c:v>
                </c:pt>
                <c:pt idx="33">
                  <c:v>9.8573317604393071E-2</c:v>
                </c:pt>
                <c:pt idx="34">
                  <c:v>7.8945102110160578E-2</c:v>
                </c:pt>
                <c:pt idx="35">
                  <c:v>6.3211409728423429E-2</c:v>
                </c:pt>
                <c:pt idx="36">
                  <c:v>5.0604538395592751E-2</c:v>
                </c:pt>
                <c:pt idx="37">
                  <c:v>4.0506293850158581E-2</c:v>
                </c:pt>
                <c:pt idx="38">
                  <c:v>3.2419539660478662E-2</c:v>
                </c:pt>
                <c:pt idx="39">
                  <c:v>2.5944914749289158E-2</c:v>
                </c:pt>
                <c:pt idx="40">
                  <c:v>2.0761872978620165E-2</c:v>
                </c:pt>
                <c:pt idx="41">
                  <c:v>1.6613300761028876E-2</c:v>
                </c:pt>
                <c:pt idx="42">
                  <c:v>1.3293074142834512E-2</c:v>
                </c:pt>
                <c:pt idx="43">
                  <c:v>1.0636016782181838E-2</c:v>
                </c:pt>
                <c:pt idx="44">
                  <c:v>8.5098102083576502E-3</c:v>
                </c:pt>
                <c:pt idx="45">
                  <c:v>6.8084861091691528E-3</c:v>
                </c:pt>
                <c:pt idx="46">
                  <c:v>5.447197171349393E-3</c:v>
                </c:pt>
                <c:pt idx="47">
                  <c:v>4.3580190392708716E-3</c:v>
                </c:pt>
                <c:pt idx="48">
                  <c:v>3.4865824650354067E-3</c:v>
                </c:pt>
                <c:pt idx="49">
                  <c:v>2.7893730016550124E-3</c:v>
                </c:pt>
                <c:pt idx="50">
                  <c:v>2.2315669003417737E-3</c:v>
                </c:pt>
                <c:pt idx="51">
                  <c:v>1.7852973596738104E-3</c:v>
                </c:pt>
                <c:pt idx="52">
                  <c:v>1.4282659449701579E-3</c:v>
                </c:pt>
                <c:pt idx="53">
                  <c:v>1.1426307126116441E-3</c:v>
                </c:pt>
                <c:pt idx="54">
                  <c:v>9.1411606233994221E-4</c:v>
                </c:pt>
                <c:pt idx="55">
                  <c:v>7.3130020491434921E-4</c:v>
                </c:pt>
                <c:pt idx="56">
                  <c:v>5.8504487115963364E-4</c:v>
                </c:pt>
                <c:pt idx="57">
                  <c:v>4.6803890955424832E-4</c:v>
                </c:pt>
                <c:pt idx="58">
                  <c:v>3.7443305572465289E-4</c:v>
                </c:pt>
                <c:pt idx="59">
                  <c:v>2.9954767855186205E-4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Tmin!$B$15</c:f>
              <c:numCache>
                <c:formatCode>0.000</c:formatCode>
                <c:ptCount val="1"/>
                <c:pt idx="0">
                  <c:v>0.15886797403654285</c:v>
                </c:pt>
              </c:numCache>
            </c:numRef>
          </c:xVal>
          <c:yVal>
            <c:numRef>
              <c:f>Tmin!$I$3</c:f>
              <c:numCache>
                <c:formatCode>General</c:formatCode>
                <c:ptCount val="1"/>
                <c:pt idx="0">
                  <c:v>5.9989002783289953E-2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Tmin!$B$18</c:f>
              <c:numCache>
                <c:formatCode>0.000</c:formatCode>
                <c:ptCount val="1"/>
                <c:pt idx="0">
                  <c:v>1.2768556086875265</c:v>
                </c:pt>
              </c:numCache>
            </c:numRef>
          </c:xVal>
          <c:yVal>
            <c:numRef>
              <c:f>Tmin!$I$3</c:f>
              <c:numCache>
                <c:formatCode>General</c:formatCode>
                <c:ptCount val="1"/>
                <c:pt idx="0">
                  <c:v>5.9989002783289953E-2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Tmin!$B$16</c:f>
              <c:numCache>
                <c:formatCode>0</c:formatCode>
                <c:ptCount val="1"/>
                <c:pt idx="0">
                  <c:v>389.71158286511047</c:v>
                </c:pt>
              </c:numCache>
            </c:numRef>
          </c:xVal>
          <c:yVal>
            <c:numRef>
              <c:f>Tmin!$I$3</c:f>
              <c:numCache>
                <c:formatCode>General</c:formatCode>
                <c:ptCount val="1"/>
                <c:pt idx="0">
                  <c:v>5.9989002783289953E-2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87232"/>
        <c:axId val="197089536"/>
      </c:scatterChart>
      <c:valAx>
        <c:axId val="197087232"/>
        <c:scaling>
          <c:logBase val="10"/>
          <c:orientation val="minMax"/>
          <c:max val="1000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38855421686746988"/>
              <c:y val="0.87719548724040353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089536"/>
        <c:crossesAt val="-1000000"/>
        <c:crossBetween val="midCat"/>
        <c:minorUnit val="10"/>
      </c:valAx>
      <c:valAx>
        <c:axId val="197089536"/>
        <c:scaling>
          <c:orientation val="minMax"/>
          <c:max val="100"/>
          <c:min val="-80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1084337349397589E-2"/>
              <c:y val="0.26900661608705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087232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65653495440729481"/>
          <c:y val="0.2170548112857600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68693009118541"/>
          <c:y val="3.8759787729600009E-2"/>
          <c:w val="0.72948328267477203"/>
          <c:h val="0.8010356130784002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'T2'!$A$21:$A$80</c:f>
              <c:numCache>
                <c:formatCode>0.000</c:formatCode>
                <c:ptCount val="60"/>
                <c:pt idx="0">
                  <c:v>0.15</c:v>
                </c:pt>
                <c:pt idx="1">
                  <c:v>0.1875</c:v>
                </c:pt>
                <c:pt idx="2">
                  <c:v>0.234375</c:v>
                </c:pt>
                <c:pt idx="3">
                  <c:v>0.29296875</c:v>
                </c:pt>
                <c:pt idx="4">
                  <c:v>0.3662109375</c:v>
                </c:pt>
                <c:pt idx="5">
                  <c:v>0.457763671875</c:v>
                </c:pt>
                <c:pt idx="6">
                  <c:v>0.57220458984375</c:v>
                </c:pt>
                <c:pt idx="7">
                  <c:v>0.7152557373046875</c:v>
                </c:pt>
                <c:pt idx="8">
                  <c:v>0.89406967163085938</c:v>
                </c:pt>
                <c:pt idx="9">
                  <c:v>1.1175870895385742</c:v>
                </c:pt>
                <c:pt idx="10">
                  <c:v>1.3969838619232178</c:v>
                </c:pt>
                <c:pt idx="11">
                  <c:v>1.7462298274040222</c:v>
                </c:pt>
                <c:pt idx="12">
                  <c:v>2.1827872842550278</c:v>
                </c:pt>
                <c:pt idx="13">
                  <c:v>2.7284841053187847</c:v>
                </c:pt>
                <c:pt idx="14">
                  <c:v>3.4106051316484809</c:v>
                </c:pt>
                <c:pt idx="15">
                  <c:v>4.2632564145606011</c:v>
                </c:pt>
                <c:pt idx="16">
                  <c:v>5.3290705182007514</c:v>
                </c:pt>
                <c:pt idx="17">
                  <c:v>6.6613381477509392</c:v>
                </c:pt>
                <c:pt idx="18">
                  <c:v>8.3266726846886741</c:v>
                </c:pt>
                <c:pt idx="19">
                  <c:v>10.408340855860843</c:v>
                </c:pt>
                <c:pt idx="20">
                  <c:v>13.010426069826053</c:v>
                </c:pt>
                <c:pt idx="21">
                  <c:v>16.263032587282567</c:v>
                </c:pt>
                <c:pt idx="22">
                  <c:v>20.328790734103208</c:v>
                </c:pt>
                <c:pt idx="23">
                  <c:v>25.41098841762901</c:v>
                </c:pt>
                <c:pt idx="24">
                  <c:v>31.763735522036264</c:v>
                </c:pt>
                <c:pt idx="25">
                  <c:v>39.704669402545328</c:v>
                </c:pt>
                <c:pt idx="26">
                  <c:v>49.630836753181661</c:v>
                </c:pt>
                <c:pt idx="27">
                  <c:v>62.038545941477075</c:v>
                </c:pt>
                <c:pt idx="28">
                  <c:v>77.548182426846338</c:v>
                </c:pt>
                <c:pt idx="29">
                  <c:v>96.93522803355792</c:v>
                </c:pt>
                <c:pt idx="30">
                  <c:v>121.1690350419474</c:v>
                </c:pt>
                <c:pt idx="31">
                  <c:v>151.46129380243426</c:v>
                </c:pt>
                <c:pt idx="32">
                  <c:v>189.32661725304283</c:v>
                </c:pt>
                <c:pt idx="33">
                  <c:v>236.65827156630354</c:v>
                </c:pt>
                <c:pt idx="34">
                  <c:v>295.82283945787941</c:v>
                </c:pt>
                <c:pt idx="35">
                  <c:v>369.77854932234925</c:v>
                </c:pt>
                <c:pt idx="36">
                  <c:v>462.22318665293653</c:v>
                </c:pt>
                <c:pt idx="37">
                  <c:v>577.77898331617064</c:v>
                </c:pt>
                <c:pt idx="38">
                  <c:v>722.22372914521327</c:v>
                </c:pt>
                <c:pt idx="39">
                  <c:v>902.77966143151662</c:v>
                </c:pt>
                <c:pt idx="40">
                  <c:v>1128.4745767893958</c:v>
                </c:pt>
                <c:pt idx="41">
                  <c:v>1410.5932209867447</c:v>
                </c:pt>
                <c:pt idx="42">
                  <c:v>1763.2415262334307</c:v>
                </c:pt>
                <c:pt idx="43">
                  <c:v>2204.0519077917884</c:v>
                </c:pt>
                <c:pt idx="44">
                  <c:v>2755.0648847397356</c:v>
                </c:pt>
                <c:pt idx="45">
                  <c:v>3443.8311059246694</c:v>
                </c:pt>
                <c:pt idx="46">
                  <c:v>4304.7888824058364</c:v>
                </c:pt>
                <c:pt idx="47">
                  <c:v>5380.9861030072952</c:v>
                </c:pt>
                <c:pt idx="48">
                  <c:v>6726.2326287591186</c:v>
                </c:pt>
                <c:pt idx="49">
                  <c:v>8407.7907859488987</c:v>
                </c:pt>
                <c:pt idx="50">
                  <c:v>10509.738482436123</c:v>
                </c:pt>
                <c:pt idx="51">
                  <c:v>13137.173103045154</c:v>
                </c:pt>
                <c:pt idx="52">
                  <c:v>16421.466378806443</c:v>
                </c:pt>
                <c:pt idx="53">
                  <c:v>20526.832973508055</c:v>
                </c:pt>
                <c:pt idx="54">
                  <c:v>25658.541216885067</c:v>
                </c:pt>
                <c:pt idx="55">
                  <c:v>32073.176521106332</c:v>
                </c:pt>
                <c:pt idx="56">
                  <c:v>40091.470651382915</c:v>
                </c:pt>
                <c:pt idx="57">
                  <c:v>50114.338314228648</c:v>
                </c:pt>
                <c:pt idx="58">
                  <c:v>62642.922892785806</c:v>
                </c:pt>
                <c:pt idx="59">
                  <c:v>78303.653615982257</c:v>
                </c:pt>
              </c:numCache>
            </c:numRef>
          </c:xVal>
          <c:yVal>
            <c:numRef>
              <c:f>'T2'!$B$21:$B$80</c:f>
              <c:numCache>
                <c:formatCode>General</c:formatCode>
                <c:ptCount val="60"/>
                <c:pt idx="0">
                  <c:v>1301.4552195899639</c:v>
                </c:pt>
                <c:pt idx="1">
                  <c:v>-414.57396100889724</c:v>
                </c:pt>
                <c:pt idx="2">
                  <c:v>-340.46715573328692</c:v>
                </c:pt>
                <c:pt idx="3">
                  <c:v>-224.71504351256542</c:v>
                </c:pt>
                <c:pt idx="4">
                  <c:v>-138.31096976458136</c:v>
                </c:pt>
                <c:pt idx="5">
                  <c:v>-80.888868841735444</c:v>
                </c:pt>
                <c:pt idx="6">
                  <c:v>-44.529385155744905</c:v>
                </c:pt>
                <c:pt idx="7">
                  <c:v>-22.262231400561213</c:v>
                </c:pt>
                <c:pt idx="8">
                  <c:v>-9.071476411833709</c:v>
                </c:pt>
                <c:pt idx="9">
                  <c:v>-1.5820800940008348</c:v>
                </c:pt>
                <c:pt idx="10">
                  <c:v>2.4041505795699138</c:v>
                </c:pt>
                <c:pt idx="11">
                  <c:v>4.2897087244779213</c:v>
                </c:pt>
                <c:pt idx="12">
                  <c:v>4.9547235956138209</c:v>
                </c:pt>
                <c:pt idx="13">
                  <c:v>4.9425812031110965</c:v>
                </c:pt>
                <c:pt idx="14">
                  <c:v>4.5825161710166382</c:v>
                </c:pt>
                <c:pt idx="15">
                  <c:v>4.0692210445587174</c:v>
                </c:pt>
                <c:pt idx="16">
                  <c:v>3.5139284069258965</c:v>
                </c:pt>
                <c:pt idx="17">
                  <c:v>2.9768656345165669</c:v>
                </c:pt>
                <c:pt idx="18">
                  <c:v>2.4876810156137275</c:v>
                </c:pt>
                <c:pt idx="19">
                  <c:v>2.0581690460784325</c:v>
                </c:pt>
                <c:pt idx="20">
                  <c:v>1.6901029630913345</c:v>
                </c:pt>
                <c:pt idx="21">
                  <c:v>1.3799820724935303</c:v>
                </c:pt>
                <c:pt idx="22">
                  <c:v>1.1218497863453216</c:v>
                </c:pt>
                <c:pt idx="23">
                  <c:v>0.90891710788752733</c:v>
                </c:pt>
                <c:pt idx="24">
                  <c:v>0.73445570468854426</c:v>
                </c:pt>
                <c:pt idx="25">
                  <c:v>0.59225175763916282</c:v>
                </c:pt>
                <c:pt idx="26">
                  <c:v>0.47680177295348458</c:v>
                </c:pt>
                <c:pt idx="27">
                  <c:v>0.38336194064498502</c:v>
                </c:pt>
                <c:pt idx="28">
                  <c:v>0.30791883372224665</c:v>
                </c:pt>
                <c:pt idx="29">
                  <c:v>0.24712188208134159</c:v>
                </c:pt>
                <c:pt idx="30">
                  <c:v>0.19820110575590291</c:v>
                </c:pt>
                <c:pt idx="31">
                  <c:v>0.15888320831872693</c:v>
                </c:pt>
                <c:pt idx="32">
                  <c:v>0.12731286388859073</c:v>
                </c:pt>
                <c:pt idx="33">
                  <c:v>0.10198232648645476</c:v>
                </c:pt>
                <c:pt idx="34">
                  <c:v>8.1670366463125851E-2</c:v>
                </c:pt>
                <c:pt idx="35">
                  <c:v>6.5390377893743107E-2</c:v>
                </c:pt>
                <c:pt idx="36">
                  <c:v>5.234691722779683E-2</c:v>
                </c:pt>
                <c:pt idx="37">
                  <c:v>4.1899687679591367E-2</c:v>
                </c:pt>
                <c:pt idx="38">
                  <c:v>3.3533928818764006E-2</c:v>
                </c:pt>
                <c:pt idx="39">
                  <c:v>2.6836217499617204E-2</c:v>
                </c:pt>
                <c:pt idx="40">
                  <c:v>2.1474781691620429E-2</c:v>
                </c:pt>
                <c:pt idx="41">
                  <c:v>1.7183542300385057E-2</c:v>
                </c:pt>
                <c:pt idx="42">
                  <c:v>1.3749212698862765E-2</c:v>
                </c:pt>
                <c:pt idx="43">
                  <c:v>1.100089263492283E-2</c:v>
                </c:pt>
                <c:pt idx="44">
                  <c:v>8.8016884957260698E-3</c:v>
                </c:pt>
                <c:pt idx="45">
                  <c:v>7.0419744064315112E-3</c:v>
                </c:pt>
                <c:pt idx="46">
                  <c:v>5.6339786363028286E-3</c:v>
                </c:pt>
                <c:pt idx="47">
                  <c:v>4.5074383406199679E-3</c:v>
                </c:pt>
                <c:pt idx="48">
                  <c:v>3.6061141489293568E-3</c:v>
                </c:pt>
                <c:pt idx="49">
                  <c:v>2.8849959441753577E-3</c:v>
                </c:pt>
                <c:pt idx="50">
                  <c:v>2.3080637154193119E-3</c:v>
                </c:pt>
                <c:pt idx="51">
                  <c:v>1.8464938268160428E-3</c:v>
                </c:pt>
                <c:pt idx="52">
                  <c:v>1.4772224883357824E-3</c:v>
                </c:pt>
                <c:pt idx="53">
                  <c:v>1.1817955438815811E-3</c:v>
                </c:pt>
                <c:pt idx="54">
                  <c:v>9.4544766916558512E-4</c:v>
                </c:pt>
                <c:pt idx="55">
                  <c:v>7.5636532513313564E-4</c:v>
                </c:pt>
                <c:pt idx="56">
                  <c:v>6.0509686157999198E-4</c:v>
                </c:pt>
                <c:pt idx="57">
                  <c:v>4.8408043420756358E-4</c:v>
                </c:pt>
                <c:pt idx="58">
                  <c:v>3.8726623213021256E-4</c:v>
                </c:pt>
                <c:pt idx="59">
                  <c:v>3.0981419195337523E-4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'T2'!$B$15</c:f>
              <c:numCache>
                <c:formatCode>0.000</c:formatCode>
                <c:ptCount val="1"/>
                <c:pt idx="0">
                  <c:v>0.16006508994473784</c:v>
                </c:pt>
              </c:numCache>
            </c:numRef>
          </c:xVal>
          <c:yVal>
            <c:numRef>
              <c:f>'T2'!$I$3</c:f>
              <c:numCache>
                <c:formatCode>General</c:formatCode>
                <c:ptCount val="1"/>
                <c:pt idx="0">
                  <c:v>9.6889293865363255E-2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'T2'!$B$18</c:f>
              <c:numCache>
                <c:formatCode>0.000</c:formatCode>
                <c:ptCount val="1"/>
                <c:pt idx="0">
                  <c:v>1.2065595239750166</c:v>
                </c:pt>
              </c:numCache>
            </c:numRef>
          </c:xVal>
          <c:yVal>
            <c:numRef>
              <c:f>'T2'!$I$3</c:f>
              <c:numCache>
                <c:formatCode>General</c:formatCode>
                <c:ptCount val="1"/>
                <c:pt idx="0">
                  <c:v>9.6889293865363255E-2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'T2'!$B$16</c:f>
              <c:numCache>
                <c:formatCode>0</c:formatCode>
                <c:ptCount val="1"/>
                <c:pt idx="0">
                  <c:v>249.16307186809024</c:v>
                </c:pt>
              </c:numCache>
            </c:numRef>
          </c:xVal>
          <c:yVal>
            <c:numRef>
              <c:f>'T2'!$I$3</c:f>
              <c:numCache>
                <c:formatCode>General</c:formatCode>
                <c:ptCount val="1"/>
                <c:pt idx="0">
                  <c:v>9.6889293865363255E-2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26400"/>
        <c:axId val="215528960"/>
      </c:scatterChart>
      <c:valAx>
        <c:axId val="215526400"/>
        <c:scaling>
          <c:logBase val="10"/>
          <c:orientation val="minMax"/>
          <c:max val="10000"/>
          <c:min val="1E-3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39209726443769"/>
              <c:y val="0.89147511778080024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528960"/>
        <c:crossesAt val="-1000000"/>
        <c:crossBetween val="midCat"/>
        <c:minorUnit val="10"/>
      </c:valAx>
      <c:valAx>
        <c:axId val="215528960"/>
        <c:scaling>
          <c:orientation val="minMax"/>
          <c:max val="100"/>
          <c:min val="-70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1276595744680851E-2"/>
              <c:y val="0.29715837259360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526400"/>
        <c:crossesAt val="1.0000000000000001E-5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3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66082060038777068"/>
          <c:y val="0.217721518987341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637488685263287"/>
          <c:y val="3.7974683544303799E-2"/>
          <c:w val="0.72222428449459886"/>
          <c:h val="0.8050632911392404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'T3'!$A$21:$A$80</c:f>
              <c:numCache>
                <c:formatCode>0.000</c:formatCode>
                <c:ptCount val="60"/>
                <c:pt idx="0">
                  <c:v>0.15</c:v>
                </c:pt>
                <c:pt idx="1">
                  <c:v>0.183</c:v>
                </c:pt>
                <c:pt idx="2">
                  <c:v>0.22325999999999999</c:v>
                </c:pt>
                <c:pt idx="3">
                  <c:v>0.27237719999999999</c:v>
                </c:pt>
                <c:pt idx="4">
                  <c:v>0.332300184</c:v>
                </c:pt>
                <c:pt idx="5">
                  <c:v>0.40540622447999997</c:v>
                </c:pt>
                <c:pt idx="6">
                  <c:v>0.49459559386559993</c:v>
                </c:pt>
                <c:pt idx="7">
                  <c:v>0.60340662451603189</c:v>
                </c:pt>
                <c:pt idx="8">
                  <c:v>0.73615608190955883</c:v>
                </c:pt>
                <c:pt idx="9">
                  <c:v>0.89811041992966179</c:v>
                </c:pt>
                <c:pt idx="10">
                  <c:v>1.0956947123141874</c:v>
                </c:pt>
                <c:pt idx="11">
                  <c:v>1.3367475490233085</c:v>
                </c:pt>
                <c:pt idx="12">
                  <c:v>1.6308320098084363</c:v>
                </c:pt>
                <c:pt idx="13">
                  <c:v>1.9896150519662923</c:v>
                </c:pt>
                <c:pt idx="14">
                  <c:v>2.4273303633988768</c:v>
                </c:pt>
                <c:pt idx="15">
                  <c:v>2.9613430433466297</c:v>
                </c:pt>
                <c:pt idx="16">
                  <c:v>3.6128385128828882</c:v>
                </c:pt>
                <c:pt idx="17">
                  <c:v>4.4076629857171232</c:v>
                </c:pt>
                <c:pt idx="18">
                  <c:v>5.3773488425748903</c:v>
                </c:pt>
                <c:pt idx="19">
                  <c:v>6.5603655879413658</c:v>
                </c:pt>
                <c:pt idx="20">
                  <c:v>8.0036460172884656</c:v>
                </c:pt>
                <c:pt idx="21">
                  <c:v>9.7644481410919273</c:v>
                </c:pt>
                <c:pt idx="22">
                  <c:v>11.912626732132152</c:v>
                </c:pt>
                <c:pt idx="23">
                  <c:v>14.533404613201224</c:v>
                </c:pt>
                <c:pt idx="24">
                  <c:v>17.730753628105493</c:v>
                </c:pt>
                <c:pt idx="25">
                  <c:v>21.631519426288701</c:v>
                </c:pt>
                <c:pt idx="26">
                  <c:v>26.390453700072214</c:v>
                </c:pt>
                <c:pt idx="27">
                  <c:v>32.196353514088102</c:v>
                </c:pt>
                <c:pt idx="28">
                  <c:v>39.279551287187481</c:v>
                </c:pt>
                <c:pt idx="29">
                  <c:v>47.921052570368722</c:v>
                </c:pt>
                <c:pt idx="30">
                  <c:v>58.463684135849839</c:v>
                </c:pt>
                <c:pt idx="31">
                  <c:v>71.325694645736803</c:v>
                </c:pt>
                <c:pt idx="32">
                  <c:v>87.017347467798899</c:v>
                </c:pt>
                <c:pt idx="33">
                  <c:v>106.16116391071465</c:v>
                </c:pt>
                <c:pt idx="34">
                  <c:v>129.51661997107186</c:v>
                </c:pt>
                <c:pt idx="35">
                  <c:v>158.01027636470766</c:v>
                </c:pt>
                <c:pt idx="36">
                  <c:v>192.77253716494334</c:v>
                </c:pt>
                <c:pt idx="37">
                  <c:v>235.18249534123086</c:v>
                </c:pt>
                <c:pt idx="38">
                  <c:v>286.92264431630167</c:v>
                </c:pt>
                <c:pt idx="39">
                  <c:v>350.04562606588803</c:v>
                </c:pt>
                <c:pt idx="40">
                  <c:v>427.0556638003834</c:v>
                </c:pt>
                <c:pt idx="41">
                  <c:v>521.00790983646777</c:v>
                </c:pt>
                <c:pt idx="42">
                  <c:v>635.62965000049064</c:v>
                </c:pt>
                <c:pt idx="43">
                  <c:v>775.46817300059854</c:v>
                </c:pt>
                <c:pt idx="44">
                  <c:v>946.07117106073019</c:v>
                </c:pt>
                <c:pt idx="45">
                  <c:v>1154.2068286940907</c:v>
                </c:pt>
                <c:pt idx="46">
                  <c:v>1408.1323310067908</c:v>
                </c:pt>
                <c:pt idx="47">
                  <c:v>1717.9214438282847</c:v>
                </c:pt>
                <c:pt idx="48">
                  <c:v>2095.8641614705075</c:v>
                </c:pt>
                <c:pt idx="49">
                  <c:v>2556.954276994019</c:v>
                </c:pt>
                <c:pt idx="50">
                  <c:v>3119.4842179327029</c:v>
                </c:pt>
                <c:pt idx="51">
                  <c:v>3805.7707458778973</c:v>
                </c:pt>
                <c:pt idx="52">
                  <c:v>4643.0403099710347</c:v>
                </c:pt>
                <c:pt idx="53">
                  <c:v>5664.5091781646624</c:v>
                </c:pt>
                <c:pt idx="54">
                  <c:v>6910.7011973608878</c:v>
                </c:pt>
                <c:pt idx="55">
                  <c:v>8431.0554607802824</c:v>
                </c:pt>
                <c:pt idx="56">
                  <c:v>10285.887662151945</c:v>
                </c:pt>
                <c:pt idx="57">
                  <c:v>12548.782947825372</c:v>
                </c:pt>
                <c:pt idx="58">
                  <c:v>15309.515196346953</c:v>
                </c:pt>
                <c:pt idx="59">
                  <c:v>18677.608539543282</c:v>
                </c:pt>
              </c:numCache>
            </c:numRef>
          </c:xVal>
          <c:yVal>
            <c:numRef>
              <c:f>'T3'!$B$21:$B$80</c:f>
              <c:numCache>
                <c:formatCode>General</c:formatCode>
                <c:ptCount val="60"/>
                <c:pt idx="0">
                  <c:v>1421.4196296156165</c:v>
                </c:pt>
                <c:pt idx="1">
                  <c:v>-368.05799378441384</c:v>
                </c:pt>
                <c:pt idx="2">
                  <c:v>-345.03817644140491</c:v>
                </c:pt>
                <c:pt idx="3">
                  <c:v>-246.01335776774349</c:v>
                </c:pt>
                <c:pt idx="4">
                  <c:v>-162.51131885103155</c:v>
                </c:pt>
                <c:pt idx="5">
                  <c:v>-102.4354175438405</c:v>
                </c:pt>
                <c:pt idx="6">
                  <c:v>-61.629236847735122</c:v>
                </c:pt>
                <c:pt idx="7">
                  <c:v>-34.823736247340442</c:v>
                </c:pt>
                <c:pt idx="8">
                  <c:v>-17.696321351861634</c:v>
                </c:pt>
                <c:pt idx="9">
                  <c:v>-7.074684262096798</c:v>
                </c:pt>
                <c:pt idx="10">
                  <c:v>-0.73773597352028897</c:v>
                </c:pt>
                <c:pt idx="11">
                  <c:v>2.8300120999852605</c:v>
                </c:pt>
                <c:pt idx="12">
                  <c:v>4.6447617821286942</c:v>
                </c:pt>
                <c:pt idx="13">
                  <c:v>5.3783131472872263</c:v>
                </c:pt>
                <c:pt idx="14">
                  <c:v>5.4687428290057554</c:v>
                </c:pt>
                <c:pt idx="15">
                  <c:v>5.1974300782980958</c:v>
                </c:pt>
                <c:pt idx="16">
                  <c:v>4.7417953960232966</c:v>
                </c:pt>
                <c:pt idx="17">
                  <c:v>4.2110001065312286</c:v>
                </c:pt>
                <c:pt idx="18">
                  <c:v>3.6698945896026949</c:v>
                </c:pt>
                <c:pt idx="19">
                  <c:v>3.15495428962946</c:v>
                </c:pt>
                <c:pt idx="20">
                  <c:v>2.6847991224870214</c:v>
                </c:pt>
                <c:pt idx="21">
                  <c:v>2.2670765313509889</c:v>
                </c:pt>
                <c:pt idx="22">
                  <c:v>1.9029188229087068</c:v>
                </c:pt>
                <c:pt idx="23">
                  <c:v>1.5897926456971436</c:v>
                </c:pt>
                <c:pt idx="24">
                  <c:v>1.3232900695031145</c:v>
                </c:pt>
                <c:pt idx="25">
                  <c:v>1.0982285213839602</c:v>
                </c:pt>
                <c:pt idx="26">
                  <c:v>0.90930379522798022</c:v>
                </c:pt>
                <c:pt idx="27">
                  <c:v>0.75145763951182021</c:v>
                </c:pt>
                <c:pt idx="28">
                  <c:v>0.62006605657822977</c:v>
                </c:pt>
                <c:pt idx="29">
                  <c:v>0.51101753302255615</c:v>
                </c:pt>
                <c:pt idx="30">
                  <c:v>0.42072592142443005</c:v>
                </c:pt>
                <c:pt idx="31">
                  <c:v>0.34610651534766101</c:v>
                </c:pt>
                <c:pt idx="32">
                  <c:v>0.28453323948452669</c:v>
                </c:pt>
                <c:pt idx="33">
                  <c:v>0.23378795609432348</c:v>
                </c:pt>
                <c:pt idx="34">
                  <c:v>0.19200842027154419</c:v>
                </c:pt>
                <c:pt idx="35">
                  <c:v>0.15763856567589138</c:v>
                </c:pt>
                <c:pt idx="36">
                  <c:v>0.12938301260589261</c:v>
                </c:pt>
                <c:pt idx="37">
                  <c:v>0.10616659169160637</c:v>
                </c:pt>
                <c:pt idx="38">
                  <c:v>8.7099023967628031E-2</c:v>
                </c:pt>
                <c:pt idx="39">
                  <c:v>7.144453010524425E-2</c:v>
                </c:pt>
                <c:pt idx="40">
                  <c:v>5.8595952207902313E-2</c:v>
                </c:pt>
                <c:pt idx="41">
                  <c:v>4.8052891842182047E-2</c:v>
                </c:pt>
                <c:pt idx="42">
                  <c:v>3.9403353385330402E-2</c:v>
                </c:pt>
                <c:pt idx="43">
                  <c:v>3.2308403939208981E-2</c:v>
                </c:pt>
                <c:pt idx="44">
                  <c:v>2.6489402174088433E-2</c:v>
                </c:pt>
                <c:pt idx="45">
                  <c:v>2.1717397586489828E-2</c:v>
                </c:pt>
                <c:pt idx="46">
                  <c:v>1.7804352282872679E-2</c:v>
                </c:pt>
                <c:pt idx="47">
                  <c:v>1.459588586473649E-2</c:v>
                </c:pt>
                <c:pt idx="48">
                  <c:v>1.1965288396269836E-2</c:v>
                </c:pt>
                <c:pt idx="49">
                  <c:v>9.8085859794231449E-3</c:v>
                </c:pt>
                <c:pt idx="50">
                  <c:v>8.0404779880349966E-3</c:v>
                </c:pt>
                <c:pt idx="51">
                  <c:v>6.5909947336686347E-3</c:v>
                </c:pt>
                <c:pt idx="52">
                  <c:v>5.4027496517378617E-3</c:v>
                </c:pt>
                <c:pt idx="53">
                  <c:v>4.4286814885582601E-3</c:v>
                </c:pt>
                <c:pt idx="54">
                  <c:v>3.6301999353300762E-3</c:v>
                </c:pt>
                <c:pt idx="55">
                  <c:v>2.9756631702943632E-3</c:v>
                </c:pt>
                <c:pt idx="56">
                  <c:v>2.4391282724021608E-3</c:v>
                </c:pt>
                <c:pt idx="57">
                  <c:v>1.9993258481596872E-3</c:v>
                </c:pt>
                <c:pt idx="58">
                  <c:v>1.6388188079513003E-3</c:v>
                </c:pt>
                <c:pt idx="59">
                  <c:v>1.3433123319300968E-3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'T3'!$B$15</c:f>
              <c:numCache>
                <c:formatCode>0.000</c:formatCode>
                <c:ptCount val="1"/>
                <c:pt idx="0">
                  <c:v>0.16137316940622423</c:v>
                </c:pt>
              </c:numCache>
            </c:numRef>
          </c:xVal>
          <c:yVal>
            <c:numRef>
              <c:f>'T3'!$I$3</c:f>
              <c:numCache>
                <c:formatCode>General</c:formatCode>
                <c:ptCount val="1"/>
                <c:pt idx="0">
                  <c:v>0.15297578457613945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'T3'!$B$18</c:f>
              <c:numCache>
                <c:formatCode>0.000</c:formatCode>
                <c:ptCount val="1"/>
                <c:pt idx="0">
                  <c:v>1.1398385108030595</c:v>
                </c:pt>
              </c:numCache>
            </c:numRef>
          </c:xVal>
          <c:yVal>
            <c:numRef>
              <c:f>'T3'!$I$3</c:f>
              <c:numCache>
                <c:formatCode>General</c:formatCode>
                <c:ptCount val="1"/>
                <c:pt idx="0">
                  <c:v>0.15297578457613945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'T3'!$B$16</c:f>
              <c:numCache>
                <c:formatCode>0</c:formatCode>
                <c:ptCount val="1"/>
                <c:pt idx="0">
                  <c:v>162.86212507583846</c:v>
                </c:pt>
              </c:numCache>
            </c:numRef>
          </c:xVal>
          <c:yVal>
            <c:numRef>
              <c:f>'T3'!$I$3</c:f>
              <c:numCache>
                <c:formatCode>General</c:formatCode>
                <c:ptCount val="1"/>
                <c:pt idx="0">
                  <c:v>0.15297578457613945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51840"/>
        <c:axId val="215658496"/>
      </c:scatterChart>
      <c:valAx>
        <c:axId val="215651840"/>
        <c:scaling>
          <c:logBase val="10"/>
          <c:orientation val="minMax"/>
          <c:max val="10000"/>
          <c:min val="1E-3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40350992413058562"/>
              <c:y val="0.8936708860759493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658496"/>
        <c:crossesAt val="-1000000"/>
        <c:crossBetween val="midCat"/>
        <c:minorUnit val="10"/>
      </c:valAx>
      <c:valAx>
        <c:axId val="215658496"/>
        <c:scaling>
          <c:orientation val="minMax"/>
          <c:max val="100"/>
          <c:min val="-100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0467894702276081E-2"/>
              <c:y val="0.30126582278481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651840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4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65653495440729481"/>
          <c:y val="0.2148541114058355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92401215805471"/>
          <c:y val="3.9787798408488062E-2"/>
          <c:w val="0.72036474164133735"/>
          <c:h val="0.7957559681697612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'T4'!$A$21:$A$80</c:f>
              <c:numCache>
                <c:formatCode>0.000</c:formatCode>
                <c:ptCount val="60"/>
                <c:pt idx="0">
                  <c:v>0.15</c:v>
                </c:pt>
                <c:pt idx="1">
                  <c:v>0.18</c:v>
                </c:pt>
                <c:pt idx="2">
                  <c:v>0.216</c:v>
                </c:pt>
                <c:pt idx="3">
                  <c:v>0.25919999999999999</c:v>
                </c:pt>
                <c:pt idx="4">
                  <c:v>0.31103999999999998</c:v>
                </c:pt>
                <c:pt idx="5">
                  <c:v>0.37324799999999997</c:v>
                </c:pt>
                <c:pt idx="6">
                  <c:v>0.44789759999999995</c:v>
                </c:pt>
                <c:pt idx="7">
                  <c:v>0.53747711999999992</c:v>
                </c:pt>
                <c:pt idx="8">
                  <c:v>0.64497254399999993</c:v>
                </c:pt>
                <c:pt idx="9">
                  <c:v>0.77396705279999989</c:v>
                </c:pt>
                <c:pt idx="10">
                  <c:v>0.92876046335999984</c:v>
                </c:pt>
                <c:pt idx="11">
                  <c:v>1.1145125560319997</c:v>
                </c:pt>
                <c:pt idx="12">
                  <c:v>1.3374150672383995</c:v>
                </c:pt>
                <c:pt idx="13">
                  <c:v>1.6048980806860793</c:v>
                </c:pt>
                <c:pt idx="14">
                  <c:v>1.9258776968232951</c:v>
                </c:pt>
                <c:pt idx="15">
                  <c:v>2.3110532361879539</c:v>
                </c:pt>
                <c:pt idx="16">
                  <c:v>2.7732638834255448</c:v>
                </c:pt>
                <c:pt idx="17">
                  <c:v>3.3279166601106538</c:v>
                </c:pt>
                <c:pt idx="18">
                  <c:v>3.9934999921327843</c:v>
                </c:pt>
                <c:pt idx="19">
                  <c:v>4.7921999905593413</c:v>
                </c:pt>
                <c:pt idx="20">
                  <c:v>5.7506399886712094</c:v>
                </c:pt>
                <c:pt idx="21">
                  <c:v>6.9007679864054507</c:v>
                </c:pt>
                <c:pt idx="22">
                  <c:v>8.2809215836865402</c:v>
                </c:pt>
                <c:pt idx="23">
                  <c:v>9.9371059004238482</c:v>
                </c:pt>
                <c:pt idx="24">
                  <c:v>11.924527080508618</c:v>
                </c:pt>
                <c:pt idx="25">
                  <c:v>14.309432496610341</c:v>
                </c:pt>
                <c:pt idx="26">
                  <c:v>17.17131899593241</c:v>
                </c:pt>
                <c:pt idx="27">
                  <c:v>20.605582795118892</c:v>
                </c:pt>
                <c:pt idx="28">
                  <c:v>24.726699354142671</c:v>
                </c:pt>
                <c:pt idx="29">
                  <c:v>29.672039224971204</c:v>
                </c:pt>
                <c:pt idx="30">
                  <c:v>35.606447069965441</c:v>
                </c:pt>
                <c:pt idx="31">
                  <c:v>42.72773648395853</c:v>
                </c:pt>
                <c:pt idx="32">
                  <c:v>51.273283780750234</c:v>
                </c:pt>
                <c:pt idx="33">
                  <c:v>61.527940536900275</c:v>
                </c:pt>
                <c:pt idx="34">
                  <c:v>73.833528644280321</c:v>
                </c:pt>
                <c:pt idx="35">
                  <c:v>88.600234373136388</c:v>
                </c:pt>
                <c:pt idx="36">
                  <c:v>106.32028124776366</c:v>
                </c:pt>
                <c:pt idx="37">
                  <c:v>127.58433749731638</c:v>
                </c:pt>
                <c:pt idx="38">
                  <c:v>153.10120499677964</c:v>
                </c:pt>
                <c:pt idx="39">
                  <c:v>183.72144599613557</c:v>
                </c:pt>
                <c:pt idx="40">
                  <c:v>220.46573519536267</c:v>
                </c:pt>
                <c:pt idx="41">
                  <c:v>264.5588822344352</c:v>
                </c:pt>
                <c:pt idx="42">
                  <c:v>317.47065868132222</c:v>
                </c:pt>
                <c:pt idx="43">
                  <c:v>380.96479041758664</c:v>
                </c:pt>
                <c:pt idx="44">
                  <c:v>457.15774850110398</c:v>
                </c:pt>
                <c:pt idx="45">
                  <c:v>548.58929820132471</c:v>
                </c:pt>
                <c:pt idx="46">
                  <c:v>658.30715784158963</c:v>
                </c:pt>
                <c:pt idx="47">
                  <c:v>789.96858940990751</c:v>
                </c:pt>
                <c:pt idx="48">
                  <c:v>947.96230729188892</c:v>
                </c:pt>
                <c:pt idx="49">
                  <c:v>1137.5547687502667</c:v>
                </c:pt>
                <c:pt idx="50">
                  <c:v>1365.0657225003199</c:v>
                </c:pt>
                <c:pt idx="51">
                  <c:v>1638.0788670003838</c:v>
                </c:pt>
                <c:pt idx="52">
                  <c:v>1965.6946404004605</c:v>
                </c:pt>
                <c:pt idx="53">
                  <c:v>2358.8335684805525</c:v>
                </c:pt>
                <c:pt idx="54">
                  <c:v>2830.6002821766629</c:v>
                </c:pt>
                <c:pt idx="55">
                  <c:v>3396.7203386119954</c:v>
                </c:pt>
                <c:pt idx="56">
                  <c:v>4076.0644063343943</c:v>
                </c:pt>
                <c:pt idx="57">
                  <c:v>4891.2772876012732</c:v>
                </c:pt>
                <c:pt idx="58">
                  <c:v>5869.532745121528</c:v>
                </c:pt>
                <c:pt idx="59">
                  <c:v>7043.4392941458336</c:v>
                </c:pt>
              </c:numCache>
            </c:numRef>
          </c:xVal>
          <c:yVal>
            <c:numRef>
              <c:f>'T4'!$B$21:$B$80</c:f>
              <c:numCache>
                <c:formatCode>General</c:formatCode>
                <c:ptCount val="60"/>
                <c:pt idx="0">
                  <c:v>1544.5819057963174</c:v>
                </c:pt>
                <c:pt idx="1">
                  <c:v>-314.56094610002708</c:v>
                </c:pt>
                <c:pt idx="2">
                  <c:v>-336.25557358593107</c:v>
                </c:pt>
                <c:pt idx="3">
                  <c:v>-254.56776388568827</c:v>
                </c:pt>
                <c:pt idx="4">
                  <c:v>-176.72601971323417</c:v>
                </c:pt>
                <c:pt idx="5">
                  <c:v>-117.00590981398975</c:v>
                </c:pt>
                <c:pt idx="6">
                  <c:v>-74.304852236513582</c:v>
                </c:pt>
                <c:pt idx="7">
                  <c:v>-44.874410629531404</c:v>
                </c:pt>
                <c:pt idx="8">
                  <c:v>-25.126927842885479</c:v>
                </c:pt>
                <c:pt idx="9">
                  <c:v>-12.210627261767286</c:v>
                </c:pt>
                <c:pt idx="10">
                  <c:v>-4.0090483533555332</c:v>
                </c:pt>
                <c:pt idx="11">
                  <c:v>0.99576051988137804</c:v>
                </c:pt>
                <c:pt idx="12">
                  <c:v>3.8701063168021097</c:v>
                </c:pt>
                <c:pt idx="13">
                  <c:v>5.3518834362881789</c:v>
                </c:pt>
                <c:pt idx="14">
                  <c:v>5.9452811889278179</c:v>
                </c:pt>
                <c:pt idx="15">
                  <c:v>5.9905651284985035</c:v>
                </c:pt>
                <c:pt idx="16">
                  <c:v>5.7142826697659759</c:v>
                </c:pt>
                <c:pt idx="17">
                  <c:v>5.2648404476231336</c:v>
                </c:pt>
                <c:pt idx="18">
                  <c:v>4.7374456269619767</c:v>
                </c:pt>
                <c:pt idx="19">
                  <c:v>4.1914432302773017</c:v>
                </c:pt>
                <c:pt idx="20">
                  <c:v>3.6622788087817599</c:v>
                </c:pt>
                <c:pt idx="21">
                  <c:v>3.1696939525065773</c:v>
                </c:pt>
                <c:pt idx="22">
                  <c:v>2.7232990920564273</c:v>
                </c:pt>
                <c:pt idx="23">
                  <c:v>2.3263311189960438</c:v>
                </c:pt>
                <c:pt idx="24">
                  <c:v>1.9781617761019297</c:v>
                </c:pt>
                <c:pt idx="25">
                  <c:v>1.6759512881323966</c:v>
                </c:pt>
                <c:pt idx="26">
                  <c:v>1.4157208608784229</c:v>
                </c:pt>
                <c:pt idx="27">
                  <c:v>1.1930329922364169</c:v>
                </c:pt>
                <c:pt idx="28">
                  <c:v>1.003409464939641</c:v>
                </c:pt>
                <c:pt idx="29">
                  <c:v>0.84257584568129218</c:v>
                </c:pt>
                <c:pt idx="30">
                  <c:v>0.70659290329700153</c:v>
                </c:pt>
                <c:pt idx="31">
                  <c:v>0.59191576412933988</c:v>
                </c:pt>
                <c:pt idx="32">
                  <c:v>0.49540816197893206</c:v>
                </c:pt>
                <c:pt idx="33">
                  <c:v>0.41432993304267979</c:v>
                </c:pt>
                <c:pt idx="34">
                  <c:v>0.3463096401633981</c:v>
                </c:pt>
                <c:pt idx="35">
                  <c:v>0.28930997154577626</c:v>
                </c:pt>
                <c:pt idx="36">
                  <c:v>0.24159071211497582</c:v>
                </c:pt>
                <c:pt idx="37">
                  <c:v>0.2016721912590875</c:v>
                </c:pt>
                <c:pt idx="38">
                  <c:v>0.16830086505699246</c:v>
                </c:pt>
                <c:pt idx="39">
                  <c:v>0.14041788496597182</c:v>
                </c:pt>
                <c:pt idx="40">
                  <c:v>0.11713099456975294</c:v>
                </c:pt>
                <c:pt idx="41">
                  <c:v>9.7689782961645044E-2</c:v>
                </c:pt>
                <c:pt idx="42">
                  <c:v>8.1464140574772387E-2</c:v>
                </c:pt>
                <c:pt idx="43">
                  <c:v>6.7925665267025662E-2</c:v>
                </c:pt>
                <c:pt idx="44">
                  <c:v>5.6631722543419069E-2</c:v>
                </c:pt>
                <c:pt idx="45">
                  <c:v>4.7211853428736419E-2</c:v>
                </c:pt>
                <c:pt idx="46">
                  <c:v>3.935623309293499E-2</c:v>
                </c:pt>
                <c:pt idx="47">
                  <c:v>3.2805903990971177E-2</c:v>
                </c:pt>
                <c:pt idx="48">
                  <c:v>2.7344533296115619E-2</c:v>
                </c:pt>
                <c:pt idx="49">
                  <c:v>2.2791472201548323E-2</c:v>
                </c:pt>
                <c:pt idx="50">
                  <c:v>1.8995922075770316E-2</c:v>
                </c:pt>
                <c:pt idx="51">
                  <c:v>1.5832038250231696E-2</c:v>
                </c:pt>
                <c:pt idx="52">
                  <c:v>1.3194825761115924E-2</c:v>
                </c:pt>
                <c:pt idx="53">
                  <c:v>1.0996702410366601E-2</c:v>
                </c:pt>
                <c:pt idx="54">
                  <c:v>9.1646230357196184E-3</c:v>
                </c:pt>
                <c:pt idx="55">
                  <c:v>7.6376750034387484E-3</c:v>
                </c:pt>
                <c:pt idx="56">
                  <c:v>6.3650688509960919E-3</c:v>
                </c:pt>
                <c:pt idx="57">
                  <c:v>5.3044599327914908E-3</c:v>
                </c:pt>
                <c:pt idx="58">
                  <c:v>4.4205470902562351E-3</c:v>
                </c:pt>
                <c:pt idx="59">
                  <c:v>3.6839030009897396E-3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'T4'!$B$15</c:f>
              <c:numCache>
                <c:formatCode>0.000</c:formatCode>
                <c:ptCount val="1"/>
                <c:pt idx="0">
                  <c:v>0.16280799846947722</c:v>
                </c:pt>
              </c:numCache>
            </c:numRef>
          </c:xVal>
          <c:yVal>
            <c:numRef>
              <c:f>'T4'!$I$3</c:f>
              <c:numCache>
                <c:formatCode>General</c:formatCode>
                <c:ptCount val="1"/>
                <c:pt idx="0">
                  <c:v>0.23642385647017744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'T4'!$B$18</c:f>
              <c:numCache>
                <c:formatCode>0.000</c:formatCode>
                <c:ptCount val="1"/>
                <c:pt idx="0">
                  <c:v>1.0765791640194493</c:v>
                </c:pt>
              </c:numCache>
            </c:numRef>
          </c:xVal>
          <c:yVal>
            <c:numRef>
              <c:f>'T4'!$I$3</c:f>
              <c:numCache>
                <c:formatCode>General</c:formatCode>
                <c:ptCount val="1"/>
                <c:pt idx="0">
                  <c:v>0.23642385647017744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'T4'!$B$16</c:f>
              <c:numCache>
                <c:formatCode>0</c:formatCode>
                <c:ptCount val="1"/>
                <c:pt idx="0">
                  <c:v>108.6680719854226</c:v>
                </c:pt>
              </c:numCache>
            </c:numRef>
          </c:xVal>
          <c:yVal>
            <c:numRef>
              <c:f>'T4'!$I$3</c:f>
              <c:numCache>
                <c:formatCode>General</c:formatCode>
                <c:ptCount val="1"/>
                <c:pt idx="0">
                  <c:v>0.23642385647017744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89472"/>
        <c:axId val="215696128"/>
      </c:scatterChart>
      <c:valAx>
        <c:axId val="215689472"/>
        <c:scaling>
          <c:logBase val="10"/>
          <c:orientation val="minMax"/>
          <c:max val="10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40425531914893614"/>
              <c:y val="0.8885941644562334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696128"/>
        <c:crossesAt val="-1000000"/>
        <c:crossBetween val="midCat"/>
        <c:minorUnit val="10"/>
      </c:valAx>
      <c:valAx>
        <c:axId val="215696128"/>
        <c:scaling>
          <c:orientation val="minMax"/>
          <c:max val="100"/>
          <c:min val="-100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1276595744680851E-2"/>
              <c:y val="0.291777188328912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689472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5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65653495440729481"/>
          <c:y val="0.2163591177944603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68693009118541"/>
          <c:y val="3.9577887401425683E-2"/>
          <c:w val="0.71732522796352582"/>
          <c:h val="0.7572569122806113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'T5'!$A$21:$A$80</c:f>
              <c:numCache>
                <c:formatCode>0.000</c:formatCode>
                <c:ptCount val="60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</c:numCache>
            </c:numRef>
          </c:xVal>
          <c:yVal>
            <c:numRef>
              <c:f>'T5'!$B$21:$B$80</c:f>
              <c:numCache>
                <c:formatCode>General</c:formatCode>
                <c:ptCount val="60"/>
                <c:pt idx="0">
                  <c:v>26839199.846025243</c:v>
                </c:pt>
                <c:pt idx="1">
                  <c:v>-29.154035589281122</c:v>
                </c:pt>
                <c:pt idx="2">
                  <c:v>-322.74625176444846</c:v>
                </c:pt>
                <c:pt idx="3">
                  <c:v>-296.20881707595362</c:v>
                </c:pt>
                <c:pt idx="4">
                  <c:v>-229.67601244731645</c:v>
                </c:pt>
                <c:pt idx="5">
                  <c:v>-167.27270194240285</c:v>
                </c:pt>
                <c:pt idx="6">
                  <c:v>-117.19797061851595</c:v>
                </c:pt>
                <c:pt idx="7">
                  <c:v>-79.351571312641923</c:v>
                </c:pt>
                <c:pt idx="8">
                  <c:v>-51.668389101930998</c:v>
                </c:pt>
                <c:pt idx="9">
                  <c:v>-31.884401140877898</c:v>
                </c:pt>
                <c:pt idx="10">
                  <c:v>-18.033006631268371</c:v>
                </c:pt>
                <c:pt idx="11">
                  <c:v>-8.5425076795988577</c:v>
                </c:pt>
                <c:pt idx="12">
                  <c:v>-2.2066723327055251</c:v>
                </c:pt>
                <c:pt idx="13">
                  <c:v>1.8786930496370586</c:v>
                </c:pt>
                <c:pt idx="14">
                  <c:v>4.3807731060464992</c:v>
                </c:pt>
                <c:pt idx="15">
                  <c:v>5.7860072418758977</c:v>
                </c:pt>
                <c:pt idx="16">
                  <c:v>6.4454345119769751</c:v>
                </c:pt>
                <c:pt idx="17">
                  <c:v>6.6099110062619717</c:v>
                </c:pt>
                <c:pt idx="18">
                  <c:v>6.4568670378105342</c:v>
                </c:pt>
                <c:pt idx="19">
                  <c:v>6.1103464397970058</c:v>
                </c:pt>
                <c:pt idx="20">
                  <c:v>5.6558622355500692</c:v>
                </c:pt>
                <c:pt idx="21">
                  <c:v>5.1513235476536146</c:v>
                </c:pt>
                <c:pt idx="22">
                  <c:v>4.6350205918471978</c:v>
                </c:pt>
                <c:pt idx="23">
                  <c:v>4.13142583522301</c:v>
                </c:pt>
                <c:pt idx="24">
                  <c:v>3.6553848819332226</c:v>
                </c:pt>
                <c:pt idx="25">
                  <c:v>3.2151265172670769</c:v>
                </c:pt>
                <c:pt idx="26">
                  <c:v>2.8144109772176988</c:v>
                </c:pt>
                <c:pt idx="27">
                  <c:v>2.4540521187910271</c:v>
                </c:pt>
                <c:pt idx="28">
                  <c:v>2.1329867398396796</c:v>
                </c:pt>
                <c:pt idx="29">
                  <c:v>1.8490178852483878</c:v>
                </c:pt>
                <c:pt idx="30">
                  <c:v>1.5993246526511973</c:v>
                </c:pt>
                <c:pt idx="31">
                  <c:v>1.3808057349599274</c:v>
                </c:pt>
                <c:pt idx="32">
                  <c:v>1.1903053906365451</c:v>
                </c:pt>
                <c:pt idx="33">
                  <c:v>1.0247569674323993</c:v>
                </c:pt>
                <c:pt idx="34">
                  <c:v>0.88126921281646053</c:v>
                </c:pt>
                <c:pt idx="35">
                  <c:v>0.75717341105572555</c:v>
                </c:pt>
                <c:pt idx="36">
                  <c:v>0.65004417189260377</c:v>
                </c:pt>
                <c:pt idx="37">
                  <c:v>0.5577029268896494</c:v>
                </c:pt>
                <c:pt idx="38">
                  <c:v>0.47821047525713162</c:v>
                </c:pt>
                <c:pt idx="39">
                  <c:v>0.40985297398228282</c:v>
                </c:pt>
                <c:pt idx="40">
                  <c:v>0.35112437690319742</c:v>
                </c:pt>
                <c:pt idx="41">
                  <c:v>0.30070734022876183</c:v>
                </c:pt>
                <c:pt idx="42">
                  <c:v>0.257453915736096</c:v>
                </c:pt>
                <c:pt idx="43">
                  <c:v>0.22036686583694842</c:v>
                </c:pt>
                <c:pt idx="44">
                  <c:v>0.18858209759103628</c:v>
                </c:pt>
                <c:pt idx="45">
                  <c:v>0.16135248257605547</c:v>
                </c:pt>
                <c:pt idx="46">
                  <c:v>0.13803317522553063</c:v>
                </c:pt>
                <c:pt idx="47">
                  <c:v>0.11806844141162168</c:v>
                </c:pt>
                <c:pt idx="48">
                  <c:v>0.10097994557809425</c:v>
                </c:pt>
                <c:pt idx="49">
                  <c:v>8.6356407089905746E-2</c:v>
                </c:pt>
                <c:pt idx="50">
                  <c:v>7.3844516442791622E-2</c:v>
                </c:pt>
                <c:pt idx="51">
                  <c:v>6.3140993743640184E-2</c:v>
                </c:pt>
                <c:pt idx="52">
                  <c:v>5.3985671328646997E-2</c:v>
                </c:pt>
                <c:pt idx="53">
                  <c:v>4.6155486667387106E-2</c:v>
                </c:pt>
                <c:pt idx="54">
                  <c:v>3.9459278828879132E-2</c:v>
                </c:pt>
                <c:pt idx="55">
                  <c:v>3.3733290413161081E-2</c:v>
                </c:pt>
                <c:pt idx="56">
                  <c:v>2.8837286078501459E-2</c:v>
                </c:pt>
                <c:pt idx="57">
                  <c:v>2.465120803424142E-2</c:v>
                </c:pt>
                <c:pt idx="58">
                  <c:v>2.1072297755906414E-2</c:v>
                </c:pt>
                <c:pt idx="59">
                  <c:v>1.8012621497529243E-2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'T5'!$B$15</c:f>
              <c:numCache>
                <c:formatCode>0.000</c:formatCode>
                <c:ptCount val="1"/>
                <c:pt idx="0">
                  <c:v>0.16438841243443053</c:v>
                </c:pt>
              </c:numCache>
            </c:numRef>
          </c:xVal>
          <c:yVal>
            <c:numRef>
              <c:f>'T5'!$I$3</c:f>
              <c:numCache>
                <c:formatCode>General</c:formatCode>
                <c:ptCount val="1"/>
                <c:pt idx="0">
                  <c:v>0.35811104041134006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'T5'!$B$18</c:f>
              <c:numCache>
                <c:formatCode>0.000</c:formatCode>
                <c:ptCount val="1"/>
                <c:pt idx="0">
                  <c:v>1.016682560340584</c:v>
                </c:pt>
              </c:numCache>
            </c:numRef>
          </c:xVal>
          <c:yVal>
            <c:numRef>
              <c:f>'T5'!$I$3</c:f>
              <c:numCache>
                <c:formatCode>General</c:formatCode>
                <c:ptCount val="1"/>
                <c:pt idx="0">
                  <c:v>0.35811104041134006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'T5'!$B$16</c:f>
              <c:numCache>
                <c:formatCode>0</c:formatCode>
                <c:ptCount val="1"/>
                <c:pt idx="0">
                  <c:v>73.91113677217723</c:v>
                </c:pt>
              </c:numCache>
            </c:numRef>
          </c:xVal>
          <c:yVal>
            <c:numRef>
              <c:f>'T5'!$I$3</c:f>
              <c:numCache>
                <c:formatCode>General</c:formatCode>
                <c:ptCount val="1"/>
                <c:pt idx="0">
                  <c:v>0.35811104041134006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39392"/>
        <c:axId val="215741952"/>
      </c:scatterChart>
      <c:valAx>
        <c:axId val="215739392"/>
        <c:scaling>
          <c:logBase val="10"/>
          <c:orientation val="minMax"/>
          <c:max val="1000"/>
          <c:min val="1E-3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3860182370820669"/>
              <c:y val="0.8891832036186969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741952"/>
        <c:crossesAt val="-1000000"/>
        <c:crossBetween val="midCat"/>
        <c:minorUnit val="10"/>
      </c:valAx>
      <c:valAx>
        <c:axId val="215741952"/>
        <c:scaling>
          <c:orientation val="minMax"/>
          <c:max val="100"/>
          <c:min val="-80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1276595744680851E-2"/>
              <c:y val="0.271768160156456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739392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6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65653495440729481"/>
          <c:y val="0.2160804020100502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68693009118541"/>
          <c:y val="3.7688442211055273E-2"/>
          <c:w val="0.73860182370820671"/>
          <c:h val="0.8065326633165829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'T6'!$A$21:$A$80</c:f>
              <c:numCache>
                <c:formatCode>0.000</c:formatCode>
                <c:ptCount val="60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</c:numCache>
            </c:numRef>
          </c:xVal>
          <c:yVal>
            <c:numRef>
              <c:f>'T6'!$B$21:$B$80</c:f>
              <c:numCache>
                <c:formatCode>General</c:formatCode>
                <c:ptCount val="60"/>
                <c:pt idx="0">
                  <c:v>27759127.036917463</c:v>
                </c:pt>
                <c:pt idx="1">
                  <c:v>29.75658356615866</c:v>
                </c:pt>
                <c:pt idx="2">
                  <c:v>-290.04263676478456</c:v>
                </c:pt>
                <c:pt idx="3">
                  <c:v>-274.38975209553217</c:v>
                </c:pt>
                <c:pt idx="4">
                  <c:v>-214.19242064836689</c:v>
                </c:pt>
                <c:pt idx="5">
                  <c:v>-155.94429263344799</c:v>
                </c:pt>
                <c:pt idx="6">
                  <c:v>-108.75115449879929</c:v>
                </c:pt>
                <c:pt idx="7">
                  <c:v>-72.966404703740466</c:v>
                </c:pt>
                <c:pt idx="8">
                  <c:v>-46.788055885587575</c:v>
                </c:pt>
                <c:pt idx="9">
                  <c:v>-28.118413063492973</c:v>
                </c:pt>
                <c:pt idx="10">
                  <c:v>-15.101663153641157</c:v>
                </c:pt>
                <c:pt idx="11">
                  <c:v>-6.2424110310349628</c:v>
                </c:pt>
                <c:pt idx="12">
                  <c:v>-0.38817422174412514</c:v>
                </c:pt>
                <c:pt idx="13">
                  <c:v>3.3267653096701313</c:v>
                </c:pt>
                <c:pt idx="14">
                  <c:v>5.5417134690592027</c:v>
                </c:pt>
                <c:pt idx="15">
                  <c:v>6.7227113789343802</c:v>
                </c:pt>
                <c:pt idx="16">
                  <c:v>7.2057491056667287</c:v>
                </c:pt>
                <c:pt idx="17">
                  <c:v>7.2304979164546799</c:v>
                </c:pt>
                <c:pt idx="18">
                  <c:v>6.9660178755694577</c:v>
                </c:pt>
                <c:pt idx="19">
                  <c:v>6.5300472899575652</c:v>
                </c:pt>
                <c:pt idx="20">
                  <c:v>6.0033180293159809</c:v>
                </c:pt>
                <c:pt idx="21">
                  <c:v>5.4400902603307362</c:v>
                </c:pt>
                <c:pt idx="22">
                  <c:v>4.875851045389143</c:v>
                </c:pt>
                <c:pt idx="23">
                  <c:v>4.3329051889018357</c:v>
                </c:pt>
                <c:pt idx="24">
                  <c:v>3.8244108786220519</c:v>
                </c:pt>
                <c:pt idx="25">
                  <c:v>3.3572745581140198</c:v>
                </c:pt>
                <c:pt idx="26">
                  <c:v>2.9342133274242683</c:v>
                </c:pt>
                <c:pt idx="27">
                  <c:v>2.555212768376792</c:v>
                </c:pt>
                <c:pt idx="28">
                  <c:v>2.2185477979124655</c:v>
                </c:pt>
                <c:pt idx="29">
                  <c:v>1.9214892717531027</c:v>
                </c:pt>
                <c:pt idx="30">
                  <c:v>1.6607858409430796</c:v>
                </c:pt>
                <c:pt idx="31">
                  <c:v>1.4329860874250713</c:v>
                </c:pt>
                <c:pt idx="32">
                  <c:v>1.234647999699404</c:v>
                </c:pt>
                <c:pt idx="33">
                  <c:v>1.0624697084328252</c:v>
                </c:pt>
                <c:pt idx="34">
                  <c:v>0.91336581972341435</c:v>
                </c:pt>
                <c:pt idx="35">
                  <c:v>0.78450671832107755</c:v>
                </c:pt>
                <c:pt idx="36">
                  <c:v>0.6733331658959909</c:v>
                </c:pt>
                <c:pt idx="37">
                  <c:v>0.57755487455850241</c:v>
                </c:pt>
                <c:pt idx="38">
                  <c:v>0.49513911348748452</c:v>
                </c:pt>
                <c:pt idx="39">
                  <c:v>0.42429352789487462</c:v>
                </c:pt>
                <c:pt idx="40">
                  <c:v>0.36344601042278207</c:v>
                </c:pt>
                <c:pt idx="41">
                  <c:v>0.31122351619004179</c:v>
                </c:pt>
                <c:pt idx="42">
                  <c:v>0.26643104523783284</c:v>
                </c:pt>
                <c:pt idx="43">
                  <c:v>0.22803155086477753</c:v>
                </c:pt>
                <c:pt idx="44">
                  <c:v>0.19512721177973863</c:v>
                </c:pt>
                <c:pt idx="45">
                  <c:v>0.16694228847489076</c:v>
                </c:pt>
                <c:pt idx="46">
                  <c:v>0.14280763963311258</c:v>
                </c:pt>
                <c:pt idx="47">
                  <c:v>0.12214688105026117</c:v>
                </c:pt>
                <c:pt idx="48">
                  <c:v>0.10446411190943866</c:v>
                </c:pt>
                <c:pt idx="49">
                  <c:v>8.9333100162519774E-2</c:v>
                </c:pt>
                <c:pt idx="50">
                  <c:v>7.6387802336124272E-2</c:v>
                </c:pt>
                <c:pt idx="51">
                  <c:v>6.5314087684664526E-2</c:v>
                </c:pt>
                <c:pt idx="52">
                  <c:v>5.5842538330001058E-2</c:v>
                </c:pt>
                <c:pt idx="53">
                  <c:v>4.7742203120202886E-2</c:v>
                </c:pt>
                <c:pt idx="54">
                  <c:v>4.0815191528505733E-2</c:v>
                </c:pt>
                <c:pt idx="55">
                  <c:v>3.4892003725266817E-2</c:v>
                </c:pt>
                <c:pt idx="56">
                  <c:v>2.9827503147651892E-2</c:v>
                </c:pt>
                <c:pt idx="57">
                  <c:v>2.5497447922524584E-2</c:v>
                </c:pt>
                <c:pt idx="58">
                  <c:v>2.1795507035617598E-2</c:v>
                </c:pt>
                <c:pt idx="59">
                  <c:v>1.8630695996508694E-2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'T6'!$B$15</c:f>
              <c:numCache>
                <c:formatCode>0.000</c:formatCode>
                <c:ptCount val="1"/>
                <c:pt idx="0">
                  <c:v>0.1661370398442604</c:v>
                </c:pt>
              </c:numCache>
            </c:numRef>
          </c:xVal>
          <c:yVal>
            <c:numRef>
              <c:f>'T6'!$I$3</c:f>
              <c:numCache>
                <c:formatCode>General</c:formatCode>
                <c:ptCount val="1"/>
                <c:pt idx="0">
                  <c:v>0.5322296394350029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'T6'!$B$18</c:f>
              <c:numCache>
                <c:formatCode>0.000</c:formatCode>
                <c:ptCount val="1"/>
                <c:pt idx="0">
                  <c:v>0.96005560250619482</c:v>
                </c:pt>
              </c:numCache>
            </c:numRef>
          </c:xVal>
          <c:yVal>
            <c:numRef>
              <c:f>'T6'!$I$3</c:f>
              <c:numCache>
                <c:formatCode>General</c:formatCode>
                <c:ptCount val="1"/>
                <c:pt idx="0">
                  <c:v>0.5322296394350029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'T6'!$B$16</c:f>
              <c:numCache>
                <c:formatCode>0</c:formatCode>
                <c:ptCount val="1"/>
                <c:pt idx="0">
                  <c:v>51.174238674517106</c:v>
                </c:pt>
              </c:numCache>
            </c:numRef>
          </c:xVal>
          <c:yVal>
            <c:numRef>
              <c:f>'T6'!$I$3</c:f>
              <c:numCache>
                <c:formatCode>General</c:formatCode>
                <c:ptCount val="1"/>
                <c:pt idx="0">
                  <c:v>0.5322296394350029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63296"/>
        <c:axId val="215865600"/>
      </c:scatterChart>
      <c:valAx>
        <c:axId val="215863296"/>
        <c:scaling>
          <c:logBase val="10"/>
          <c:orientation val="minMax"/>
          <c:max val="10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39513677811550152"/>
              <c:y val="0.8944723618090452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865600"/>
        <c:crossesAt val="-1000000"/>
        <c:crossBetween val="midCat"/>
        <c:minorUnit val="10"/>
      </c:valAx>
      <c:valAx>
        <c:axId val="215865600"/>
        <c:scaling>
          <c:orientation val="minMax"/>
          <c:max val="100"/>
          <c:min val="-70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1276595744680851E-2"/>
              <c:y val="0.301507537688442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863296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1671732522796354"/>
          <c:y val="0.3495944211403845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68693009118541"/>
          <c:y val="4.0650514086091223E-2"/>
          <c:w val="0.74468085106382975"/>
          <c:h val="0.7913300075425758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'T7'!$A$21:$A$80</c:f>
              <c:numCache>
                <c:formatCode>0.000</c:formatCode>
                <c:ptCount val="60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</c:numCache>
            </c:numRef>
          </c:xVal>
          <c:yVal>
            <c:numRef>
              <c:f>'T7'!$B$21:$B$80</c:f>
              <c:numCache>
                <c:formatCode>General</c:formatCode>
                <c:ptCount val="60"/>
                <c:pt idx="0">
                  <c:v>28710581.435041208</c:v>
                </c:pt>
                <c:pt idx="1">
                  <c:v>89.990045546069595</c:v>
                </c:pt>
                <c:pt idx="2">
                  <c:v>-256.72674924104138</c:v>
                </c:pt>
                <c:pt idx="3">
                  <c:v>-252.1944046314471</c:v>
                </c:pt>
                <c:pt idx="4">
                  <c:v>-198.44956155479773</c:v>
                </c:pt>
                <c:pt idx="5">
                  <c:v>-144.42588748889168</c:v>
                </c:pt>
                <c:pt idx="6">
                  <c:v>-100.15967435989562</c:v>
                </c:pt>
                <c:pt idx="7">
                  <c:v>-66.468202384916196</c:v>
                </c:pt>
                <c:pt idx="8">
                  <c:v>-41.817749729424996</c:v>
                </c:pt>
                <c:pt idx="9">
                  <c:v>-24.279815305548937</c:v>
                </c:pt>
                <c:pt idx="10">
                  <c:v>-12.111100116999296</c:v>
                </c:pt>
                <c:pt idx="11">
                  <c:v>-3.8936142936503528</c:v>
                </c:pt>
                <c:pt idx="12">
                  <c:v>1.4706380050648931</c:v>
                </c:pt>
                <c:pt idx="13">
                  <c:v>4.8083877537313944</c:v>
                </c:pt>
                <c:pt idx="14">
                  <c:v>6.7306963214340065</c:v>
                </c:pt>
                <c:pt idx="15">
                  <c:v>7.682938209524564</c:v>
                </c:pt>
                <c:pt idx="16">
                  <c:v>7.9858534067977587</c:v>
                </c:pt>
                <c:pt idx="17">
                  <c:v>7.8677749019881285</c:v>
                </c:pt>
                <c:pt idx="18">
                  <c:v>7.4892735688119778</c:v>
                </c:pt>
                <c:pt idx="19">
                  <c:v>6.9616887552411786</c:v>
                </c:pt>
                <c:pt idx="20">
                  <c:v>6.3608969298432747</c:v>
                </c:pt>
                <c:pt idx="21">
                  <c:v>5.7374497092454293</c:v>
                </c:pt>
                <c:pt idx="22">
                  <c:v>5.1239827542519372</c:v>
                </c:pt>
                <c:pt idx="23">
                  <c:v>4.5405938506129031</c:v>
                </c:pt>
                <c:pt idx="24">
                  <c:v>3.9987214583755555</c:v>
                </c:pt>
                <c:pt idx="25">
                  <c:v>3.5039230026229999</c:v>
                </c:pt>
                <c:pt idx="26">
                  <c:v>3.0578503156928787</c:v>
                </c:pt>
                <c:pt idx="27">
                  <c:v>2.6596422661169221</c:v>
                </c:pt>
                <c:pt idx="28">
                  <c:v>2.3068964734568738</c:v>
                </c:pt>
                <c:pt idx="29">
                  <c:v>1.9963386740810041</c:v>
                </c:pt>
                <c:pt idx="30">
                  <c:v>1.7242761984534589</c:v>
                </c:pt>
                <c:pt idx="31">
                  <c:v>1.4868983516609402</c:v>
                </c:pt>
                <c:pt idx="32">
                  <c:v>1.2804691108140764</c:v>
                </c:pt>
                <c:pt idx="33">
                  <c:v>1.1014448400058925</c:v>
                </c:pt>
                <c:pt idx="34">
                  <c:v>0.9465404547825409</c:v>
                </c:pt>
                <c:pt idx="35">
                  <c:v>0.81276073282253147</c:v>
                </c:pt>
                <c:pt idx="36">
                  <c:v>0.69740858984922027</c:v>
                </c:pt>
                <c:pt idx="37">
                  <c:v>0.59807862020563141</c:v>
                </c:pt>
                <c:pt idx="38">
                  <c:v>0.51264167208350653</c:v>
                </c:pt>
                <c:pt idx="39">
                  <c:v>0.43922441790985295</c:v>
                </c:pt>
                <c:pt idx="40">
                  <c:v>0.37618659291006823</c:v>
                </c:pt>
                <c:pt idx="41">
                  <c:v>0.32209766472286822</c:v>
                </c:pt>
                <c:pt idx="42">
                  <c:v>0.27571405865279847</c:v>
                </c:pt>
                <c:pt idx="43">
                  <c:v>0.2359576199671386</c:v>
                </c:pt>
                <c:pt idx="44">
                  <c:v>0.20189569087374129</c:v>
                </c:pt>
                <c:pt idx="45">
                  <c:v>0.17272297512803975</c:v>
                </c:pt>
                <c:pt idx="46">
                  <c:v>0.14774522849746341</c:v>
                </c:pt>
                <c:pt idx="47">
                  <c:v>0.12636472760832451</c:v>
                </c:pt>
                <c:pt idx="48">
                  <c:v>0.10806741799200018</c:v>
                </c:pt>
                <c:pt idx="49">
                  <c:v>9.2411613710535398E-2</c:v>
                </c:pt>
                <c:pt idx="50">
                  <c:v>7.9018108161930375E-2</c:v>
                </c:pt>
                <c:pt idx="51">
                  <c:v>6.7561553169866173E-2</c:v>
                </c:pt>
                <c:pt idx="52">
                  <c:v>5.7762967491225253E-2</c:v>
                </c:pt>
                <c:pt idx="53">
                  <c:v>4.9383243822284963E-2</c:v>
                </c:pt>
                <c:pt idx="54">
                  <c:v>4.2217533469649397E-2</c:v>
                </c:pt>
                <c:pt idx="55">
                  <c:v>3.6090398878208828E-2</c:v>
                </c:pt>
                <c:pt idx="56">
                  <c:v>3.0851635391230106E-2</c:v>
                </c:pt>
                <c:pt idx="57">
                  <c:v>2.6372674460870851E-2</c:v>
                </c:pt>
                <c:pt idx="58">
                  <c:v>2.254349073427275E-2</c:v>
                </c:pt>
                <c:pt idx="59">
                  <c:v>1.9269944850474556E-2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'T7'!$B$16</c:f>
              <c:numCache>
                <c:formatCode>0</c:formatCode>
                <c:ptCount val="1"/>
                <c:pt idx="0">
                  <c:v>36.02109683451485</c:v>
                </c:pt>
              </c:numCache>
            </c:numRef>
          </c:xVal>
          <c:yVal>
            <c:numRef>
              <c:f>'T7'!$I$3</c:f>
              <c:numCache>
                <c:formatCode>General</c:formatCode>
                <c:ptCount val="1"/>
                <c:pt idx="0">
                  <c:v>0.77695697672529052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'T7'!$B$15</c:f>
              <c:numCache>
                <c:formatCode>0.000</c:formatCode>
                <c:ptCount val="1"/>
                <c:pt idx="0">
                  <c:v>0.1680812998912565</c:v>
                </c:pt>
              </c:numCache>
            </c:numRef>
          </c:xVal>
          <c:yVal>
            <c:numRef>
              <c:f>'T7'!$I$3</c:f>
              <c:numCache>
                <c:formatCode>General</c:formatCode>
                <c:ptCount val="1"/>
                <c:pt idx="0">
                  <c:v>0.77695697672529052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'T7'!$B$18</c:f>
              <c:numCache>
                <c:formatCode>0.000</c:formatCode>
                <c:ptCount val="1"/>
                <c:pt idx="0">
                  <c:v>0.90660891374761121</c:v>
                </c:pt>
              </c:numCache>
            </c:numRef>
          </c:xVal>
          <c:yVal>
            <c:numRef>
              <c:f>'T7'!$I$3</c:f>
              <c:numCache>
                <c:formatCode>General</c:formatCode>
                <c:ptCount val="1"/>
                <c:pt idx="0">
                  <c:v>0.77695697672529052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00928"/>
        <c:axId val="215903232"/>
      </c:scatterChart>
      <c:valAx>
        <c:axId val="215900928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2857142857142855"/>
              <c:y val="0.9051514469836312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03232"/>
        <c:crossesAt val="-1000000"/>
        <c:crossBetween val="midCat"/>
        <c:majorUnit val="10"/>
        <c:minorUnit val="10"/>
      </c:valAx>
      <c:valAx>
        <c:axId val="215903232"/>
        <c:scaling>
          <c:orientation val="minMax"/>
          <c:max val="100"/>
          <c:min val="-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5592705167173252E-2"/>
              <c:y val="0.303523838509481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00928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8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65454739153465769"/>
          <c:y val="0.3788664561685226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06121585350334"/>
          <c:y val="3.8659842466175785E-2"/>
          <c:w val="0.74545675147002688"/>
          <c:h val="0.8015474004653778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'T8'!$A$21:$A$85</c:f>
              <c:numCache>
                <c:formatCode>0.000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'T8'!$B$21:$B$85</c:f>
              <c:numCache>
                <c:formatCode>General</c:formatCode>
                <c:ptCount val="65"/>
                <c:pt idx="0">
                  <c:v>29694643.556611944</c:v>
                </c:pt>
                <c:pt idx="1">
                  <c:v>151.59280393605309</c:v>
                </c:pt>
                <c:pt idx="2">
                  <c:v>-222.7767894806021</c:v>
                </c:pt>
                <c:pt idx="3">
                  <c:v>-229.60928273014412</c:v>
                </c:pt>
                <c:pt idx="4">
                  <c:v>-182.43811417866291</c:v>
                </c:pt>
                <c:pt idx="5">
                  <c:v>-132.71065692076274</c:v>
                </c:pt>
                <c:pt idx="6">
                  <c:v>-91.418339933546619</c:v>
                </c:pt>
                <c:pt idx="7">
                  <c:v>-59.852920663290895</c:v>
                </c:pt>
                <c:pt idx="8">
                  <c:v>-36.754263085230924</c:v>
                </c:pt>
                <c:pt idx="9">
                  <c:v>-20.366028804484696</c:v>
                </c:pt>
                <c:pt idx="10">
                  <c:v>-9.0592217732867546</c:v>
                </c:pt>
                <c:pt idx="11">
                  <c:v>-1.4944000735690406</c:v>
                </c:pt>
                <c:pt idx="12">
                  <c:v>3.371181311502669</c:v>
                </c:pt>
                <c:pt idx="13">
                  <c:v>6.3247360161517694</c:v>
                </c:pt>
                <c:pt idx="14">
                  <c:v>7.948701585982783</c:v>
                </c:pt>
                <c:pt idx="15">
                  <c:v>8.6675076754018665</c:v>
                </c:pt>
                <c:pt idx="16">
                  <c:v>8.7864357100352457</c:v>
                </c:pt>
                <c:pt idx="17">
                  <c:v>8.5223213164230653</c:v>
                </c:pt>
                <c:pt idx="18">
                  <c:v>8.0271228902324143</c:v>
                </c:pt>
                <c:pt idx="19">
                  <c:v>7.4056839888006722</c:v>
                </c:pt>
                <c:pt idx="20">
                  <c:v>6.7289487437004505</c:v>
                </c:pt>
                <c:pt idx="21">
                  <c:v>6.0436984799087057</c:v>
                </c:pt>
                <c:pt idx="22">
                  <c:v>5.3796674781324763</c:v>
                </c:pt>
                <c:pt idx="23">
                  <c:v>4.7547057446273202</c:v>
                </c:pt>
                <c:pt idx="24">
                  <c:v>4.1784985521096099</c:v>
                </c:pt>
                <c:pt idx="25">
                  <c:v>3.6552266862474196</c:v>
                </c:pt>
                <c:pt idx="26">
                  <c:v>3.1854537995551353</c:v>
                </c:pt>
                <c:pt idx="27">
                  <c:v>2.7674529612865397</c:v>
                </c:pt>
                <c:pt idx="28">
                  <c:v>2.3981285371405692</c:v>
                </c:pt>
                <c:pt idx="29">
                  <c:v>2.073647762277004</c:v>
                </c:pt>
                <c:pt idx="30">
                  <c:v>1.789865393690576</c:v>
                </c:pt>
                <c:pt idx="31">
                  <c:v>1.542601975043747</c:v>
                </c:pt>
                <c:pt idx="32">
                  <c:v>1.3278194619922092</c:v>
                </c:pt>
                <c:pt idx="33">
                  <c:v>1.1417256756741714</c:v>
                </c:pt>
                <c:pt idx="34">
                  <c:v>0.98083009994735082</c:v>
                </c:pt>
                <c:pt idx="35">
                  <c:v>0.84196703523107386</c:v>
                </c:pt>
                <c:pt idx="36">
                  <c:v>0.72229741546499693</c:v>
                </c:pt>
                <c:pt idx="37">
                  <c:v>0.61929720175054048</c:v>
                </c:pt>
                <c:pt idx="38">
                  <c:v>0.53073783075196479</c:v>
                </c:pt>
                <c:pt idx="39">
                  <c:v>0.45466245638835551</c:v>
                </c:pt>
                <c:pt idx="40">
                  <c:v>0.38936048813583485</c:v>
                </c:pt>
                <c:pt idx="41">
                  <c:v>0.33334205834230213</c:v>
                </c:pt>
                <c:pt idx="42">
                  <c:v>0.28531344223434318</c:v>
                </c:pt>
                <c:pt idx="43">
                  <c:v>0.24415403350761811</c:v>
                </c:pt>
                <c:pt idx="44">
                  <c:v>0.20889519166312343</c:v>
                </c:pt>
                <c:pt idx="45">
                  <c:v>0.17870108560253942</c:v>
                </c:pt>
                <c:pt idx="46">
                  <c:v>0.1528515333086129</c:v>
                </c:pt>
                <c:pt idx="47">
                  <c:v>0.1307267594980667</c:v>
                </c:pt>
                <c:pt idx="48">
                  <c:v>0.11179394747205354</c:v>
                </c:pt>
                <c:pt idx="49">
                  <c:v>9.5595437688982376E-2</c:v>
                </c:pt>
                <c:pt idx="50">
                  <c:v>8.1738416538729902E-2</c:v>
                </c:pt>
                <c:pt idx="51">
                  <c:v>6.9885939263943819E-2</c:v>
                </c:pt>
                <c:pt idx="52">
                  <c:v>5.9749137367227131E-2</c:v>
                </c:pt>
                <c:pt idx="53">
                  <c:v>5.1080470689319091E-2</c:v>
                </c:pt>
                <c:pt idx="54">
                  <c:v>4.3667895962341878E-2</c:v>
                </c:pt>
                <c:pt idx="55">
                  <c:v>3.7329835914243395E-2</c:v>
                </c:pt>
                <c:pt idx="56">
                  <c:v>3.1910845200684858E-2</c:v>
                </c:pt>
                <c:pt idx="57">
                  <c:v>2.7277881118610604E-2</c:v>
                </c:pt>
                <c:pt idx="58">
                  <c:v>2.331709795077103E-2</c:v>
                </c:pt>
                <c:pt idx="59">
                  <c:v>1.993109377023548E-2</c:v>
                </c:pt>
                <c:pt idx="60">
                  <c:v>1.7036547551583504E-2</c:v>
                </c:pt>
                <c:pt idx="61">
                  <c:v>1.4562192499378158E-2</c:v>
                </c:pt>
                <c:pt idx="62">
                  <c:v>1.2447078657250405E-2</c:v>
                </c:pt>
                <c:pt idx="63">
                  <c:v>1.0639084164685217E-2</c:v>
                </c:pt>
                <c:pt idx="64">
                  <c:v>9.093640055480974E-3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'T8'!$B$16</c:f>
              <c:numCache>
                <c:formatCode>0.0</c:formatCode>
                <c:ptCount val="1"/>
                <c:pt idx="0">
                  <c:v>25.743992092727716</c:v>
                </c:pt>
              </c:numCache>
            </c:numRef>
          </c:xVal>
          <c:yVal>
            <c:numRef>
              <c:f>'T8'!$I$3</c:f>
              <c:numCache>
                <c:formatCode>General</c:formatCode>
                <c:ptCount val="1"/>
                <c:pt idx="0">
                  <c:v>1.1151690481244323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'T8'!$B$15</c:f>
              <c:numCache>
                <c:formatCode>0.000</c:formatCode>
                <c:ptCount val="1"/>
                <c:pt idx="0">
                  <c:v>0.17025474465960611</c:v>
                </c:pt>
              </c:numCache>
            </c:numRef>
          </c:xVal>
          <c:yVal>
            <c:numRef>
              <c:f>'T8'!$I$3</c:f>
              <c:numCache>
                <c:formatCode>General</c:formatCode>
                <c:ptCount val="1"/>
                <c:pt idx="0">
                  <c:v>1.1151690481244323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'T8'!$B$18</c:f>
              <c:numCache>
                <c:formatCode>0.000</c:formatCode>
                <c:ptCount val="1"/>
                <c:pt idx="0">
                  <c:v>0.85625285551161312</c:v>
                </c:pt>
              </c:numCache>
            </c:numRef>
          </c:xVal>
          <c:yVal>
            <c:numRef>
              <c:f>'T8'!$I$3</c:f>
              <c:numCache>
                <c:formatCode>General</c:formatCode>
                <c:ptCount val="1"/>
                <c:pt idx="0">
                  <c:v>1.1151690481244323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38560"/>
        <c:axId val="215961600"/>
      </c:scatterChart>
      <c:valAx>
        <c:axId val="215938560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3030430369408051"/>
              <c:y val="0.90979495937067012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61600"/>
        <c:crossesAt val="-1000000"/>
        <c:crossBetween val="midCat"/>
        <c:majorUnit val="10"/>
        <c:minorUnit val="10"/>
      </c:valAx>
      <c:valAx>
        <c:axId val="215961600"/>
        <c:scaling>
          <c:orientation val="minMax"/>
          <c:max val="100"/>
          <c:min val="-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5454679967684562E-2"/>
              <c:y val="0.311856062560484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938560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1661707629737696"/>
          <c:y val="0.3523316062176165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43836952176395"/>
          <c:y val="3.8860103626943004E-2"/>
          <c:w val="0.74622466576287794"/>
          <c:h val="0.800518134715025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'T9'!$A$21:$A$85</c:f>
              <c:numCache>
                <c:formatCode>0.000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'T9'!$B$21:$B$85</c:f>
              <c:numCache>
                <c:formatCode>General</c:formatCode>
                <c:ptCount val="65"/>
                <c:pt idx="0">
                  <c:v>30712430.938068464</c:v>
                </c:pt>
                <c:pt idx="1">
                  <c:v>214.60434537205452</c:v>
                </c:pt>
                <c:pt idx="2">
                  <c:v>-188.1764631271339</c:v>
                </c:pt>
                <c:pt idx="3">
                  <c:v>-206.62499956140621</c:v>
                </c:pt>
                <c:pt idx="4">
                  <c:v>-166.15177471829949</c:v>
                </c:pt>
                <c:pt idx="5">
                  <c:v>-120.79397473465696</c:v>
                </c:pt>
                <c:pt idx="6">
                  <c:v>-82.523563666048418</c:v>
                </c:pt>
                <c:pt idx="7">
                  <c:v>-53.117678009519352</c:v>
                </c:pt>
                <c:pt idx="8">
                  <c:v>-31.595228690339155</c:v>
                </c:pt>
                <c:pt idx="9">
                  <c:v>-16.375080252670251</c:v>
                </c:pt>
                <c:pt idx="10">
                  <c:v>-5.9443676308842619</c:v>
                </c:pt>
                <c:pt idx="11">
                  <c:v>0.95663745148230195</c:v>
                </c:pt>
                <c:pt idx="12">
                  <c:v>5.3146506193799317</c:v>
                </c:pt>
                <c:pt idx="13">
                  <c:v>7.8768283426646208</c:v>
                </c:pt>
                <c:pt idx="14">
                  <c:v>9.1965983616137095</c:v>
                </c:pt>
                <c:pt idx="15">
                  <c:v>9.6771623275444245</c:v>
                </c:pt>
                <c:pt idx="16">
                  <c:v>9.608130836114622</c:v>
                </c:pt>
                <c:pt idx="17">
                  <c:v>9.1946800732740854</c:v>
                </c:pt>
                <c:pt idx="18">
                  <c:v>8.5800302390362759</c:v>
                </c:pt>
                <c:pt idx="19">
                  <c:v>7.8624302612436123</c:v>
                </c:pt>
                <c:pt idx="20">
                  <c:v>7.1078133198652464</c:v>
                </c:pt>
                <c:pt idx="21">
                  <c:v>6.3591272904603997</c:v>
                </c:pt>
                <c:pt idx="22">
                  <c:v>5.6431538934952554</c:v>
                </c:pt>
                <c:pt idx="23">
                  <c:v>4.975453571403162</c:v>
                </c:pt>
                <c:pt idx="24">
                  <c:v>4.3639240760336548</c:v>
                </c:pt>
                <c:pt idx="25">
                  <c:v>3.8113411853763983</c:v>
                </c:pt>
                <c:pt idx="26">
                  <c:v>3.3171568203507649</c:v>
                </c:pt>
                <c:pt idx="27">
                  <c:v>2.878758617183927</c:v>
                </c:pt>
                <c:pt idx="28">
                  <c:v>2.4923412620583294</c:v>
                </c:pt>
                <c:pt idx="29">
                  <c:v>2.1534997052006482</c:v>
                </c:pt>
                <c:pt idx="30">
                  <c:v>1.8576245330463581</c:v>
                </c:pt>
                <c:pt idx="31">
                  <c:v>1.6001577484956169</c:v>
                </c:pt>
                <c:pt idx="32">
                  <c:v>1.3767510232863314</c:v>
                </c:pt>
                <c:pt idx="33">
                  <c:v>1.1833566431416607</c:v>
                </c:pt>
                <c:pt idx="34">
                  <c:v>1.0162727341396123</c:v>
                </c:pt>
                <c:pt idx="35">
                  <c:v>0.87215809096520913</c:v>
                </c:pt>
                <c:pt idx="36">
                  <c:v>0.74802739449363298</c:v>
                </c:pt>
                <c:pt idx="37">
                  <c:v>0.64123434122973211</c:v>
                </c:pt>
                <c:pt idx="38">
                  <c:v>0.54944786663951406</c:v>
                </c:pt>
                <c:pt idx="39">
                  <c:v>0.4706249756194994</c:v>
                </c:pt>
                <c:pt idx="40">
                  <c:v>0.40298251104441751</c:v>
                </c:pt>
                <c:pt idx="41">
                  <c:v>0.34496936014257146</c:v>
                </c:pt>
                <c:pt idx="42">
                  <c:v>0.29524001968809782</c:v>
                </c:pt>
                <c:pt idx="43">
                  <c:v>0.25263004291791274</c:v>
                </c:pt>
                <c:pt idx="44">
                  <c:v>0.21613362164807459</c:v>
                </c:pt>
                <c:pt idx="45">
                  <c:v>0.18488337866035759</c:v>
                </c:pt>
                <c:pt idx="46">
                  <c:v>0.15813233094329748</c:v>
                </c:pt>
                <c:pt idx="47">
                  <c:v>0.13523791433586083</c:v>
                </c:pt>
                <c:pt idx="48">
                  <c:v>0.11564792061853638</c:v>
                </c:pt>
                <c:pt idx="49">
                  <c:v>9.8888179226741452E-2</c:v>
                </c:pt>
                <c:pt idx="50">
                  <c:v>8.4551810527552534E-2</c:v>
                </c:pt>
                <c:pt idx="51">
                  <c:v>7.2289881094607281E-2</c:v>
                </c:pt>
                <c:pt idx="52">
                  <c:v>6.1803300227894133E-2</c:v>
                </c:pt>
                <c:pt idx="53">
                  <c:v>5.283580875582912E-2</c:v>
                </c:pt>
                <c:pt idx="54">
                  <c:v>4.5167924348043523E-2</c:v>
                </c:pt>
                <c:pt idx="55">
                  <c:v>3.8611721117481776E-2</c:v>
                </c:pt>
                <c:pt idx="56">
                  <c:v>3.3006334535086473E-2</c:v>
                </c:pt>
                <c:pt idx="57">
                  <c:v>2.8214095216185266E-2</c:v>
                </c:pt>
                <c:pt idx="58">
                  <c:v>2.4117206740422597E-2</c:v>
                </c:pt>
                <c:pt idx="59">
                  <c:v>2.0614893233082947E-2</c:v>
                </c:pt>
                <c:pt idx="60">
                  <c:v>1.7620951940757155E-2</c:v>
                </c:pt>
                <c:pt idx="61">
                  <c:v>1.5061654504910293E-2</c:v>
                </c:pt>
                <c:pt idx="62">
                  <c:v>1.2873948129977114E-2</c:v>
                </c:pt>
                <c:pt idx="63">
                  <c:v>1.1003914431964253E-2</c:v>
                </c:pt>
                <c:pt idx="64">
                  <c:v>9.4054495206430614E-3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'T9'!$B$16</c:f>
              <c:numCache>
                <c:formatCode>0.00</c:formatCode>
                <c:ptCount val="1"/>
                <c:pt idx="0">
                  <c:v>18.658308586849238</c:v>
                </c:pt>
              </c:numCache>
            </c:numRef>
          </c:xVal>
          <c:yVal>
            <c:numRef>
              <c:f>'T9'!$I$3</c:f>
              <c:numCache>
                <c:formatCode>General</c:formatCode>
                <c:ptCount val="1"/>
                <c:pt idx="0">
                  <c:v>1.5751790376191113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'T9'!$B$15</c:f>
              <c:numCache>
                <c:formatCode>0.000</c:formatCode>
                <c:ptCount val="1"/>
                <c:pt idx="0">
                  <c:v>0.17269890421240794</c:v>
                </c:pt>
              </c:numCache>
            </c:numRef>
          </c:xVal>
          <c:yVal>
            <c:numRef>
              <c:f>'T9'!$I$3</c:f>
              <c:numCache>
                <c:formatCode>General</c:formatCode>
                <c:ptCount val="1"/>
                <c:pt idx="0">
                  <c:v>1.5751790376191113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'T9'!$B$18</c:f>
              <c:numCache>
                <c:formatCode>0.000</c:formatCode>
                <c:ptCount val="1"/>
                <c:pt idx="0">
                  <c:v>0.80889483745278667</c:v>
                </c:pt>
              </c:numCache>
            </c:numRef>
          </c:xVal>
          <c:yVal>
            <c:numRef>
              <c:f>'T9'!$I$3</c:f>
              <c:numCache>
                <c:formatCode>General</c:formatCode>
                <c:ptCount val="1"/>
                <c:pt idx="0">
                  <c:v>1.5751790376191113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08960"/>
        <c:axId val="216015616"/>
      </c:scatterChart>
      <c:valAx>
        <c:axId val="216008960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2900365400133061"/>
              <c:y val="0.90932642487046633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6015616"/>
        <c:crossesAt val="-1000000"/>
        <c:crossBetween val="midCat"/>
        <c:majorUnit val="10"/>
        <c:minorUnit val="10"/>
      </c:valAx>
      <c:valAx>
        <c:axId val="216015616"/>
        <c:scaling>
          <c:orientation val="minMax"/>
          <c:max val="100"/>
          <c:min val="-6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5317287394506751E-2"/>
              <c:y val="0.310880829015544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6008960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61094224924012153"/>
          <c:y val="0.3685571648442091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68693009118541"/>
          <c:y val="3.8659842466175785E-2"/>
          <c:w val="0.74468085106382975"/>
          <c:h val="0.8015474004653778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'T10#'!$A$21:$A$85</c:f>
              <c:numCache>
                <c:formatCode>0.000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'T10#'!$B$21:$B$85</c:f>
              <c:numCache>
                <c:formatCode>General</c:formatCode>
                <c:ptCount val="65"/>
                <c:pt idx="0">
                  <c:v>31765099.843828846</c:v>
                </c:pt>
                <c:pt idx="1">
                  <c:v>279.37763312608467</c:v>
                </c:pt>
                <c:pt idx="2">
                  <c:v>-152.68090705296993</c:v>
                </c:pt>
                <c:pt idx="3">
                  <c:v>-183.06528195402592</c:v>
                </c:pt>
                <c:pt idx="4">
                  <c:v>-149.46234560501642</c:v>
                </c:pt>
                <c:pt idx="5">
                  <c:v>-108.58216896161589</c:v>
                </c:pt>
                <c:pt idx="6">
                  <c:v>-73.406701728134266</c:v>
                </c:pt>
                <c:pt idx="7">
                  <c:v>-46.212059466056964</c:v>
                </c:pt>
                <c:pt idx="8">
                  <c:v>-26.303546480143378</c:v>
                </c:pt>
                <c:pt idx="9">
                  <c:v>-12.279615197851854</c:v>
                </c:pt>
                <c:pt idx="10">
                  <c:v>-2.7463284236630443</c:v>
                </c:pt>
                <c:pt idx="11">
                  <c:v>3.4744608430045991</c:v>
                </c:pt>
                <c:pt idx="12">
                  <c:v>7.312149988265146</c:v>
                </c:pt>
                <c:pt idx="13">
                  <c:v>9.4729267195435884</c:v>
                </c:pt>
                <c:pt idx="14">
                  <c:v>10.480551690710593</c:v>
                </c:pt>
                <c:pt idx="15">
                  <c:v>10.716517165260859</c:v>
                </c:pt>
                <c:pt idx="16">
                  <c:v>10.454405647744956</c:v>
                </c:pt>
                <c:pt idx="17">
                  <c:v>9.8874656443885609</c:v>
                </c:pt>
                <c:pt idx="18">
                  <c:v>9.1499756393132436</c:v>
                </c:pt>
                <c:pt idx="19">
                  <c:v>8.3334340162051941</c:v>
                </c:pt>
                <c:pt idx="20">
                  <c:v>7.4986424744384488</c:v>
                </c:pt>
                <c:pt idx="21">
                  <c:v>6.6846214670244626</c:v>
                </c:pt>
                <c:pt idx="22">
                  <c:v>5.9151262901849213</c:v>
                </c:pt>
                <c:pt idx="23">
                  <c:v>5.2033693166559702</c:v>
                </c:pt>
                <c:pt idx="24">
                  <c:v>4.5554140980058762</c:v>
                </c:pt>
                <c:pt idx="25">
                  <c:v>3.9725939047923147</c:v>
                </c:pt>
                <c:pt idx="26">
                  <c:v>3.4532186069553417</c:v>
                </c:pt>
                <c:pt idx="27">
                  <c:v>2.9937657468711905</c:v>
                </c:pt>
                <c:pt idx="28">
                  <c:v>2.5897001618179769</c:v>
                </c:pt>
                <c:pt idx="29">
                  <c:v>2.2360279373548102</c:v>
                </c:pt>
                <c:pt idx="30">
                  <c:v>1.9276617973803667</c:v>
                </c:pt>
                <c:pt idx="31">
                  <c:v>1.6596538495391224</c:v>
                </c:pt>
                <c:pt idx="32">
                  <c:v>1.4273360301814941</c:v>
                </c:pt>
                <c:pt idx="33">
                  <c:v>1.2263971957840527</c:v>
                </c:pt>
                <c:pt idx="34">
                  <c:v>1.0529175020548545</c:v>
                </c:pt>
                <c:pt idx="35">
                  <c:v>0.90337468400306098</c:v>
                </c:pt>
                <c:pt idx="36">
                  <c:v>0.77463249380635024</c:v>
                </c:pt>
                <c:pt idx="37">
                  <c:v>0.6639184191156754</c:v>
                </c:pt>
                <c:pt idx="38">
                  <c:v>0.56879556097439976</c:v>
                </c:pt>
                <c:pt idx="39">
                  <c:v>0.48713195402294152</c:v>
                </c:pt>
                <c:pt idx="40">
                  <c:v>0.41706948341914318</c:v>
                </c:pt>
                <c:pt idx="41">
                  <c:v>0.35699376232205632</c:v>
                </c:pt>
                <c:pt idx="42">
                  <c:v>0.30550578566648839</c:v>
                </c:pt>
                <c:pt idx="43">
                  <c:v>0.26139580110386501</c:v>
                </c:pt>
                <c:pt idx="44">
                  <c:v>0.22361958625390099</c:v>
                </c:pt>
                <c:pt idx="45">
                  <c:v>0.19127715657050787</c:v>
                </c:pt>
                <c:pt idx="46">
                  <c:v>0.16359382408956569</c:v>
                </c:pt>
                <c:pt idx="47">
                  <c:v>0.13990346539051329</c:v>
                </c:pt>
                <c:pt idx="48">
                  <c:v>0.11963382391741578</c:v>
                </c:pt>
                <c:pt idx="49">
                  <c:v>0.10229365789226855</c:v>
                </c:pt>
                <c:pt idx="50">
                  <c:v>8.7461543733628966E-2</c:v>
                </c:pt>
                <c:pt idx="51">
                  <c:v>7.4776151497675705E-2</c:v>
                </c:pt>
                <c:pt idx="52">
                  <c:v>6.3927820157214987E-2</c:v>
                </c:pt>
                <c:pt idx="53">
                  <c:v>5.4651274324774422E-2</c:v>
                </c:pt>
                <c:pt idx="54">
                  <c:v>4.6719338834820955E-2</c:v>
                </c:pt>
                <c:pt idx="55">
                  <c:v>3.9937522466334245E-2</c:v>
                </c:pt>
                <c:pt idx="56">
                  <c:v>3.4139356407692285E-2</c:v>
                </c:pt>
                <c:pt idx="57">
                  <c:v>2.9182386485765179E-2</c:v>
                </c:pt>
                <c:pt idx="58">
                  <c:v>2.4944730513490179E-2</c:v>
                </c:pt>
                <c:pt idx="59">
                  <c:v>2.1322123280853752E-2</c:v>
                </c:pt>
                <c:pt idx="60">
                  <c:v>1.8225381722244104E-2</c:v>
                </c:pt>
                <c:pt idx="61">
                  <c:v>1.5578231683476827E-2</c:v>
                </c:pt>
                <c:pt idx="62">
                  <c:v>1.3315445556216242E-2</c:v>
                </c:pt>
                <c:pt idx="63">
                  <c:v>1.1381246931768568E-2</c:v>
                </c:pt>
                <c:pt idx="64">
                  <c:v>9.7279444414352031E-3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'T10#'!$B$16</c:f>
              <c:numCache>
                <c:formatCode>0.000</c:formatCode>
                <c:ptCount val="1"/>
                <c:pt idx="0">
                  <c:v>13.672999001867636</c:v>
                </c:pt>
              </c:numCache>
            </c:numRef>
          </c:xVal>
          <c:yVal>
            <c:numRef>
              <c:f>'T10#'!$I$3</c:f>
              <c:numCache>
                <c:formatCode>General</c:formatCode>
                <c:ptCount val="1"/>
                <c:pt idx="0">
                  <c:v>2.1951194728688952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'T10#'!$B$15</c:f>
              <c:numCache>
                <c:formatCode>0.000</c:formatCode>
                <c:ptCount val="1"/>
                <c:pt idx="0">
                  <c:v>0.17548281667760959</c:v>
                </c:pt>
              </c:numCache>
            </c:numRef>
          </c:xVal>
          <c:yVal>
            <c:numRef>
              <c:f>'T10#'!$I$3</c:f>
              <c:numCache>
                <c:formatCode>General</c:formatCode>
                <c:ptCount val="1"/>
                <c:pt idx="0">
                  <c:v>2.1951194728688952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CC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'T10#'!$B$18</c:f>
              <c:numCache>
                <c:formatCode>0.000</c:formatCode>
                <c:ptCount val="1"/>
                <c:pt idx="0">
                  <c:v>0.76419047754122538</c:v>
                </c:pt>
              </c:numCache>
            </c:numRef>
          </c:xVal>
          <c:yVal>
            <c:numRef>
              <c:f>'T10#'!$I$3</c:f>
              <c:numCache>
                <c:formatCode>General</c:formatCode>
                <c:ptCount val="1"/>
                <c:pt idx="0">
                  <c:v>2.1951194728688952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46400"/>
        <c:axId val="198247936"/>
      </c:scatterChart>
      <c:valAx>
        <c:axId val="198246400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  [l/mol]</a:t>
                </a:r>
              </a:p>
            </c:rich>
          </c:tx>
          <c:layout>
            <c:manualLayout>
              <c:xMode val="edge"/>
              <c:yMode val="edge"/>
              <c:x val="0.42249240121580545"/>
              <c:y val="0.90979495937067012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47936"/>
        <c:crossesAt val="-1000000"/>
        <c:crossBetween val="midCat"/>
        <c:minorUnit val="10"/>
      </c:valAx>
      <c:valAx>
        <c:axId val="198247936"/>
        <c:scaling>
          <c:orientation val="minMax"/>
          <c:max val="50"/>
          <c:min val="-5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5592705167173252E-2"/>
              <c:y val="0.311856062560484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46400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11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6064690026954178"/>
          <c:y val="0.2297985464965733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946091644204852"/>
          <c:y val="4.0404140043353562E-2"/>
          <c:w val="0.75202156334231807"/>
          <c:h val="0.7929312483508136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'T11'!$A$21:$A$85</c:f>
              <c:numCache>
                <c:formatCode>0.000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'T11'!$B$21:$B$85</c:f>
              <c:numCache>
                <c:formatCode>General</c:formatCode>
                <c:ptCount val="65"/>
                <c:pt idx="0">
                  <c:v>32853845.129945256</c:v>
                </c:pt>
                <c:pt idx="1">
                  <c:v>345.52063608334794</c:v>
                </c:pt>
                <c:pt idx="2">
                  <c:v>-116.58993152729622</c:v>
                </c:pt>
                <c:pt idx="3">
                  <c:v>-159.15183723367809</c:v>
                </c:pt>
                <c:pt idx="4">
                  <c:v>-132.53237903271565</c:v>
                </c:pt>
                <c:pt idx="5">
                  <c:v>-96.193963523378585</c:v>
                </c:pt>
                <c:pt idx="6">
                  <c:v>-64.154260991902234</c:v>
                </c:pt>
                <c:pt idx="7">
                  <c:v>-39.198980521531958</c:v>
                </c:pt>
                <c:pt idx="8">
                  <c:v>-20.92489652013839</c:v>
                </c:pt>
                <c:pt idx="9">
                  <c:v>-8.1127425458377829</c:v>
                </c:pt>
                <c:pt idx="10">
                  <c:v>0.51094357371698607</c:v>
                </c:pt>
                <c:pt idx="11">
                  <c:v>6.04177889308753</c:v>
                </c:pt>
                <c:pt idx="12">
                  <c:v>9.3512276154180931</c:v>
                </c:pt>
                <c:pt idx="13">
                  <c:v>11.104090408284533</c:v>
                </c:pt>
                <c:pt idx="14">
                  <c:v>11.794164232069834</c:v>
                </c:pt>
                <c:pt idx="15">
                  <c:v>11.781014012732472</c:v>
                </c:pt>
                <c:pt idx="16">
                  <c:v>11.322029153397766</c:v>
                </c:pt>
                <c:pt idx="17">
                  <c:v>10.598402434615734</c:v>
                </c:pt>
                <c:pt idx="18">
                  <c:v>9.7353692580261253</c:v>
                </c:pt>
                <c:pt idx="19">
                  <c:v>8.8175959249768265</c:v>
                </c:pt>
                <c:pt idx="20">
                  <c:v>7.9006862310128918</c:v>
                </c:pt>
                <c:pt idx="21">
                  <c:v>7.0196785553906214</c:v>
                </c:pt>
                <c:pt idx="22">
                  <c:v>6.1952564525377758</c:v>
                </c:pt>
                <c:pt idx="23">
                  <c:v>5.4382464173455709</c:v>
                </c:pt>
                <c:pt idx="24">
                  <c:v>4.7528461066206349</c:v>
                </c:pt>
                <c:pt idx="25">
                  <c:v>4.138919613912674</c:v>
                </c:pt>
                <c:pt idx="26">
                  <c:v>3.5936122501322165</c:v>
                </c:pt>
                <c:pt idx="27">
                  <c:v>3.1124724231696881</c:v>
                </c:pt>
                <c:pt idx="28">
                  <c:v>2.6902189838017239</c:v>
                </c:pt>
                <c:pt idx="29">
                  <c:v>2.3212554552056686</c:v>
                </c:pt>
                <c:pt idx="30">
                  <c:v>2.0000050579614426</c:v>
                </c:pt>
                <c:pt idx="31">
                  <c:v>1.7211201020433686</c:v>
                </c:pt>
                <c:pt idx="32">
                  <c:v>1.4796043580596139</c:v>
                </c:pt>
                <c:pt idx="33">
                  <c:v>1.2708760714375966</c:v>
                </c:pt>
                <c:pt idx="34">
                  <c:v>1.090791306076152</c:v>
                </c:pt>
                <c:pt idx="35">
                  <c:v>0.93564151736832046</c:v>
                </c:pt>
                <c:pt idx="36">
                  <c:v>0.80213507595952105</c:v>
                </c:pt>
                <c:pt idx="37">
                  <c:v>0.68736946102871888</c:v>
                </c:pt>
                <c:pt idx="38">
                  <c:v>0.58879869614574565</c:v>
                </c:pt>
                <c:pt idx="39">
                  <c:v>0.50419907709600031</c:v>
                </c:pt>
                <c:pt idx="40">
                  <c:v>0.43163516733964191</c:v>
                </c:pt>
                <c:pt idx="41">
                  <c:v>0.36942728716714074</c:v>
                </c:pt>
                <c:pt idx="42">
                  <c:v>0.31612120543513095</c:v>
                </c:pt>
                <c:pt idx="43">
                  <c:v>0.27046039139450256</c:v>
                </c:pt>
                <c:pt idx="44">
                  <c:v>0.23136095030144538</c:v>
                </c:pt>
                <c:pt idx="45">
                  <c:v>0.19788921539742141</c:v>
                </c:pt>
                <c:pt idx="46">
                  <c:v>0.16924187540429744</c:v>
                </c:pt>
                <c:pt idx="47">
                  <c:v>0.14472846296776487</c:v>
                </c:pt>
                <c:pt idx="48">
                  <c:v>0.1237560027158478</c:v>
                </c:pt>
                <c:pt idx="49">
                  <c:v>0.10581560873031817</c:v>
                </c:pt>
                <c:pt idx="50">
                  <c:v>9.0470823896919794E-2</c:v>
                </c:pt>
                <c:pt idx="51">
                  <c:v>7.7347503376792401E-2</c:v>
                </c:pt>
                <c:pt idx="52">
                  <c:v>6.6125058279330823E-2</c:v>
                </c:pt>
                <c:pt idx="53">
                  <c:v>5.6528891452185322E-2</c:v>
                </c:pt>
                <c:pt idx="54">
                  <c:v>4.8323873769062414E-2</c:v>
                </c:pt>
                <c:pt idx="55">
                  <c:v>4.1308725510693041E-2</c:v>
                </c:pt>
                <c:pt idx="56">
                  <c:v>3.5311182858774263E-2</c:v>
                </c:pt>
                <c:pt idx="57">
                  <c:v>3.0183843850302497E-2</c:v>
                </c:pt>
                <c:pt idx="58">
                  <c:v>2.5800601221832545E-2</c:v>
                </c:pt>
                <c:pt idx="59">
                  <c:v>2.2053581365630782E-2</c:v>
                </c:pt>
                <c:pt idx="60">
                  <c:v>1.8850519145273664E-2</c:v>
                </c:pt>
                <c:pt idx="61">
                  <c:v>1.6112507640783823E-2</c:v>
                </c:pt>
                <c:pt idx="62">
                  <c:v>1.3772070099809493E-2</c:v>
                </c:pt>
                <c:pt idx="63">
                  <c:v>1.177150855959147E-2</c:v>
                </c:pt>
                <c:pt idx="64">
                  <c:v>1.0061489875537587E-2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'T11'!$B$15</c:f>
              <c:numCache>
                <c:formatCode>0.000</c:formatCode>
                <c:ptCount val="1"/>
                <c:pt idx="0">
                  <c:v>0.17865537124683364</c:v>
                </c:pt>
              </c:numCache>
            </c:numRef>
          </c:xVal>
          <c:yVal>
            <c:numRef>
              <c:f>'T11'!$I$3</c:f>
              <c:numCache>
                <c:formatCode>General</c:formatCode>
                <c:ptCount val="1"/>
                <c:pt idx="0">
                  <c:v>3.0136125409209025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'T11'!$B$16</c:f>
              <c:numCache>
                <c:formatCode>0.000</c:formatCode>
                <c:ptCount val="1"/>
                <c:pt idx="0">
                  <c:v>10.142480102312053</c:v>
                </c:pt>
              </c:numCache>
            </c:numRef>
          </c:xVal>
          <c:yVal>
            <c:numRef>
              <c:f>'T11'!$I$3</c:f>
              <c:numCache>
                <c:formatCode>General</c:formatCode>
                <c:ptCount val="1"/>
                <c:pt idx="0">
                  <c:v>3.0136125409209025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'T11'!$B$18</c:f>
              <c:numCache>
                <c:formatCode>0.000</c:formatCode>
                <c:ptCount val="1"/>
                <c:pt idx="0">
                  <c:v>0.72238115170173778</c:v>
                </c:pt>
              </c:numCache>
            </c:numRef>
          </c:xVal>
          <c:yVal>
            <c:numRef>
              <c:f>'T11'!$I$3</c:f>
              <c:numCache>
                <c:formatCode>General</c:formatCode>
                <c:ptCount val="1"/>
                <c:pt idx="0">
                  <c:v>3.0136125409209025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83264"/>
        <c:axId val="198285568"/>
      </c:scatterChart>
      <c:valAx>
        <c:axId val="198283264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41778975741239893"/>
              <c:y val="0.90909315097545518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85568"/>
        <c:crossesAt val="-1000000"/>
        <c:crossBetween val="midCat"/>
        <c:minorUnit val="10"/>
      </c:valAx>
      <c:valAx>
        <c:axId val="198285568"/>
        <c:scaling>
          <c:orientation val="minMax"/>
          <c:max val="50"/>
          <c:min val="-400"/>
        </c:scaling>
        <c:delete val="0"/>
        <c:axPos val="l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0431266846361183E-2"/>
              <c:y val="0.310606826583280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83264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12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64673913043478259"/>
          <c:y val="0.4770408163265306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3695652173913"/>
          <c:y val="4.0816326530612242E-2"/>
          <c:w val="0.75271739130434778"/>
          <c:h val="0.7933673469387755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'T12'!$A$21:$A$85</c:f>
              <c:numCache>
                <c:formatCode>0.000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'T12'!$B$21:$B$85</c:f>
              <c:numCache>
                <c:formatCode>General</c:formatCode>
                <c:ptCount val="65"/>
                <c:pt idx="0">
                  <c:v>33979903.477606289</c:v>
                </c:pt>
                <c:pt idx="1">
                  <c:v>413.26671409591739</c:v>
                </c:pt>
                <c:pt idx="2">
                  <c:v>-79.746950393042937</c:v>
                </c:pt>
                <c:pt idx="3">
                  <c:v>-134.77306120870387</c:v>
                </c:pt>
                <c:pt idx="4">
                  <c:v>-115.28095890405861</c:v>
                </c:pt>
                <c:pt idx="5">
                  <c:v>-83.570224679119562</c:v>
                </c:pt>
                <c:pt idx="6">
                  <c:v>-54.722813269062641</c:v>
                </c:pt>
                <c:pt idx="7">
                  <c:v>-32.046427781778803</c:v>
                </c:pt>
                <c:pt idx="8">
                  <c:v>-15.435602425366124</c:v>
                </c:pt>
                <c:pt idx="9">
                  <c:v>-3.8568964303835673</c:v>
                </c:pt>
                <c:pt idx="10">
                  <c:v>3.8405227219014524</c:v>
                </c:pt>
                <c:pt idx="11">
                  <c:v>8.6683559214668371</c:v>
                </c:pt>
                <c:pt idx="12">
                  <c:v>11.439202285026949</c:v>
                </c:pt>
                <c:pt idx="13">
                  <c:v>12.775826680457353</c:v>
                </c:pt>
                <c:pt idx="14">
                  <c:v>13.141597703778572</c:v>
                </c:pt>
                <c:pt idx="15">
                  <c:v>12.873812177149555</c:v>
                </c:pt>
                <c:pt idx="16">
                  <c:v>12.213411474186428</c:v>
                </c:pt>
                <c:pt idx="17">
                  <c:v>11.329338660496067</c:v>
                </c:pt>
                <c:pt idx="18">
                  <c:v>10.337636247900209</c:v>
                </c:pt>
                <c:pt idx="19">
                  <c:v>9.3160212739550623</c:v>
                </c:pt>
                <c:pt idx="20">
                  <c:v>8.314806934192978</c:v>
                </c:pt>
                <c:pt idx="21">
                  <c:v>7.3649754801356213</c:v>
                </c:pt>
                <c:pt idx="22">
                  <c:v>6.4840790480103507</c:v>
                </c:pt>
                <c:pt idx="23">
                  <c:v>5.6805097961905702</c:v>
                </c:pt>
                <c:pt idx="24">
                  <c:v>4.9565598722236972</c:v>
                </c:pt>
                <c:pt idx="25">
                  <c:v>4.3105916168824203</c:v>
                </c:pt>
                <c:pt idx="26">
                  <c:v>3.7385588557499627</c:v>
                </c:pt>
                <c:pt idx="27">
                  <c:v>3.2350585049597114</c:v>
                </c:pt>
                <c:pt idx="28">
                  <c:v>2.7940447919775022</c:v>
                </c:pt>
                <c:pt idx="29">
                  <c:v>2.4093030887509217</c:v>
                </c:pt>
                <c:pt idx="30">
                  <c:v>2.0747540342448572</c:v>
                </c:pt>
                <c:pt idx="31">
                  <c:v>1.7846391402896244</c:v>
                </c:pt>
                <c:pt idx="32">
                  <c:v>1.5336247382419004</c:v>
                </c:pt>
                <c:pt idx="33">
                  <c:v>1.3168506296701243</c:v>
                </c:pt>
                <c:pt idx="34">
                  <c:v>1.1299421596654178</c:v>
                </c:pt>
                <c:pt idx="35">
                  <c:v>0.96899888910577814</c:v>
                </c:pt>
                <c:pt idx="36">
                  <c:v>0.83056904382637764</c:v>
                </c:pt>
                <c:pt idx="37">
                  <c:v>0.71161604939423773</c:v>
                </c:pt>
                <c:pt idx="38">
                  <c:v>0.60948141347952278</c:v>
                </c:pt>
                <c:pt idx="39">
                  <c:v>0.52184676799736618</c:v>
                </c:pt>
                <c:pt idx="40">
                  <c:v>0.44669686476178233</c:v>
                </c:pt>
                <c:pt idx="41">
                  <c:v>0.38228461037082506</c:v>
                </c:pt>
                <c:pt idx="42">
                  <c:v>0.32709874028358388</c:v>
                </c:pt>
                <c:pt idx="43">
                  <c:v>0.27983440453582437</c:v>
                </c:pt>
                <c:pt idx="44">
                  <c:v>0.23936672193208783</c:v>
                </c:pt>
                <c:pt idx="45">
                  <c:v>0.20472722242695351</c:v>
                </c:pt>
                <c:pt idx="46">
                  <c:v>0.17508301476145177</c:v>
                </c:pt>
                <c:pt idx="47">
                  <c:v>0.14971847109048103</c:v>
                </c:pt>
                <c:pt idx="48">
                  <c:v>0.12801920012207879</c:v>
                </c:pt>
                <c:pt idx="49">
                  <c:v>0.10945807657240998</c:v>
                </c:pt>
                <c:pt idx="50">
                  <c:v>9.3583101485516296E-2</c:v>
                </c:pt>
                <c:pt idx="51">
                  <c:v>8.0006880989995768E-2</c:v>
                </c:pt>
                <c:pt idx="52">
                  <c:v>6.8397527503828937E-2</c:v>
                </c:pt>
                <c:pt idx="53">
                  <c:v>5.8470805330518072E-2</c:v>
                </c:pt>
                <c:pt idx="54">
                  <c:v>4.9983360754000249E-2</c:v>
                </c:pt>
                <c:pt idx="55">
                  <c:v>4.2726894339383176E-2</c:v>
                </c:pt>
                <c:pt idx="56">
                  <c:v>3.6523149705342262E-2</c:v>
                </c:pt>
                <c:pt idx="57">
                  <c:v>3.1219608295155851E-2</c:v>
                </c:pt>
                <c:pt idx="58">
                  <c:v>2.6685793527067951E-2</c:v>
                </c:pt>
                <c:pt idx="59">
                  <c:v>2.2810100137389214E-2</c:v>
                </c:pt>
                <c:pt idx="60">
                  <c:v>1.949707558856479E-2</c:v>
                </c:pt>
                <c:pt idx="61">
                  <c:v>1.6665090182496366E-2</c:v>
                </c:pt>
                <c:pt idx="62">
                  <c:v>1.4244341099126557E-2</c:v>
                </c:pt>
                <c:pt idx="63">
                  <c:v>1.2175143082136811E-2</c:v>
                </c:pt>
                <c:pt idx="64">
                  <c:v>1.0406465028735112E-2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'T12'!$B$15</c:f>
              <c:numCache>
                <c:formatCode>0.000</c:formatCode>
                <c:ptCount val="1"/>
                <c:pt idx="0">
                  <c:v>0.18231702957701265</c:v>
                </c:pt>
              </c:numCache>
            </c:numRef>
          </c:xVal>
          <c:yVal>
            <c:numRef>
              <c:f>'T12'!$I$3</c:f>
              <c:numCache>
                <c:formatCode>General</c:formatCode>
                <c:ptCount val="1"/>
                <c:pt idx="0">
                  <c:v>4.0833336596706147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'T12'!$B$16</c:f>
              <c:numCache>
                <c:formatCode>0.000</c:formatCode>
                <c:ptCount val="1"/>
                <c:pt idx="0">
                  <c:v>7.5976665488940327</c:v>
                </c:pt>
              </c:numCache>
            </c:numRef>
          </c:xVal>
          <c:yVal>
            <c:numRef>
              <c:f>'T12'!$I$3</c:f>
              <c:numCache>
                <c:formatCode>General</c:formatCode>
                <c:ptCount val="1"/>
                <c:pt idx="0">
                  <c:v>4.0833336596706147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'T12'!$B$18</c:f>
              <c:numCache>
                <c:formatCode>0.000</c:formatCode>
                <c:ptCount val="1"/>
                <c:pt idx="0">
                  <c:v>0.68319811893578297</c:v>
                </c:pt>
              </c:numCache>
            </c:numRef>
          </c:xVal>
          <c:yVal>
            <c:numRef>
              <c:f>'T12'!$I$3</c:f>
              <c:numCache>
                <c:formatCode>General</c:formatCode>
                <c:ptCount val="1"/>
                <c:pt idx="0">
                  <c:v>4.0833336596706147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02208"/>
        <c:axId val="215104512"/>
      </c:scatterChart>
      <c:valAx>
        <c:axId val="215102208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 [l/mol]</a:t>
                </a:r>
              </a:p>
            </c:rich>
          </c:tx>
          <c:layout>
            <c:manualLayout>
              <c:xMode val="edge"/>
              <c:yMode val="edge"/>
              <c:x val="0.41032608695652173"/>
              <c:y val="0.9107142857142857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104512"/>
        <c:crossesAt val="-1000000"/>
        <c:crossBetween val="midCat"/>
        <c:minorUnit val="10"/>
      </c:valAx>
      <c:valAx>
        <c:axId val="215104512"/>
        <c:scaling>
          <c:orientation val="minMax"/>
          <c:max val="50"/>
          <c:min val="-350"/>
        </c:scaling>
        <c:delete val="0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3.8043478260869568E-2"/>
              <c:y val="0.308673469387755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102208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13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2887537993920974"/>
          <c:y val="0.1010639610309500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68693009118541"/>
          <c:y val="3.9893668828006601E-2"/>
          <c:w val="0.74468085106382975"/>
          <c:h val="0.7952137986382649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'T13'!$A$21:$A$85</c:f>
              <c:numCache>
                <c:formatCode>0.000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'T13'!$B$21:$B$85</c:f>
              <c:numCache>
                <c:formatCode>General</c:formatCode>
                <c:ptCount val="65"/>
                <c:pt idx="0">
                  <c:v>35144553.706161305</c:v>
                </c:pt>
                <c:pt idx="1">
                  <c:v>482.67756559290166</c:v>
                </c:pt>
                <c:pt idx="2">
                  <c:v>-42.121254408992684</c:v>
                </c:pt>
                <c:pt idx="3">
                  <c:v>-109.90939989878498</c:v>
                </c:pt>
                <c:pt idx="4">
                  <c:v>-97.694434032700599</c:v>
                </c:pt>
                <c:pt idx="5">
                  <c:v>-70.700955813820613</c:v>
                </c:pt>
                <c:pt idx="6">
                  <c:v>-45.104817818435166</c:v>
                </c:pt>
                <c:pt idx="7">
                  <c:v>-24.748594230970738</c:v>
                </c:pt>
                <c:pt idx="8">
                  <c:v>-9.8311219806437471</c:v>
                </c:pt>
                <c:pt idx="9">
                  <c:v>0.49152049616455767</c:v>
                </c:pt>
                <c:pt idx="10">
                  <c:v>7.2452874921700001</c:v>
                </c:pt>
                <c:pt idx="11">
                  <c:v>11.356515323603471</c:v>
                </c:pt>
                <c:pt idx="12">
                  <c:v>13.577963453645298</c:v>
                </c:pt>
                <c:pt idx="13">
                  <c:v>14.489682121250812</c:v>
                </c:pt>
                <c:pt idx="14">
                  <c:v>14.524125238381517</c:v>
                </c:pt>
                <c:pt idx="15">
                  <c:v>13.995964897208523</c:v>
                </c:pt>
                <c:pt idx="16">
                  <c:v>13.129427722445508</c:v>
                </c:pt>
                <c:pt idx="17">
                  <c:v>12.081004195794158</c:v>
                </c:pt>
                <c:pt idx="18">
                  <c:v>10.957387367730599</c:v>
                </c:pt>
                <c:pt idx="19">
                  <c:v>9.8292226237866931</c:v>
                </c:pt>
                <c:pt idx="20">
                  <c:v>8.7414358165624222</c:v>
                </c:pt>
                <c:pt idx="21">
                  <c:v>7.7208758424455395</c:v>
                </c:pt>
                <c:pt idx="22">
                  <c:v>6.7819012336253675</c:v>
                </c:pt>
                <c:pt idx="23">
                  <c:v>5.9304193534013754</c:v>
                </c:pt>
                <c:pt idx="24">
                  <c:v>5.1667756201715713</c:v>
                </c:pt>
                <c:pt idx="25">
                  <c:v>4.4877967487579955</c:v>
                </c:pt>
                <c:pt idx="26">
                  <c:v>3.8882170980998634</c:v>
                </c:pt>
                <c:pt idx="27">
                  <c:v>3.3616588724981584</c:v>
                </c:pt>
                <c:pt idx="28">
                  <c:v>2.9012923300269606</c:v>
                </c:pt>
                <c:pt idx="29">
                  <c:v>2.5002685167558023</c:v>
                </c:pt>
                <c:pt idx="30">
                  <c:v>2.1519919258679812</c:v>
                </c:pt>
                <c:pt idx="31">
                  <c:v>1.8502818660625515</c:v>
                </c:pt>
                <c:pt idx="32">
                  <c:v>1.5894576180203002</c:v>
                </c:pt>
                <c:pt idx="33">
                  <c:v>1.3643724235157901</c:v>
                </c:pt>
                <c:pt idx="34">
                  <c:v>1.1704140439898132</c:v>
                </c:pt>
                <c:pt idx="35">
                  <c:v>1.0034843306384831</c:v>
                </c:pt>
                <c:pt idx="36">
                  <c:v>0.85996643223845326</c:v>
                </c:pt>
                <c:pt idx="37">
                  <c:v>0.73668553278866566</c:v>
                </c:pt>
                <c:pt idx="38">
                  <c:v>0.63086706473714005</c:v>
                </c:pt>
                <c:pt idx="39">
                  <c:v>0.54009496863576123</c:v>
                </c:pt>
                <c:pt idx="40">
                  <c:v>0.46227160773804066</c:v>
                </c:pt>
                <c:pt idx="41">
                  <c:v>0.39558028024975128</c:v>
                </c:pt>
                <c:pt idx="42">
                  <c:v>0.33845081810234745</c:v>
                </c:pt>
                <c:pt idx="43">
                  <c:v>0.28952845785923959</c:v>
                </c:pt>
                <c:pt idx="44">
                  <c:v>0.24764597228419027</c:v>
                </c:pt>
                <c:pt idx="45">
                  <c:v>0.21179892820954754</c:v>
                </c:pt>
                <c:pt idx="46">
                  <c:v>0.18112386469375896</c:v>
                </c:pt>
                <c:pt idx="47">
                  <c:v>0.15487914867759348</c:v>
                </c:pt>
                <c:pt idx="48">
                  <c:v>0.13242825182156065</c:v>
                </c:pt>
                <c:pt idx="49">
                  <c:v>0.11322519375447568</c:v>
                </c:pt>
                <c:pt idx="50">
                  <c:v>9.6801907878283883E-2</c:v>
                </c:pt>
                <c:pt idx="51">
                  <c:v>8.2757302221071513E-2</c:v>
                </c:pt>
                <c:pt idx="52">
                  <c:v>7.0747806934587057E-2</c:v>
                </c:pt>
                <c:pt idx="53">
                  <c:v>6.0479220114623151E-2</c:v>
                </c:pt>
                <c:pt idx="54">
                  <c:v>5.1699683531137818E-2</c:v>
                </c:pt>
                <c:pt idx="55">
                  <c:v>4.4193638877185144E-2</c:v>
                </c:pt>
                <c:pt idx="56">
                  <c:v>3.7776632870621808E-2</c:v>
                </c:pt>
                <c:pt idx="57">
                  <c:v>3.2290855764013783E-2</c:v>
                </c:pt>
                <c:pt idx="58">
                  <c:v>2.7601312466122629E-2</c:v>
                </c:pt>
                <c:pt idx="59">
                  <c:v>2.3592538570528138E-2</c:v>
                </c:pt>
                <c:pt idx="60">
                  <c:v>2.016578519524451E-2</c:v>
                </c:pt>
                <c:pt idx="61">
                  <c:v>1.7236606764551941E-2</c:v>
                </c:pt>
                <c:pt idx="62">
                  <c:v>1.4732794829005896E-2</c:v>
                </c:pt>
                <c:pt idx="63">
                  <c:v>1.2592608844991195E-2</c:v>
                </c:pt>
                <c:pt idx="64">
                  <c:v>1.0763261642835227E-2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'T13'!$B$15</c:f>
              <c:numCache>
                <c:formatCode>0.000</c:formatCode>
                <c:ptCount val="1"/>
                <c:pt idx="0">
                  <c:v>0.18659311795897909</c:v>
                </c:pt>
              </c:numCache>
            </c:numRef>
          </c:xVal>
          <c:yVal>
            <c:numRef>
              <c:f>'T13'!$I$3</c:f>
              <c:numCache>
                <c:formatCode>General</c:formatCode>
                <c:ptCount val="1"/>
                <c:pt idx="0">
                  <c:v>5.4653241467681433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'T13'!$B$16</c:f>
              <c:numCache>
                <c:formatCode>0.000</c:formatCode>
                <c:ptCount val="1"/>
                <c:pt idx="0">
                  <c:v>5.738842149331612</c:v>
                </c:pt>
              </c:numCache>
            </c:numRef>
          </c:xVal>
          <c:yVal>
            <c:numRef>
              <c:f>'T13'!$I$3</c:f>
              <c:numCache>
                <c:formatCode>General</c:formatCode>
                <c:ptCount val="1"/>
                <c:pt idx="0">
                  <c:v>5.4653241467681433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CC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'T13'!$B$18</c:f>
              <c:numCache>
                <c:formatCode>0.000</c:formatCode>
                <c:ptCount val="1"/>
                <c:pt idx="0">
                  <c:v>0.64650889503398723</c:v>
                </c:pt>
              </c:numCache>
            </c:numRef>
          </c:xVal>
          <c:yVal>
            <c:numRef>
              <c:f>'T13'!$I$3</c:f>
              <c:numCache>
                <c:formatCode>General</c:formatCode>
                <c:ptCount val="1"/>
                <c:pt idx="0">
                  <c:v>5.4653241467681433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21760"/>
        <c:axId val="215236608"/>
      </c:scatterChart>
      <c:valAx>
        <c:axId val="215221760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40121580547112462"/>
              <c:y val="0.9069160713566834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236608"/>
        <c:crossesAt val="-1000000"/>
        <c:crossBetween val="midCat"/>
        <c:minorUnit val="10"/>
      </c:valAx>
      <c:valAx>
        <c:axId val="215236608"/>
        <c:scaling>
          <c:orientation val="minMax"/>
          <c:max val="100"/>
          <c:min val="-3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5592705167173252E-2"/>
              <c:y val="0.305851461014717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221760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14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2887537993920974"/>
          <c:y val="0.1010639610309500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68693009118541"/>
          <c:y val="3.9893668828006601E-2"/>
          <c:w val="0.74468085106382975"/>
          <c:h val="0.7952137986382649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'T14'!$A$21:$A$80</c:f>
              <c:numCache>
                <c:formatCode>0.000</c:formatCode>
                <c:ptCount val="60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</c:numCache>
            </c:numRef>
          </c:xVal>
          <c:yVal>
            <c:numRef>
              <c:f>'T14'!$B$21:$B$80</c:f>
              <c:numCache>
                <c:formatCode>General</c:formatCode>
                <c:ptCount val="60"/>
                <c:pt idx="0">
                  <c:v>36349118.478463426</c:v>
                </c:pt>
                <c:pt idx="1">
                  <c:v>553.82812884082261</c:v>
                </c:pt>
                <c:pt idx="2">
                  <c:v>-3.6729546844268044</c:v>
                </c:pt>
                <c:pt idx="3">
                  <c:v>-84.534692154025691</c:v>
                </c:pt>
                <c:pt idx="4">
                  <c:v>-79.75434830880215</c:v>
                </c:pt>
                <c:pt idx="5">
                  <c:v>-57.572649420029371</c:v>
                </c:pt>
                <c:pt idx="6">
                  <c:v>-35.29016098480799</c:v>
                </c:pt>
                <c:pt idx="7">
                  <c:v>-17.297783077740043</c:v>
                </c:pt>
                <c:pt idx="8">
                  <c:v>-4.1055221785929827</c:v>
                </c:pt>
                <c:pt idx="9">
                  <c:v>4.9371311428028459</c:v>
                </c:pt>
                <c:pt idx="10">
                  <c:v>10.728874129568249</c:v>
                </c:pt>
                <c:pt idx="11">
                  <c:v>14.109141620603232</c:v>
                </c:pt>
                <c:pt idx="12">
                  <c:v>15.769817074354464</c:v>
                </c:pt>
                <c:pt idx="13">
                  <c:v>16.247513272116457</c:v>
                </c:pt>
                <c:pt idx="14">
                  <c:v>15.943251307982001</c:v>
                </c:pt>
                <c:pt idx="15">
                  <c:v>15.148698630589884</c:v>
                </c:pt>
                <c:pt idx="16">
                  <c:v>14.071083172169429</c:v>
                </c:pt>
                <c:pt idx="17">
                  <c:v>12.854227103952748</c:v>
                </c:pt>
                <c:pt idx="18">
                  <c:v>11.595307763926662</c:v>
                </c:pt>
                <c:pt idx="19">
                  <c:v>10.357769151732075</c:v>
                </c:pt>
                <c:pt idx="20">
                  <c:v>9.1810474165865479</c:v>
                </c:pt>
                <c:pt idx="21">
                  <c:v>8.0877765439934564</c:v>
                </c:pt>
                <c:pt idx="22">
                  <c:v>7.0890559165891753</c:v>
                </c:pt>
                <c:pt idx="23">
                  <c:v>6.1882550173300475</c:v>
                </c:pt>
                <c:pt idx="24">
                  <c:v>5.3837292473234148</c:v>
                </c:pt>
                <c:pt idx="25">
                  <c:v>4.6707341824663162</c:v>
                </c:pt>
                <c:pt idx="26">
                  <c:v>4.0427554249176589</c:v>
                </c:pt>
                <c:pt idx="27">
                  <c:v>3.492416195705268</c:v>
                </c:pt>
                <c:pt idx="28">
                  <c:v>3.0120825877054034</c:v>
                </c:pt>
                <c:pt idx="29">
                  <c:v>2.594254455738672</c:v>
                </c:pt>
                <c:pt idx="30">
                  <c:v>2.2318060185371973</c:v>
                </c:pt>
                <c:pt idx="31">
                  <c:v>1.918122513026663</c:v>
                </c:pt>
                <c:pt idx="32">
                  <c:v>1.6471661752151858</c:v>
                </c:pt>
                <c:pt idx="33">
                  <c:v>1.4134952541575938</c:v>
                </c:pt>
                <c:pt idx="34">
                  <c:v>1.2122527991550796</c:v>
                </c:pt>
                <c:pt idx="35">
                  <c:v>1.0391369165291213</c:v>
                </c:pt>
                <c:pt idx="36">
                  <c:v>0.89036056156880106</c:v>
                </c:pt>
                <c:pt idx="37">
                  <c:v>0.76260633415695045</c:v>
                </c:pt>
                <c:pt idx="38">
                  <c:v>0.65297990213050849</c:v>
                </c:pt>
                <c:pt idx="39">
                  <c:v>0.55896437752315475</c:v>
                </c:pt>
                <c:pt idx="40">
                  <c:v>0.47837706548460729</c:v>
                </c:pt>
                <c:pt idx="41">
                  <c:v>0.40932938276095071</c:v>
                </c:pt>
                <c:pt idx="42">
                  <c:v>0.35019032123099886</c:v>
                </c:pt>
                <c:pt idx="43">
                  <c:v>0.2995535534085827</c:v>
                </c:pt>
                <c:pt idx="44">
                  <c:v>0.25620809860319055</c:v>
                </c:pt>
                <c:pt idx="45">
                  <c:v>0.21911236004218199</c:v>
                </c:pt>
                <c:pt idx="46">
                  <c:v>0.18737128282489462</c:v>
                </c:pt>
                <c:pt idx="47">
                  <c:v>0.16021635452520397</c:v>
                </c:pt>
                <c:pt idx="48">
                  <c:v>0.1369881635640533</c:v>
                </c:pt>
                <c:pt idx="49">
                  <c:v>0.11712123740341968</c:v>
                </c:pt>
                <c:pt idx="50">
                  <c:v>0.10013089779567858</c:v>
                </c:pt>
                <c:pt idx="51">
                  <c:v>8.5601890073451675E-2</c:v>
                </c:pt>
                <c:pt idx="52">
                  <c:v>7.3178565301803736E-2</c:v>
                </c:pt>
                <c:pt idx="53">
                  <c:v>6.2556416402674189E-2</c:v>
                </c:pt>
                <c:pt idx="54">
                  <c:v>5.3474791060999817E-2</c:v>
                </c:pt>
                <c:pt idx="55">
                  <c:v>4.571062470605157E-2</c:v>
                </c:pt>
                <c:pt idx="56">
                  <c:v>3.907305578555291E-2</c:v>
                </c:pt>
                <c:pt idx="57">
                  <c:v>3.3398802759778655E-2</c:v>
                </c:pt>
                <c:pt idx="58">
                  <c:v>2.8548197708554771E-2</c:v>
                </c:pt>
                <c:pt idx="59">
                  <c:v>2.4401785215614858E-2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'T14'!$B$16</c:f>
              <c:numCache>
                <c:formatCode>0.000</c:formatCode>
                <c:ptCount val="1"/>
                <c:pt idx="0">
                  <c:v>4.3635892010039035</c:v>
                </c:pt>
              </c:numCache>
            </c:numRef>
          </c:xVal>
          <c:yVal>
            <c:numRef>
              <c:f>'T14'!$I$3</c:f>
              <c:numCache>
                <c:formatCode>General</c:formatCode>
                <c:ptCount val="1"/>
                <c:pt idx="0">
                  <c:v>7.2322144341739794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'T14'!$B$15</c:f>
              <c:numCache>
                <c:formatCode>0.000</c:formatCode>
                <c:ptCount val="1"/>
                <c:pt idx="0">
                  <c:v>0.19165988536529444</c:v>
                </c:pt>
              </c:numCache>
            </c:numRef>
          </c:xVal>
          <c:yVal>
            <c:numRef>
              <c:f>'T14'!$I$3</c:f>
              <c:numCache>
                <c:formatCode>General</c:formatCode>
                <c:ptCount val="1"/>
                <c:pt idx="0">
                  <c:v>7.2322144341739794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'T14'!$B$18</c:f>
              <c:numCache>
                <c:formatCode>0.000</c:formatCode>
                <c:ptCount val="1"/>
                <c:pt idx="0">
                  <c:v>0.61217129323415964</c:v>
                </c:pt>
              </c:numCache>
            </c:numRef>
          </c:xVal>
          <c:yVal>
            <c:numRef>
              <c:f>'T14'!$I$3</c:f>
              <c:numCache>
                <c:formatCode>General</c:formatCode>
                <c:ptCount val="1"/>
                <c:pt idx="0">
                  <c:v>7.2322144341739794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55296"/>
        <c:axId val="215257856"/>
      </c:scatterChart>
      <c:valAx>
        <c:axId val="215255296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40121580547112462"/>
              <c:y val="0.9069160713566834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257856"/>
        <c:crossesAt val="-1000000"/>
        <c:crossBetween val="midCat"/>
        <c:minorUnit val="10"/>
      </c:valAx>
      <c:valAx>
        <c:axId val="215257856"/>
        <c:scaling>
          <c:orientation val="minMax"/>
          <c:max val="1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5592705167173252E-2"/>
              <c:y val="0.305851461014717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255296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15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3508924721664619"/>
          <c:y val="0.1704918032786885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8309771078248"/>
          <c:y val="4.9180327868852458E-2"/>
          <c:w val="0.75146413406927903"/>
          <c:h val="0.793442622950819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'T15'!$A$21:$A$80</c:f>
              <c:numCache>
                <c:formatCode>0.000</c:formatCode>
                <c:ptCount val="60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</c:numCache>
            </c:numRef>
          </c:xVal>
          <c:yVal>
            <c:numRef>
              <c:f>'T15'!$B$21:$B$80</c:f>
              <c:numCache>
                <c:formatCode>General</c:formatCode>
                <c:ptCount val="60"/>
                <c:pt idx="0">
                  <c:v>37594965.81429825</c:v>
                </c:pt>
                <c:pt idx="1">
                  <c:v>626.81492840562726</c:v>
                </c:pt>
                <c:pt idx="2">
                  <c:v>35.653097654511654</c:v>
                </c:pt>
                <c:pt idx="3">
                  <c:v>-58.611731271142347</c:v>
                </c:pt>
                <c:pt idx="4">
                  <c:v>-61.434199143340521</c:v>
                </c:pt>
                <c:pt idx="5">
                  <c:v>-44.165919069031844</c:v>
                </c:pt>
                <c:pt idx="6">
                  <c:v>-25.264426042143167</c:v>
                </c:pt>
                <c:pt idx="7">
                  <c:v>-9.6831435016906831</c:v>
                </c:pt>
                <c:pt idx="8">
                  <c:v>1.7494446871757099</c:v>
                </c:pt>
                <c:pt idx="9">
                  <c:v>9.4862592342647716</c:v>
                </c:pt>
                <c:pt idx="10">
                  <c:v>14.296170229701692</c:v>
                </c:pt>
                <c:pt idx="11">
                  <c:v>16.930041282909087</c:v>
                </c:pt>
                <c:pt idx="12">
                  <c:v>18.017749409100578</c:v>
                </c:pt>
                <c:pt idx="13">
                  <c:v>18.051679544605509</c:v>
                </c:pt>
                <c:pt idx="14">
                  <c:v>17.400852818770844</c:v>
                </c:pt>
                <c:pt idx="15">
                  <c:v>16.333516270132169</c:v>
                </c:pt>
                <c:pt idx="16">
                  <c:v>15.039588783990039</c:v>
                </c:pt>
                <c:pt idx="17">
                  <c:v>13.649988916522121</c:v>
                </c:pt>
                <c:pt idx="18">
                  <c:v>12.252197443274767</c:v>
                </c:pt>
                <c:pt idx="19">
                  <c:v>10.902316295552103</c:v>
                </c:pt>
                <c:pt idx="20">
                  <c:v>9.6341813005908605</c:v>
                </c:pt>
                <c:pt idx="21">
                  <c:v>8.4661237122012061</c:v>
                </c:pt>
                <c:pt idx="22">
                  <c:v>7.4059134367058688</c:v>
                </c:pt>
                <c:pt idx="23">
                  <c:v>6.4543253203513924</c:v>
                </c:pt>
                <c:pt idx="24">
                  <c:v>5.6076786225048307</c:v>
                </c:pt>
                <c:pt idx="25">
                  <c:v>4.8596200618685996</c:v>
                </c:pt>
                <c:pt idx="26">
                  <c:v>4.2023554679623896</c:v>
                </c:pt>
                <c:pt idx="27">
                  <c:v>3.6274834479167861</c:v>
                </c:pt>
                <c:pt idx="28">
                  <c:v>3.1265446562142438</c:v>
                </c:pt>
                <c:pt idx="29">
                  <c:v>2.6913700316221241</c:v>
                </c:pt>
                <c:pt idx="30">
                  <c:v>2.3142886999495658</c:v>
                </c:pt>
                <c:pt idx="31">
                  <c:v>1.9882394007617317</c:v>
                </c:pt>
                <c:pt idx="32">
                  <c:v>1.7068168791717631</c:v>
                </c:pt>
                <c:pt idx="33">
                  <c:v>1.4642755894295811</c:v>
                </c:pt>
                <c:pt idx="34">
                  <c:v>1.2555064373516922</c:v>
                </c:pt>
                <c:pt idx="35">
                  <c:v>1.0759974995834063</c:v>
                </c:pt>
                <c:pt idx="36">
                  <c:v>0.92178621490206547</c:v>
                </c:pt>
                <c:pt idx="37">
                  <c:v>0.7894080848734859</c:v>
                </c:pt>
                <c:pt idx="38">
                  <c:v>0.67584518021759843</c:v>
                </c:pt>
                <c:pt idx="39">
                  <c:v>0.57847652759737633</c:v>
                </c:pt>
                <c:pt idx="40">
                  <c:v>0.4950316041263334</c:v>
                </c:pt>
                <c:pt idx="41">
                  <c:v>0.4235475876202468</c:v>
                </c:pt>
                <c:pt idx="42">
                  <c:v>0.36233062226276608</c:v>
                </c:pt>
                <c:pt idx="43">
                  <c:v>0.30992110590306871</c:v>
                </c:pt>
                <c:pt idx="44">
                  <c:v>0.26506284621355947</c:v>
                </c:pt>
                <c:pt idx="45">
                  <c:v>0.22667583933938873</c:v>
                </c:pt>
                <c:pt idx="46">
                  <c:v>0.19383237568762535</c:v>
                </c:pt>
                <c:pt idx="47">
                  <c:v>0.16573615836535527</c:v>
                </c:pt>
                <c:pt idx="48">
                  <c:v>0.14170412006650435</c:v>
                </c:pt>
                <c:pt idx="49">
                  <c:v>0.12115063664532176</c:v>
                </c:pt>
                <c:pt idx="50">
                  <c:v>0.10357385516759722</c:v>
                </c:pt>
                <c:pt idx="51">
                  <c:v>8.8543877471426599E-2</c:v>
                </c:pt>
                <c:pt idx="52">
                  <c:v>7.5692564909235413E-2</c:v>
                </c:pt>
                <c:pt idx="53">
                  <c:v>6.4704754495649594E-2</c:v>
                </c:pt>
                <c:pt idx="54">
                  <c:v>5.5310700225571115E-2</c:v>
                </c:pt>
                <c:pt idx="55">
                  <c:v>4.7279575313927652E-2</c:v>
                </c:pt>
                <c:pt idx="56">
                  <c:v>4.0413891266329383E-2</c:v>
                </c:pt>
                <c:pt idx="57">
                  <c:v>3.4544707916771909E-2</c:v>
                </c:pt>
                <c:pt idx="58">
                  <c:v>2.9527524876556629E-2</c:v>
                </c:pt>
                <c:pt idx="59">
                  <c:v>2.5238759310232534E-2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'T15'!$B$15</c:f>
              <c:numCache>
                <c:formatCode>0.000</c:formatCode>
                <c:ptCount val="1"/>
                <c:pt idx="0">
                  <c:v>0.19777614662262244</c:v>
                </c:pt>
              </c:numCache>
            </c:numRef>
          </c:xVal>
          <c:yVal>
            <c:numRef>
              <c:f>'T15'!$I$3</c:f>
              <c:numCache>
                <c:formatCode>General</c:formatCode>
                <c:ptCount val="1"/>
                <c:pt idx="0">
                  <c:v>9.4706375657707227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'T15'!$B$18</c:f>
              <c:numCache>
                <c:formatCode>0.000</c:formatCode>
                <c:ptCount val="1"/>
                <c:pt idx="0">
                  <c:v>0.58003255488139649</c:v>
                </c:pt>
              </c:numCache>
            </c:numRef>
          </c:xVal>
          <c:yVal>
            <c:numRef>
              <c:f>'T15'!$I$3</c:f>
              <c:numCache>
                <c:formatCode>General</c:formatCode>
                <c:ptCount val="1"/>
                <c:pt idx="0">
                  <c:v>9.4706375657707227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'T15'!$B$16</c:f>
              <c:numCache>
                <c:formatCode>0</c:formatCode>
                <c:ptCount val="1"/>
                <c:pt idx="0">
                  <c:v>3.3331985696224531</c:v>
                </c:pt>
              </c:numCache>
            </c:numRef>
          </c:xVal>
          <c:yVal>
            <c:numRef>
              <c:f>'T15'!$I$3</c:f>
              <c:numCache>
                <c:formatCode>General</c:formatCode>
                <c:ptCount val="1"/>
                <c:pt idx="0">
                  <c:v>9.4706375657707227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92928"/>
        <c:axId val="215299584"/>
      </c:scatterChart>
      <c:valAx>
        <c:axId val="215292928"/>
        <c:scaling>
          <c:logBase val="10"/>
          <c:orientation val="minMax"/>
          <c:max val="1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40350992413058562"/>
              <c:y val="0.91803278688524592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299584"/>
        <c:crossesAt val="-1000000"/>
        <c:crossBetween val="midCat"/>
        <c:minorUnit val="10"/>
      </c:valAx>
      <c:valAx>
        <c:axId val="215299584"/>
        <c:scaling>
          <c:orientation val="minMax"/>
          <c:max val="1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3859774362020175E-2"/>
              <c:y val="0.285245901639344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292928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16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2887537993920974"/>
          <c:y val="0.1010639610309500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68693009118541"/>
          <c:y val="3.9893668828006601E-2"/>
          <c:w val="0.7264437689969605"/>
          <c:h val="0.7952137986382649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'T16'!$A$21:$A$85</c:f>
              <c:numCache>
                <c:formatCode>0.000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'T16'!$B$21:$B$85</c:f>
              <c:numCache>
                <c:formatCode>General</c:formatCode>
                <c:ptCount val="65"/>
                <c:pt idx="0">
                  <c:v>38883510.658307575</c:v>
                </c:pt>
                <c:pt idx="1">
                  <c:v>701.76662609405287</c:v>
                </c:pt>
                <c:pt idx="2">
                  <c:v>75.935001622316193</c:v>
                </c:pt>
                <c:pt idx="3">
                  <c:v>-32.086650727427696</c:v>
                </c:pt>
                <c:pt idx="4">
                  <c:v>-42.69533694001337</c:v>
                </c:pt>
                <c:pt idx="5">
                  <c:v>-30.452503890065781</c:v>
                </c:pt>
                <c:pt idx="6">
                  <c:v>-15.006704635818169</c:v>
                </c:pt>
                <c:pt idx="7">
                  <c:v>-1.8890715197823011</c:v>
                </c:pt>
                <c:pt idx="8">
                  <c:v>7.7455095754319885</c:v>
                </c:pt>
                <c:pt idx="9">
                  <c:v>14.147783294277906</c:v>
                </c:pt>
                <c:pt idx="10">
                  <c:v>17.953938889471956</c:v>
                </c:pt>
                <c:pt idx="11">
                  <c:v>19.824398948909778</c:v>
                </c:pt>
                <c:pt idx="12">
                  <c:v>20.325760536047373</c:v>
                </c:pt>
                <c:pt idx="13">
                  <c:v>19.905287054054316</c:v>
                </c:pt>
                <c:pt idx="14">
                  <c:v>18.899357408964637</c:v>
                </c:pt>
                <c:pt idx="15">
                  <c:v>17.552327542560132</c:v>
                </c:pt>
                <c:pt idx="16">
                  <c:v>16.036456591633726</c:v>
                </c:pt>
                <c:pt idx="17">
                  <c:v>14.469494424316395</c:v>
                </c:pt>
                <c:pt idx="18">
                  <c:v>12.929022350567623</c:v>
                </c:pt>
                <c:pt idx="19">
                  <c:v>11.463643147066714</c:v>
                </c:pt>
                <c:pt idx="20">
                  <c:v>10.101469448266261</c:v>
                </c:pt>
                <c:pt idx="21">
                  <c:v>8.8564327647397203</c:v>
                </c:pt>
                <c:pt idx="22">
                  <c:v>7.7328962742336138</c:v>
                </c:pt>
                <c:pt idx="23">
                  <c:v>6.7289781863004414</c:v>
                </c:pt>
                <c:pt idx="24">
                  <c:v>5.8389115037659405</c:v>
                </c:pt>
                <c:pt idx="25">
                  <c:v>5.0546933169592743</c:v>
                </c:pt>
                <c:pt idx="26">
                  <c:v>4.3672163180541617</c:v>
                </c:pt>
                <c:pt idx="27">
                  <c:v>3.7670270518986282</c:v>
                </c:pt>
                <c:pt idx="28">
                  <c:v>3.2448180461024019</c:v>
                </c:pt>
                <c:pt idx="29">
                  <c:v>2.7917324898255873</c:v>
                </c:pt>
                <c:pt idx="30">
                  <c:v>2.3995387234273822</c:v>
                </c:pt>
                <c:pt idx="31">
                  <c:v>2.0607158701633512</c:v>
                </c:pt>
                <c:pt idx="32">
                  <c:v>1.7684801845945071</c:v>
                </c:pt>
                <c:pt idx="33">
                  <c:v>1.5167730796567427</c:v>
                </c:pt>
                <c:pt idx="34">
                  <c:v>1.3002255273619803</c:v>
                </c:pt>
                <c:pt idx="35">
                  <c:v>1.1141089983011117</c:v>
                </c:pt>
                <c:pt idx="36">
                  <c:v>0.95427985363110457</c:v>
                </c:pt>
                <c:pt idx="37">
                  <c:v>0.81712178703304228</c:v>
                </c:pt>
                <c:pt idx="38">
                  <c:v>0.69948927855618726</c:v>
                </c:pt>
                <c:pt idx="39">
                  <c:v>0.59865387932493352</c:v>
                </c:pt>
                <c:pt idx="40">
                  <c:v>0.5122543577032741</c:v>
                </c:pt>
                <c:pt idx="41">
                  <c:v>0.43825120273219598</c:v>
                </c:pt>
                <c:pt idx="42">
                  <c:v>0.37488562599326086</c:v>
                </c:pt>
                <c:pt idx="43">
                  <c:v>0.32064297525057661</c:v>
                </c:pt>
                <c:pt idx="44">
                  <c:v>0.27422033386777411</c:v>
                </c:pt>
                <c:pt idx="45">
                  <c:v>0.2344980015164736</c:v>
                </c:pt>
                <c:pt idx="46">
                  <c:v>0.20051451441582416</c:v>
                </c:pt>
                <c:pt idx="47">
                  <c:v>0.17144485332674286</c:v>
                </c:pt>
                <c:pt idx="48">
                  <c:v>0.14658149496831679</c:v>
                </c:pt>
                <c:pt idx="49">
                  <c:v>0.12531798060656901</c:v>
                </c:pt>
                <c:pt idx="50">
                  <c:v>0.10713469960111138</c:v>
                </c:pt>
                <c:pt idx="51">
                  <c:v>9.1586612517218405E-2</c:v>
                </c:pt>
                <c:pt idx="52">
                  <c:v>7.8292665929522651E-2</c:v>
                </c:pt>
                <c:pt idx="53">
                  <c:v>6.6926677923983643E-2</c:v>
                </c:pt>
                <c:pt idx="54">
                  <c:v>5.7209498736919599E-2</c:v>
                </c:pt>
                <c:pt idx="55">
                  <c:v>4.8902274503605021E-2</c:v>
                </c:pt>
                <c:pt idx="56">
                  <c:v>4.1800663516890192E-2</c:v>
                </c:pt>
                <c:pt idx="57">
                  <c:v>3.5729873671094634E-2</c:v>
                </c:pt>
                <c:pt idx="58">
                  <c:v>3.0540406942537571E-2</c:v>
                </c:pt>
                <c:pt idx="59">
                  <c:v>2.6104411951525068E-2</c:v>
                </c:pt>
                <c:pt idx="60">
                  <c:v>2.231255901140056E-2</c:v>
                </c:pt>
                <c:pt idx="61">
                  <c:v>1.9071363763731121E-2</c:v>
                </c:pt>
                <c:pt idx="62">
                  <c:v>1.6300895693329747E-2</c:v>
                </c:pt>
                <c:pt idx="63">
                  <c:v>1.3932816676469532E-2</c:v>
                </c:pt>
                <c:pt idx="64">
                  <c:v>1.190870239489694E-2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'T16'!$B$15</c:f>
              <c:numCache>
                <c:formatCode>0.000</c:formatCode>
                <c:ptCount val="1"/>
                <c:pt idx="0">
                  <c:v>0.20534350355114442</c:v>
                </c:pt>
              </c:numCache>
            </c:numRef>
          </c:xVal>
          <c:yVal>
            <c:numRef>
              <c:f>'T16'!$I$3</c:f>
              <c:numCache>
                <c:formatCode>General</c:formatCode>
                <c:ptCount val="1"/>
                <c:pt idx="0">
                  <c:v>12.284868054237537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'T16'!$B$16</c:f>
              <c:numCache>
                <c:formatCode>0.000</c:formatCode>
                <c:ptCount val="1"/>
                <c:pt idx="0">
                  <c:v>2.5512223061319816</c:v>
                </c:pt>
              </c:numCache>
            </c:numRef>
          </c:xVal>
          <c:yVal>
            <c:numRef>
              <c:f>'T16'!$I$3</c:f>
              <c:numCache>
                <c:formatCode>General</c:formatCode>
                <c:ptCount val="1"/>
                <c:pt idx="0">
                  <c:v>12.284868054237537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'T16'!$B$18</c:f>
              <c:numCache>
                <c:formatCode>0.000</c:formatCode>
                <c:ptCount val="1"/>
                <c:pt idx="0">
                  <c:v>0.54992882853246217</c:v>
                </c:pt>
              </c:numCache>
            </c:numRef>
          </c:xVal>
          <c:yVal>
            <c:numRef>
              <c:f>'T16'!$I$3</c:f>
              <c:numCache>
                <c:formatCode>General</c:formatCode>
                <c:ptCount val="1"/>
                <c:pt idx="0">
                  <c:v>12.284868054237537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43104"/>
        <c:axId val="215345408"/>
      </c:scatterChart>
      <c:valAx>
        <c:axId val="215343104"/>
        <c:scaling>
          <c:logBase val="10"/>
          <c:orientation val="minMax"/>
          <c:max val="1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39209726443769"/>
              <c:y val="0.906916071356683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345408"/>
        <c:crossesAt val="-1000000"/>
        <c:crossBetween val="midCat"/>
        <c:minorUnit val="10"/>
      </c:valAx>
      <c:valAx>
        <c:axId val="215345408"/>
        <c:scaling>
          <c:orientation val="minMax"/>
          <c:max val="100"/>
          <c:min val="-15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5592705167173252E-2"/>
              <c:y val="0.305851461014717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343104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17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2887537993920974"/>
          <c:y val="0.1020408163265306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68693009118541"/>
          <c:y val="3.826530612244898E-2"/>
          <c:w val="0.7264437689969605"/>
          <c:h val="0.80357142857142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'T17'!$A$21:$A$80</c:f>
              <c:numCache>
                <c:formatCode>0.000</c:formatCode>
                <c:ptCount val="60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</c:numCache>
            </c:numRef>
          </c:xVal>
          <c:yVal>
            <c:numRef>
              <c:f>'T17'!$B$21:$B$80</c:f>
              <c:numCache>
                <c:formatCode>General</c:formatCode>
                <c:ptCount val="60"/>
                <c:pt idx="0">
                  <c:v>40216216.514333762</c:v>
                </c:pt>
                <c:pt idx="1">
                  <c:v>778.86419940072608</c:v>
                </c:pt>
                <c:pt idx="2">
                  <c:v>117.28852895702853</c:v>
                </c:pt>
                <c:pt idx="3">
                  <c:v>-4.8781727525465248</c:v>
                </c:pt>
                <c:pt idx="4">
                  <c:v>-23.479111826931586</c:v>
                </c:pt>
                <c:pt idx="5">
                  <c:v>-16.389531620946801</c:v>
                </c:pt>
                <c:pt idx="6">
                  <c:v>-4.4854055642226012</c:v>
                </c:pt>
                <c:pt idx="7">
                  <c:v>6.107852130448955</c:v>
                </c:pt>
                <c:pt idx="8">
                  <c:v>13.900123992215812</c:v>
                </c:pt>
                <c:pt idx="9">
                  <c:v>18.934771370609077</c:v>
                </c:pt>
                <c:pt idx="10">
                  <c:v>21.712013210701553</c:v>
                </c:pt>
                <c:pt idx="11">
                  <c:v>22.799650303248651</c:v>
                </c:pt>
                <c:pt idx="12">
                  <c:v>22.699502240488012</c:v>
                </c:pt>
                <c:pt idx="13">
                  <c:v>21.812654816508893</c:v>
                </c:pt>
                <c:pt idx="14">
                  <c:v>20.442084192071196</c:v>
                </c:pt>
                <c:pt idx="15">
                  <c:v>18.807698080855193</c:v>
                </c:pt>
                <c:pt idx="16">
                  <c:v>17.063681785483645</c:v>
                </c:pt>
                <c:pt idx="17">
                  <c:v>15.314304805751844</c:v>
                </c:pt>
                <c:pt idx="18">
                  <c:v>13.627011718133343</c:v>
                </c:pt>
                <c:pt idx="19">
                  <c:v>12.042723650727517</c:v>
                </c:pt>
                <c:pt idx="20">
                  <c:v>10.583688335560106</c:v>
                </c:pt>
                <c:pt idx="21">
                  <c:v>9.2593265178271302</c:v>
                </c:pt>
                <c:pt idx="22">
                  <c:v>8.0705069407093237</c:v>
                </c:pt>
                <c:pt idx="23">
                  <c:v>7.0126213497257615</c:v>
                </c:pt>
                <c:pt idx="24">
                  <c:v>6.0777604930757256</c:v>
                </c:pt>
                <c:pt idx="25">
                  <c:v>5.25622662108821</c:v>
                </c:pt>
                <c:pt idx="26">
                  <c:v>4.5375625573534979</c:v>
                </c:pt>
                <c:pt idx="27">
                  <c:v>3.9112327713671187</c:v>
                </c:pt>
                <c:pt idx="28">
                  <c:v>3.3670570114717298</c:v>
                </c:pt>
                <c:pt idx="29">
                  <c:v>2.8954703715671517</c:v>
                </c:pt>
                <c:pt idx="30">
                  <c:v>2.4876635431315899</c:v>
                </c:pt>
                <c:pt idx="31">
                  <c:v>2.1356420020678648</c:v>
                </c:pt>
                <c:pt idx="32">
                  <c:v>1.8322317978978659</c:v>
                </c:pt>
                <c:pt idx="33">
                  <c:v>1.5710514920337213</c:v>
                </c:pt>
                <c:pt idx="34">
                  <c:v>1.3464638850787056</c:v>
                </c:pt>
                <c:pt idx="35">
                  <c:v>1.1535169080975585</c:v>
                </c:pt>
                <c:pt idx="36">
                  <c:v>0.98787999671322235</c:v>
                </c:pt>
                <c:pt idx="37">
                  <c:v>0.84578009546158339</c:v>
                </c:pt>
                <c:pt idx="38">
                  <c:v>0.72393991195505725</c:v>
                </c:pt>
                <c:pt idx="39">
                  <c:v>0.61951997791499569</c:v>
                </c:pt>
                <c:pt idx="40">
                  <c:v>0.53006534611390799</c:v>
                </c:pt>
                <c:pt idx="41">
                  <c:v>0.45345726299559885</c:v>
                </c:pt>
                <c:pt idx="42">
                  <c:v>0.38786983655598156</c:v>
                </c:pt>
                <c:pt idx="43">
                  <c:v>0.33173151752427144</c:v>
                </c:pt>
                <c:pt idx="44">
                  <c:v>0.28369109263776227</c:v>
                </c:pt>
                <c:pt idx="45">
                  <c:v>0.24258782581249339</c:v>
                </c:pt>
                <c:pt idx="46">
                  <c:v>0.20742535773761056</c:v>
                </c:pt>
                <c:pt idx="47">
                  <c:v>0.17734897376318351</c:v>
                </c:pt>
                <c:pt idx="48">
                  <c:v>0.15162586473705419</c:v>
                </c:pt>
                <c:pt idx="49">
                  <c:v>0.12962802932580952</c:v>
                </c:pt>
                <c:pt idx="50">
                  <c:v>0.11081749499594075</c:v>
                </c:pt>
                <c:pt idx="51">
                  <c:v>9.4733565335250777E-2</c:v>
                </c:pt>
                <c:pt idx="52">
                  <c:v>8.0981831874577331E-2</c:v>
                </c:pt>
                <c:pt idx="53">
                  <c:v>6.922471784594271E-2</c:v>
                </c:pt>
                <c:pt idx="54">
                  <c:v>5.9173348694016609E-2</c:v>
                </c:pt>
                <c:pt idx="55">
                  <c:v>5.0580569284828167E-2</c:v>
                </c:pt>
                <c:pt idx="56">
                  <c:v>4.3234950492754304E-2</c:v>
                </c:pt>
                <c:pt idx="57">
                  <c:v>3.6955648202066614E-2</c:v>
                </c:pt>
                <c:pt idx="58">
                  <c:v>3.1587995830812315E-2</c:v>
                </c:pt>
                <c:pt idx="59">
                  <c:v>2.6999727423038928E-2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'T17'!$B$15</c:f>
              <c:numCache>
                <c:formatCode>0.000</c:formatCode>
                <c:ptCount val="1"/>
                <c:pt idx="0">
                  <c:v>0.21503402617941178</c:v>
                </c:pt>
              </c:numCache>
            </c:numRef>
          </c:xVal>
          <c:yVal>
            <c:numRef>
              <c:f>'T17'!$I$3</c:f>
              <c:numCache>
                <c:formatCode>General</c:formatCode>
                <c:ptCount val="1"/>
                <c:pt idx="0">
                  <c:v>15.802389576581332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'T17'!$B$16</c:f>
              <c:numCache>
                <c:formatCode>0.000</c:formatCode>
                <c:ptCount val="1"/>
                <c:pt idx="0">
                  <c:v>1.9495534084274722</c:v>
                </c:pt>
              </c:numCache>
            </c:numRef>
          </c:xVal>
          <c:yVal>
            <c:numRef>
              <c:f>'T17'!$I$3</c:f>
              <c:numCache>
                <c:formatCode>General</c:formatCode>
                <c:ptCount val="1"/>
                <c:pt idx="0">
                  <c:v>15.802389576581332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'T17'!$B$18</c:f>
              <c:numCache>
                <c:formatCode>0.000</c:formatCode>
                <c:ptCount val="1"/>
                <c:pt idx="0">
                  <c:v>0.52167290805987498</c:v>
                </c:pt>
              </c:numCache>
            </c:numRef>
          </c:xVal>
          <c:yVal>
            <c:numRef>
              <c:f>'T17'!$I$3</c:f>
              <c:numCache>
                <c:formatCode>General</c:formatCode>
                <c:ptCount val="1"/>
                <c:pt idx="0">
                  <c:v>15.802389576581332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97120"/>
        <c:axId val="215399424"/>
      </c:scatterChart>
      <c:valAx>
        <c:axId val="215397120"/>
        <c:scaling>
          <c:logBase val="10"/>
          <c:orientation val="minMax"/>
          <c:max val="1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39209726443769"/>
              <c:y val="0.910714285714285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399424"/>
        <c:crossesAt val="-1000000"/>
        <c:crossBetween val="midCat"/>
        <c:minorUnit val="10"/>
      </c:valAx>
      <c:valAx>
        <c:axId val="215399424"/>
        <c:scaling>
          <c:orientation val="minMax"/>
          <c:max val="5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5592705167173252E-2"/>
              <c:y val="0.313775510204081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397120"/>
        <c:crossesAt val="1E-3"/>
        <c:crossBetween val="midCat"/>
        <c:majorUnit val="10"/>
        <c:minorUnit val="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18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2887537993920974"/>
          <c:y val="0.103746397694524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44984802431611"/>
          <c:y val="4.3227665706051875E-2"/>
          <c:w val="0.74468085106382975"/>
          <c:h val="0.7780979827089337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'T18'!$A$21:$A$80</c:f>
              <c:numCache>
                <c:formatCode>0.000</c:formatCode>
                <c:ptCount val="60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</c:numCache>
            </c:numRef>
          </c:xVal>
          <c:yVal>
            <c:numRef>
              <c:f>'T18'!$B$21:$B$80</c:f>
              <c:numCache>
                <c:formatCode>General</c:formatCode>
                <c:ptCount val="60"/>
                <c:pt idx="0">
                  <c:v>41594597.08260154</c:v>
                </c:pt>
                <c:pt idx="1">
                  <c:v>858.3229659672636</c:v>
                </c:pt>
                <c:pt idx="2">
                  <c:v>159.85397407940604</c:v>
                </c:pt>
                <c:pt idx="3">
                  <c:v>23.112781646317888</c:v>
                </c:pt>
                <c:pt idx="4">
                  <c:v>-3.7138947331730741</c:v>
                </c:pt>
                <c:pt idx="5">
                  <c:v>-1.9246475681345327</c:v>
                </c:pt>
                <c:pt idx="6">
                  <c:v>6.3379987558070567</c:v>
                </c:pt>
                <c:pt idx="7">
                  <c:v>14.336125534912645</c:v>
                </c:pt>
                <c:pt idx="8">
                  <c:v>20.234461362675592</c:v>
                </c:pt>
                <c:pt idx="9">
                  <c:v>23.863021372942331</c:v>
                </c:pt>
                <c:pt idx="10">
                  <c:v>25.582230322790828</c:v>
                </c:pt>
                <c:pt idx="11">
                  <c:v>25.864703652654736</c:v>
                </c:pt>
                <c:pt idx="12">
                  <c:v>25.145709615196115</c:v>
                </c:pt>
                <c:pt idx="13">
                  <c:v>23.778899741210331</c:v>
                </c:pt>
                <c:pt idx="14">
                  <c:v>22.032940774543221</c:v>
                </c:pt>
                <c:pt idx="15">
                  <c:v>20.102628251648706</c:v>
                </c:pt>
                <c:pt idx="16">
                  <c:v>18.123581280365837</c:v>
                </c:pt>
                <c:pt idx="17">
                  <c:v>16.186219816156978</c:v>
                </c:pt>
                <c:pt idx="18">
                  <c:v>14.347572104344554</c:v>
                </c:pt>
                <c:pt idx="19">
                  <c:v>12.640663893865394</c:v>
                </c:pt>
                <c:pt idx="20">
                  <c:v>11.081713198167233</c:v>
                </c:pt>
                <c:pt idx="21">
                  <c:v>9.6755018382215408</c:v>
                </c:pt>
                <c:pt idx="22">
                  <c:v>8.4193036717629539</c:v>
                </c:pt>
                <c:pt idx="23">
                  <c:v>7.3057046453183627</c:v>
                </c:pt>
                <c:pt idx="24">
                  <c:v>6.3245901379705263</c:v>
                </c:pt>
                <c:pt idx="25">
                  <c:v>5.464517002273344</c:v>
                </c:pt>
                <c:pt idx="26">
                  <c:v>4.7136374296335148</c:v>
                </c:pt>
                <c:pt idx="27">
                  <c:v>4.0603007464283554</c:v>
                </c:pt>
                <c:pt idx="28">
                  <c:v>3.4934269443663823</c:v>
                </c:pt>
                <c:pt idx="29">
                  <c:v>3.0027208979240414</c:v>
                </c:pt>
                <c:pt idx="30">
                  <c:v>2.5787774184744152</c:v>
                </c:pt>
                <c:pt idx="31">
                  <c:v>2.2131132456559421</c:v>
                </c:pt>
                <c:pt idx="32">
                  <c:v>1.8981516864810049</c:v>
                </c:pt>
                <c:pt idx="33">
                  <c:v>1.6271779964974151</c:v>
                </c:pt>
                <c:pt idx="34">
                  <c:v>1.3942780600397855</c:v>
                </c:pt>
                <c:pt idx="35">
                  <c:v>1.1942689332312422</c:v>
                </c:pt>
                <c:pt idx="36">
                  <c:v>1.0226269577891689</c:v>
                </c:pt>
                <c:pt idx="37">
                  <c:v>0.87541713080709105</c:v>
                </c:pt>
                <c:pt idx="38">
                  <c:v>0.7492259983180477</c:v>
                </c:pt>
                <c:pt idx="39">
                  <c:v>0.6410993605244738</c:v>
                </c:pt>
                <c:pt idx="40">
                  <c:v>0.54848541052958144</c:v>
                </c:pt>
                <c:pt idx="41">
                  <c:v>0.46918348585996517</c:v>
                </c:pt>
                <c:pt idx="42">
                  <c:v>0.40129832729510378</c:v>
                </c:pt>
                <c:pt idx="43">
                  <c:v>0.34319956495375337</c:v>
                </c:pt>
                <c:pt idx="44">
                  <c:v>0.29348605300712693</c:v>
                </c:pt>
                <c:pt idx="45">
                  <c:v>0.25095462732160168</c:v>
                </c:pt>
                <c:pt idx="46">
                  <c:v>0.21457284740256063</c:v>
                </c:pt>
                <c:pt idx="47">
                  <c:v>0.18345529298015559</c:v>
                </c:pt>
                <c:pt idx="48">
                  <c:v>0.15684300791963579</c:v>
                </c:pt>
                <c:pt idx="49">
                  <c:v>0.13408571398641711</c:v>
                </c:pt>
                <c:pt idx="50">
                  <c:v>0.11462645038049132</c:v>
                </c:pt>
                <c:pt idx="51">
                  <c:v>9.798832925230487E-2</c:v>
                </c:pt>
                <c:pt idx="52">
                  <c:v>8.3763130944385061E-2</c:v>
                </c:pt>
                <c:pt idx="53">
                  <c:v>7.1601494448911451E-2</c:v>
                </c:pt>
                <c:pt idx="54">
                  <c:v>6.120448796192389E-2</c:v>
                </c:pt>
                <c:pt idx="55">
                  <c:v>5.2316371185679451E-2</c:v>
                </c:pt>
                <c:pt idx="56">
                  <c:v>4.4718385118723371E-2</c:v>
                </c:pt>
                <c:pt idx="57">
                  <c:v>3.8223426543755962E-2</c:v>
                </c:pt>
                <c:pt idx="58">
                  <c:v>3.2671483419315986E-2</c:v>
                </c:pt>
                <c:pt idx="59">
                  <c:v>2.7925724088649982E-2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'T18'!$B$15</c:f>
              <c:numCache>
                <c:formatCode>0.000</c:formatCode>
                <c:ptCount val="1"/>
                <c:pt idx="0">
                  <c:v>0.22808373551016328</c:v>
                </c:pt>
              </c:numCache>
            </c:numRef>
          </c:xVal>
          <c:yVal>
            <c:numRef>
              <c:f>'T18'!$I$3</c:f>
              <c:numCache>
                <c:formatCode>General</c:formatCode>
                <c:ptCount val="1"/>
                <c:pt idx="0">
                  <c:v>20.181889915626428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'T18'!$B$16</c:f>
              <c:numCache>
                <c:formatCode>0.000</c:formatCode>
                <c:ptCount val="1"/>
                <c:pt idx="0">
                  <c:v>1.4791099686377305</c:v>
                </c:pt>
              </c:numCache>
            </c:numRef>
          </c:xVal>
          <c:yVal>
            <c:numRef>
              <c:f>'T18'!$I$3</c:f>
              <c:numCache>
                <c:formatCode>General</c:formatCode>
                <c:ptCount val="1"/>
                <c:pt idx="0">
                  <c:v>20.181889915626428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'T18'!$B$18</c:f>
              <c:numCache>
                <c:formatCode>0.000</c:formatCode>
                <c:ptCount val="1"/>
                <c:pt idx="0">
                  <c:v>0.49508925799060788</c:v>
                </c:pt>
              </c:numCache>
            </c:numRef>
          </c:xVal>
          <c:yVal>
            <c:numRef>
              <c:f>'T18'!$I$3</c:f>
              <c:numCache>
                <c:formatCode>General</c:formatCode>
                <c:ptCount val="1"/>
                <c:pt idx="0">
                  <c:v>20.181889915626428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34752"/>
        <c:axId val="215441408"/>
      </c:scatterChart>
      <c:valAx>
        <c:axId val="215434752"/>
        <c:scaling>
          <c:logBase val="10"/>
          <c:orientation val="minMax"/>
          <c:max val="1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38297872340425532"/>
              <c:y val="0.8991354466858789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41408"/>
        <c:crossesAt val="-1000000"/>
        <c:crossBetween val="midCat"/>
        <c:minorUnit val="10"/>
      </c:valAx>
      <c:valAx>
        <c:axId val="215441408"/>
        <c:scaling>
          <c:orientation val="minMax"/>
          <c:max val="40"/>
          <c:min val="-5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5592705167173252E-2"/>
              <c:y val="0.29106628242074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34752"/>
        <c:crossesAt val="1E-3"/>
        <c:crossBetween val="midCat"/>
        <c:majorUnit val="10"/>
        <c:minorUnit val="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19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2853007850647082"/>
          <c:y val="0.1034485661608919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018070858175142"/>
          <c:y val="4.3103569233704973E-2"/>
          <c:w val="0.76877102328213942"/>
          <c:h val="0.7787378174889364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'T19'!$A$21:$A$154</c:f>
              <c:numCache>
                <c:formatCode>0.000</c:formatCode>
                <c:ptCount val="134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  <c:pt idx="65">
                  <c:v>3819.7415298236938</c:v>
                </c:pt>
              </c:numCache>
            </c:numRef>
          </c:xVal>
          <c:yVal>
            <c:numRef>
              <c:f>'T19'!$B$21:$B$154</c:f>
              <c:numCache>
                <c:formatCode>General</c:formatCode>
                <c:ptCount val="134"/>
                <c:pt idx="0">
                  <c:v>43020217.984714724</c:v>
                </c:pt>
                <c:pt idx="1">
                  <c:v>940.39715281484098</c:v>
                </c:pt>
                <c:pt idx="2">
                  <c:v>203.79947267492847</c:v>
                </c:pt>
                <c:pt idx="3">
                  <c:v>52.005513083218176</c:v>
                </c:pt>
                <c:pt idx="4">
                  <c:v>16.686689894142617</c:v>
                </c:pt>
                <c:pt idx="5">
                  <c:v>13.005276449971243</c:v>
                </c:pt>
                <c:pt idx="6">
                  <c:v>17.509915743405145</c:v>
                </c:pt>
                <c:pt idx="7">
                  <c:v>22.830015210281999</c:v>
                </c:pt>
                <c:pt idx="8">
                  <c:v>26.773921201937409</c:v>
                </c:pt>
                <c:pt idx="9">
                  <c:v>28.951429751799424</c:v>
                </c:pt>
                <c:pt idx="10">
                  <c:v>29.578701044442131</c:v>
                </c:pt>
                <c:pt idx="11">
                  <c:v>29.030137214038582</c:v>
                </c:pt>
                <c:pt idx="12">
                  <c:v>27.672345440367852</c:v>
                </c:pt>
                <c:pt idx="13">
                  <c:v>25.810042325637561</c:v>
                </c:pt>
                <c:pt idx="14">
                  <c:v>23.67650066009007</c:v>
                </c:pt>
                <c:pt idx="15">
                  <c:v>21.44060986571062</c:v>
                </c:pt>
                <c:pt idx="16">
                  <c:v>19.218835285410311</c:v>
                </c:pt>
                <c:pt idx="17">
                  <c:v>17.087308276884137</c:v>
                </c:pt>
                <c:pt idx="18">
                  <c:v>15.092309770597319</c:v>
                </c:pt>
                <c:pt idx="19">
                  <c:v>13.258718542615465</c:v>
                </c:pt>
                <c:pt idx="20">
                  <c:v>11.596530114540601</c:v>
                </c:pt>
                <c:pt idx="21">
                  <c:v>10.105738535320153</c:v>
                </c:pt>
                <c:pt idx="22">
                  <c:v>8.7799069787520381</c:v>
                </c:pt>
                <c:pt idx="23">
                  <c:v>7.6087248417088835</c:v>
                </c:pt>
                <c:pt idx="24">
                  <c:v>6.5798005035214997</c:v>
                </c:pt>
                <c:pt idx="25">
                  <c:v>5.6798884874605964</c:v>
                </c:pt>
                <c:pt idx="26">
                  <c:v>4.8957048017714362</c:v>
                </c:pt>
                <c:pt idx="27">
                  <c:v>4.214446951967183</c:v>
                </c:pt>
                <c:pt idx="28">
                  <c:v>3.6241054619359629</c:v>
                </c:pt>
                <c:pt idx="29">
                  <c:v>3.1136307826450893</c:v>
                </c:pt>
                <c:pt idx="30">
                  <c:v>2.6730020238093384</c:v>
                </c:pt>
                <c:pt idx="31">
                  <c:v>2.2932308774460757</c:v>
                </c:pt>
                <c:pt idx="32">
                  <c:v>1.9663244256586656</c:v>
                </c:pt>
                <c:pt idx="33">
                  <c:v>1.6852234291048922</c:v>
                </c:pt>
                <c:pt idx="34">
                  <c:v>1.4437275363254281</c:v>
                </c:pt>
                <c:pt idx="35">
                  <c:v>1.2364151408234989</c:v>
                </c:pt>
                <c:pt idx="36">
                  <c:v>1.0585629639031142</c:v>
                </c:pt>
                <c:pt idx="37">
                  <c:v>0.90606857157085385</c:v>
                </c:pt>
                <c:pt idx="38">
                  <c:v>0.77537773040813618</c:v>
                </c:pt>
                <c:pt idx="39">
                  <c:v>0.66341761255785925</c:v>
                </c:pt>
                <c:pt idx="40">
                  <c:v>0.56753625783444794</c:v>
                </c:pt>
                <c:pt idx="41">
                  <c:v>0.4854483066203879</c:v>
                </c:pt>
                <c:pt idx="42">
                  <c:v>0.41518676896843476</c:v>
                </c:pt>
                <c:pt idx="43">
                  <c:v>0.35506044859570851</c:v>
                </c:pt>
                <c:pt idx="44">
                  <c:v>0.30361656319989505</c:v>
                </c:pt>
                <c:pt idx="45">
                  <c:v>0.25960807189315943</c:v>
                </c:pt>
                <c:pt idx="46">
                  <c:v>0.22196522035764596</c:v>
                </c:pt>
                <c:pt idx="47">
                  <c:v>0.18977083323308325</c:v>
                </c:pt>
                <c:pt idx="48">
                  <c:v>0.16223891338946217</c:v>
                </c:pt>
                <c:pt idx="49">
                  <c:v>0.13869614374731998</c:v>
                </c:pt>
                <c:pt idx="50">
                  <c:v>0.11856592559092086</c:v>
                </c:pt>
                <c:pt idx="51">
                  <c:v>0.10135462553508739</c:v>
                </c:pt>
                <c:pt idx="52">
                  <c:v>8.6639739991225095E-2</c:v>
                </c:pt>
                <c:pt idx="53">
                  <c:v>7.4059720275533591E-2</c:v>
                </c:pt>
                <c:pt idx="54">
                  <c:v>6.3305232969297326E-2</c:v>
                </c:pt>
                <c:pt idx="55">
                  <c:v>5.411165861047814E-2</c:v>
                </c:pt>
                <c:pt idx="56">
                  <c:v>4.6252657279978272E-2</c:v>
                </c:pt>
                <c:pt idx="57">
                  <c:v>3.953465226909126E-2</c:v>
                </c:pt>
                <c:pt idx="58">
                  <c:v>3.3792102966100981E-2</c:v>
                </c:pt>
                <c:pt idx="59">
                  <c:v>2.8883455602356774E-2</c:v>
                </c:pt>
                <c:pt idx="60">
                  <c:v>2.4687675786240017E-2</c:v>
                </c:pt>
                <c:pt idx="61">
                  <c:v>2.1101280060481328E-2</c:v>
                </c:pt>
                <c:pt idx="62">
                  <c:v>1.8035795267440823E-2</c:v>
                </c:pt>
                <c:pt idx="63">
                  <c:v>1.541558450636474E-2</c:v>
                </c:pt>
                <c:pt idx="64">
                  <c:v>1.3175987106901701E-2</c:v>
                </c:pt>
                <c:pt idx="65">
                  <c:v>1.1261727496526852E-2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'T19'!$B$15</c:f>
              <c:numCache>
                <c:formatCode>0.000</c:formatCode>
                <c:ptCount val="1"/>
                <c:pt idx="0">
                  <c:v>0.24715177193429846</c:v>
                </c:pt>
              </c:numCache>
            </c:numRef>
          </c:xVal>
          <c:yVal>
            <c:numRef>
              <c:f>'T19'!$I$3</c:f>
              <c:numCache>
                <c:formatCode>General</c:formatCode>
                <c:ptCount val="1"/>
                <c:pt idx="0">
                  <c:v>25.622303004294665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'T19'!$B$16</c:f>
              <c:numCache>
                <c:formatCode>0.000</c:formatCode>
                <c:ptCount val="1"/>
                <c:pt idx="0">
                  <c:v>1.103150988067654</c:v>
                </c:pt>
              </c:numCache>
            </c:numRef>
          </c:xVal>
          <c:yVal>
            <c:numRef>
              <c:f>'T19'!$I$3</c:f>
              <c:numCache>
                <c:formatCode>General</c:formatCode>
                <c:ptCount val="1"/>
                <c:pt idx="0">
                  <c:v>25.622303004294665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'T19'!$B$18</c:f>
              <c:numCache>
                <c:formatCode>0.000</c:formatCode>
                <c:ptCount val="1"/>
                <c:pt idx="0">
                  <c:v>0.46999466713582949</c:v>
                </c:pt>
              </c:numCache>
            </c:numRef>
          </c:xVal>
          <c:yVal>
            <c:numRef>
              <c:f>'T19'!$I$3</c:f>
              <c:numCache>
                <c:formatCode>General</c:formatCode>
                <c:ptCount val="1"/>
                <c:pt idx="0">
                  <c:v>25.622303004294665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72384"/>
        <c:axId val="215491328"/>
      </c:scatterChart>
      <c:valAx>
        <c:axId val="215472384"/>
        <c:scaling>
          <c:logBase val="10"/>
          <c:orientation val="minMax"/>
          <c:max val="1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39039153526046144"/>
              <c:y val="0.8994278113433104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1328"/>
        <c:crossesAt val="-1000000"/>
        <c:crossBetween val="midCat"/>
        <c:minorUnit val="10"/>
      </c:valAx>
      <c:valAx>
        <c:axId val="215491328"/>
        <c:scaling>
          <c:orientation val="minMax"/>
          <c:max val="40"/>
          <c:min val="-20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3.9039153526046144E-2"/>
              <c:y val="0.29023069950694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72384"/>
        <c:crossesAt val="1E-3"/>
        <c:crossBetween val="midCat"/>
        <c:majorUnit val="5"/>
        <c:minorUnit val="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20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18808806219396276"/>
          <c:y val="7.98723290739957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987485286486833"/>
          <c:y val="4.792339744439747E-2"/>
          <c:w val="0.76802625395868129"/>
          <c:h val="0.7539947864585202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'T20'!$A$21:$A$86</c:f>
              <c:numCache>
                <c:formatCode>0.000</c:formatCode>
                <c:ptCount val="66"/>
                <c:pt idx="0">
                  <c:v>0.15</c:v>
                </c:pt>
                <c:pt idx="1">
                  <c:v>0.156</c:v>
                </c:pt>
                <c:pt idx="2">
                  <c:v>0.16224</c:v>
                </c:pt>
                <c:pt idx="3">
                  <c:v>0.16872960000000001</c:v>
                </c:pt>
                <c:pt idx="4">
                  <c:v>0.17547878400000003</c:v>
                </c:pt>
                <c:pt idx="5">
                  <c:v>0.18249793536000003</c:v>
                </c:pt>
                <c:pt idx="6">
                  <c:v>0.18979785277440003</c:v>
                </c:pt>
                <c:pt idx="7">
                  <c:v>0.19738976688537604</c:v>
                </c:pt>
                <c:pt idx="8">
                  <c:v>0.20528535756079108</c:v>
                </c:pt>
                <c:pt idx="9">
                  <c:v>0.21349677186322275</c:v>
                </c:pt>
                <c:pt idx="10">
                  <c:v>0.22203664273775167</c:v>
                </c:pt>
                <c:pt idx="11">
                  <c:v>0.23091810844726174</c:v>
                </c:pt>
                <c:pt idx="12">
                  <c:v>0.24015483278515221</c:v>
                </c:pt>
                <c:pt idx="13">
                  <c:v>0.24976102609655831</c:v>
                </c:pt>
                <c:pt idx="14">
                  <c:v>0.25975146714042063</c:v>
                </c:pt>
                <c:pt idx="15">
                  <c:v>0.27014152582603745</c:v>
                </c:pt>
                <c:pt idx="16">
                  <c:v>0.28094718685907893</c:v>
                </c:pt>
                <c:pt idx="17">
                  <c:v>0.2921850743334421</c:v>
                </c:pt>
                <c:pt idx="18">
                  <c:v>0.3038724773067798</c:v>
                </c:pt>
                <c:pt idx="19">
                  <c:v>0.31602737639905099</c:v>
                </c:pt>
                <c:pt idx="20">
                  <c:v>0.32866847145501304</c:v>
                </c:pt>
                <c:pt idx="21">
                  <c:v>0.3418152103132136</c:v>
                </c:pt>
                <c:pt idx="22">
                  <c:v>0.35548781872574214</c:v>
                </c:pt>
                <c:pt idx="23">
                  <c:v>0.36970733147477186</c:v>
                </c:pt>
                <c:pt idx="24">
                  <c:v>0.38449562473376275</c:v>
                </c:pt>
                <c:pt idx="25">
                  <c:v>0.39987544972311329</c:v>
                </c:pt>
                <c:pt idx="26">
                  <c:v>0.41587046771203784</c:v>
                </c:pt>
                <c:pt idx="27">
                  <c:v>0.43250528642051939</c:v>
                </c:pt>
                <c:pt idx="28">
                  <c:v>0.4498054978773402</c:v>
                </c:pt>
                <c:pt idx="29">
                  <c:v>0.46779771779243384</c:v>
                </c:pt>
                <c:pt idx="30">
                  <c:v>0.48650962650413121</c:v>
                </c:pt>
                <c:pt idx="31">
                  <c:v>0.50597001156429644</c:v>
                </c:pt>
                <c:pt idx="32">
                  <c:v>0.52620881202686831</c:v>
                </c:pt>
                <c:pt idx="33">
                  <c:v>0.54725716450794304</c:v>
                </c:pt>
                <c:pt idx="34">
                  <c:v>0.56914745108826081</c:v>
                </c:pt>
                <c:pt idx="35">
                  <c:v>0.59191334913179128</c:v>
                </c:pt>
                <c:pt idx="36">
                  <c:v>0.61558988309706297</c:v>
                </c:pt>
                <c:pt idx="37">
                  <c:v>0.64021347842094556</c:v>
                </c:pt>
                <c:pt idx="38">
                  <c:v>0.66582201755778336</c:v>
                </c:pt>
                <c:pt idx="39">
                  <c:v>0.69245489826009476</c:v>
                </c:pt>
                <c:pt idx="40">
                  <c:v>0.72015309419049855</c:v>
                </c:pt>
                <c:pt idx="41">
                  <c:v>0.74895921795811848</c:v>
                </c:pt>
                <c:pt idx="42">
                  <c:v>0.77891758667644329</c:v>
                </c:pt>
                <c:pt idx="43">
                  <c:v>0.81007429014350107</c:v>
                </c:pt>
                <c:pt idx="44">
                  <c:v>0.84247726174924109</c:v>
                </c:pt>
                <c:pt idx="45">
                  <c:v>0.87617635221921075</c:v>
                </c:pt>
                <c:pt idx="46">
                  <c:v>0.91122340630797927</c:v>
                </c:pt>
                <c:pt idx="47">
                  <c:v>0.94767234256029842</c:v>
                </c:pt>
                <c:pt idx="48">
                  <c:v>0.98557923626271038</c:v>
                </c:pt>
                <c:pt idx="49">
                  <c:v>1.0250024057132188</c:v>
                </c:pt>
                <c:pt idx="50">
                  <c:v>1.0660025019417476</c:v>
                </c:pt>
                <c:pt idx="51">
                  <c:v>1.1086426020194176</c:v>
                </c:pt>
                <c:pt idx="52">
                  <c:v>1.1529883061001942</c:v>
                </c:pt>
                <c:pt idx="53">
                  <c:v>1.199107838344202</c:v>
                </c:pt>
                <c:pt idx="54">
                  <c:v>1.2470721518779702</c:v>
                </c:pt>
                <c:pt idx="55">
                  <c:v>1.296955037953089</c:v>
                </c:pt>
                <c:pt idx="56">
                  <c:v>1.3488332394712126</c:v>
                </c:pt>
                <c:pt idx="57">
                  <c:v>1.4027865690500612</c:v>
                </c:pt>
                <c:pt idx="58">
                  <c:v>1.4588980318120637</c:v>
                </c:pt>
                <c:pt idx="59">
                  <c:v>1.5172539530845464</c:v>
                </c:pt>
                <c:pt idx="60">
                  <c:v>1.5779441112079282</c:v>
                </c:pt>
                <c:pt idx="61">
                  <c:v>1.6410618756562454</c:v>
                </c:pt>
                <c:pt idx="62">
                  <c:v>1.7067043506824953</c:v>
                </c:pt>
                <c:pt idx="63">
                  <c:v>1.7749725247097952</c:v>
                </c:pt>
                <c:pt idx="64">
                  <c:v>1.845971425698187</c:v>
                </c:pt>
                <c:pt idx="65">
                  <c:v>1.9198102827261145</c:v>
                </c:pt>
              </c:numCache>
            </c:numRef>
          </c:xVal>
          <c:yVal>
            <c:numRef>
              <c:f>'T20'!$B$21:$B$86</c:f>
              <c:numCache>
                <c:formatCode>General</c:formatCode>
                <c:ptCount val="66"/>
                <c:pt idx="0">
                  <c:v>4073.2507171312441</c:v>
                </c:pt>
                <c:pt idx="1">
                  <c:v>2085.1945557805607</c:v>
                </c:pt>
                <c:pt idx="2">
                  <c:v>1259.7641318837127</c:v>
                </c:pt>
                <c:pt idx="3">
                  <c:v>824.45750210763811</c:v>
                </c:pt>
                <c:pt idx="4">
                  <c:v>565.34729989753237</c:v>
                </c:pt>
                <c:pt idx="5">
                  <c:v>399.66831840995405</c:v>
                </c:pt>
                <c:pt idx="6">
                  <c:v>288.76127803773414</c:v>
                </c:pt>
                <c:pt idx="7">
                  <c:v>212.2195019904359</c:v>
                </c:pt>
                <c:pt idx="8">
                  <c:v>158.30571470434094</c:v>
                </c:pt>
                <c:pt idx="9">
                  <c:v>119.8278674814789</c:v>
                </c:pt>
                <c:pt idx="10">
                  <c:v>92.161028840132644</c:v>
                </c:pt>
                <c:pt idx="11">
                  <c:v>72.216806617659756</c:v>
                </c:pt>
                <c:pt idx="12">
                  <c:v>57.870194044339513</c:v>
                </c:pt>
                <c:pt idx="13">
                  <c:v>47.623494891653678</c:v>
                </c:pt>
                <c:pt idx="14">
                  <c:v>40.400458871069787</c:v>
                </c:pt>
                <c:pt idx="15">
                  <c:v>35.415468146608688</c:v>
                </c:pt>
                <c:pt idx="16">
                  <c:v>32.087784345660111</c:v>
                </c:pt>
                <c:pt idx="17">
                  <c:v>29.983812532205992</c:v>
                </c:pt>
                <c:pt idx="18">
                  <c:v>28.777320530581601</c:v>
                </c:pt>
                <c:pt idx="19">
                  <c:v>28.22147368471531</c:v>
                </c:pt>
                <c:pt idx="20">
                  <c:v>28.128827688324307</c:v>
                </c:pt>
                <c:pt idx="21">
                  <c:v>28.35679292524528</c:v>
                </c:pt>
                <c:pt idx="22">
                  <c:v>28.79693023183383</c:v>
                </c:pt>
                <c:pt idx="23">
                  <c:v>29.366973854499555</c:v>
                </c:pt>
                <c:pt idx="24">
                  <c:v>30.004824276201706</c:v>
                </c:pt>
                <c:pt idx="25">
                  <c:v>30.663982746017808</c:v>
                </c:pt>
                <c:pt idx="26">
                  <c:v>31.310053532968013</c:v>
                </c:pt>
                <c:pt idx="27">
                  <c:v>31.918045419283246</c:v>
                </c:pt>
                <c:pt idx="28">
                  <c:v>32.470277241068345</c:v>
                </c:pt>
                <c:pt idx="29">
                  <c:v>32.954743926127996</c:v>
                </c:pt>
                <c:pt idx="30">
                  <c:v>33.363836339347763</c:v>
                </c:pt>
                <c:pt idx="31">
                  <c:v>33.693334872214237</c:v>
                </c:pt>
                <c:pt idx="32">
                  <c:v>33.94161615986215</c:v>
                </c:pt>
                <c:pt idx="33">
                  <c:v>34.10902665814892</c:v>
                </c:pt>
                <c:pt idx="34">
                  <c:v>34.197387501735705</c:v>
                </c:pt>
                <c:pt idx="35">
                  <c:v>34.209603096180359</c:v>
                </c:pt>
                <c:pt idx="36">
                  <c:v>34.149351982329584</c:v>
                </c:pt>
                <c:pt idx="37">
                  <c:v>34.02084315678853</c:v>
                </c:pt>
                <c:pt idx="38">
                  <c:v>33.828624603699893</c:v>
                </c:pt>
                <c:pt idx="39">
                  <c:v>33.577433556849947</c:v>
                </c:pt>
                <c:pt idx="40">
                  <c:v>33.27208016294189</c:v>
                </c:pt>
                <c:pt idx="41">
                  <c:v>32.917357901726149</c:v>
                </c:pt>
                <c:pt idx="42">
                  <c:v>32.517975444817452</c:v>
                </c:pt>
                <c:pt idx="43">
                  <c:v>32.078505683892487</c:v>
                </c:pt>
                <c:pt idx="44">
                  <c:v>31.603348492244013</c:v>
                </c:pt>
                <c:pt idx="45">
                  <c:v>31.096704448402605</c:v>
                </c:pt>
                <c:pt idx="46">
                  <c:v>30.56255728282537</c:v>
                </c:pt>
                <c:pt idx="47">
                  <c:v>30.004663236345912</c:v>
                </c:pt>
                <c:pt idx="48">
                  <c:v>29.426545863812276</c:v>
                </c:pt>
                <c:pt idx="49">
                  <c:v>28.831495094980177</c:v>
                </c:pt>
                <c:pt idx="50">
                  <c:v>28.222569590512144</c:v>
                </c:pt>
                <c:pt idx="51">
                  <c:v>27.602601614288933</c:v>
                </c:pt>
                <c:pt idx="52">
                  <c:v>26.97420379241834</c:v>
                </c:pt>
                <c:pt idx="53">
                  <c:v>26.339777250893203</c:v>
                </c:pt>
                <c:pt idx="54">
                  <c:v>25.701520723037685</c:v>
                </c:pt>
                <c:pt idx="55">
                  <c:v>25.061440298885806</c:v>
                </c:pt>
                <c:pt idx="56">
                  <c:v>24.421359554830314</c:v>
                </c:pt>
                <c:pt idx="57">
                  <c:v>23.782929855983099</c:v>
                </c:pt>
                <c:pt idx="58">
                  <c:v>23.147640667903012</c:v>
                </c:pt>
                <c:pt idx="59">
                  <c:v>22.516829750458392</c:v>
                </c:pt>
                <c:pt idx="60">
                  <c:v>21.891693136054556</c:v>
                </c:pt>
                <c:pt idx="61">
                  <c:v>21.273294818456598</c:v>
                </c:pt>
                <c:pt idx="62">
                  <c:v>20.662576097945756</c:v>
                </c:pt>
                <c:pt idx="63">
                  <c:v>20.060364544357668</c:v>
                </c:pt>
                <c:pt idx="64">
                  <c:v>19.467382552316863</c:v>
                </c:pt>
                <c:pt idx="65">
                  <c:v>18.884255473240213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'T20'!$B$15</c:f>
              <c:numCache>
                <c:formatCode>0.000</c:formatCode>
                <c:ptCount val="1"/>
                <c:pt idx="0">
                  <c:v>0.27982847066724797</c:v>
                </c:pt>
              </c:numCache>
            </c:numRef>
          </c:xVal>
          <c:yVal>
            <c:numRef>
              <c:f>'T20'!$I$3</c:f>
              <c:numCache>
                <c:formatCode>General</c:formatCode>
                <c:ptCount val="1"/>
                <c:pt idx="0">
                  <c:v>32.364085574389165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'T20'!$B$16</c:f>
              <c:numCache>
                <c:formatCode>0.000</c:formatCode>
                <c:ptCount val="1"/>
                <c:pt idx="0">
                  <c:v>0.78999812734424524</c:v>
                </c:pt>
              </c:numCache>
            </c:numRef>
          </c:xVal>
          <c:yVal>
            <c:numRef>
              <c:f>'T20'!$I$3</c:f>
              <c:numCache>
                <c:formatCode>General</c:formatCode>
                <c:ptCount val="1"/>
                <c:pt idx="0">
                  <c:v>32.364085574389165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'T20'!$B$18</c:f>
              <c:numCache>
                <c:formatCode>0.000</c:formatCode>
                <c:ptCount val="1"/>
                <c:pt idx="0">
                  <c:v>0.44626297690951799</c:v>
                </c:pt>
              </c:numCache>
            </c:numRef>
          </c:xVal>
          <c:yVal>
            <c:numRef>
              <c:f>'T20'!$I$3</c:f>
              <c:numCache>
                <c:formatCode>General</c:formatCode>
                <c:ptCount val="1"/>
                <c:pt idx="0">
                  <c:v>32.364085574389165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68384"/>
        <c:axId val="215570688"/>
      </c:scatterChart>
      <c:valAx>
        <c:axId val="215568384"/>
        <c:scaling>
          <c:logBase val="10"/>
          <c:orientation val="minMax"/>
          <c:max val="1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36050211920509528"/>
              <c:y val="0.88818029930283315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570688"/>
        <c:crossesAt val="-1000000"/>
        <c:crossBetween val="midCat"/>
        <c:minorUnit val="10"/>
      </c:valAx>
      <c:valAx>
        <c:axId val="215570688"/>
        <c:scaling>
          <c:orientation val="minMax"/>
          <c:max val="40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2.5078408292528366E-2"/>
              <c:y val="0.268371025688625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568384"/>
        <c:crossesAt val="1E-3"/>
        <c:crossBetween val="midCat"/>
        <c:majorUnit val="5"/>
        <c:minorUnit val="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21</a:t>
            </a:r>
            <a:r>
              <a:rPr lang="en-GB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61392499926603183"/>
          <c:y val="0.1552797385720026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354458740943219"/>
          <c:y val="4.6583921571600795E-2"/>
          <c:w val="0.77531765371225669"/>
          <c:h val="0.7608707190028128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'T21'!$A$21:$A$86</c:f>
              <c:numCache>
                <c:formatCode>0.000</c:formatCode>
                <c:ptCount val="66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  <c:pt idx="65">
                  <c:v>3819.7415298236938</c:v>
                </c:pt>
              </c:numCache>
            </c:numRef>
          </c:xVal>
          <c:yVal>
            <c:numRef>
              <c:f>'T21'!$B$21:$B$86</c:f>
              <c:numCache>
                <c:formatCode>General</c:formatCode>
                <c:ptCount val="66"/>
                <c:pt idx="0">
                  <c:v>45867211.082125388</c:v>
                </c:pt>
                <c:pt idx="1">
                  <c:v>1104.0346567293245</c:v>
                </c:pt>
                <c:pt idx="2">
                  <c:v>291.36498468370087</c:v>
                </c:pt>
                <c:pt idx="3">
                  <c:v>109.56277055407176</c:v>
                </c:pt>
                <c:pt idx="4">
                  <c:v>57.323255728240511</c:v>
                </c:pt>
                <c:pt idx="5">
                  <c:v>42.744798936002447</c:v>
                </c:pt>
                <c:pt idx="6">
                  <c:v>39.765059367722209</c:v>
                </c:pt>
                <c:pt idx="7">
                  <c:v>39.752013754007457</c:v>
                </c:pt>
                <c:pt idx="8">
                  <c:v>39.803790127592002</c:v>
                </c:pt>
                <c:pt idx="9">
                  <c:v>39.091486763437736</c:v>
                </c:pt>
                <c:pt idx="10">
                  <c:v>37.543956624716365</c:v>
                </c:pt>
                <c:pt idx="11">
                  <c:v>35.340046486593735</c:v>
                </c:pt>
                <c:pt idx="12">
                  <c:v>32.709668652065446</c:v>
                </c:pt>
                <c:pt idx="13">
                  <c:v>29.860124450373959</c:v>
                </c:pt>
                <c:pt idx="14">
                  <c:v>26.954229790531326</c:v>
                </c:pt>
                <c:pt idx="15">
                  <c:v>24.109303834594989</c:v>
                </c:pt>
                <c:pt idx="16">
                  <c:v>21.403681839671091</c:v>
                </c:pt>
                <c:pt idx="17">
                  <c:v>18.885048476810539</c:v>
                </c:pt>
                <c:pt idx="18">
                  <c:v>16.578286306991259</c:v>
                </c:pt>
                <c:pt idx="19">
                  <c:v>14.492051361757987</c:v>
                </c:pt>
                <c:pt idx="20">
                  <c:v>12.623947000109947</c:v>
                </c:pt>
                <c:pt idx="21">
                  <c:v>10.964431035095224</c:v>
                </c:pt>
                <c:pt idx="22">
                  <c:v>9.4996746229641715</c:v>
                </c:pt>
                <c:pt idx="23">
                  <c:v>8.2135960559080008</c:v>
                </c:pt>
                <c:pt idx="24">
                  <c:v>7.0892662609981922</c:v>
                </c:pt>
                <c:pt idx="25">
                  <c:v>6.1098476049960029</c:v>
                </c:pt>
                <c:pt idx="26">
                  <c:v>5.2591932190256037</c:v>
                </c:pt>
                <c:pt idx="27">
                  <c:v>4.5222042048171778</c:v>
                </c:pt>
                <c:pt idx="28">
                  <c:v>3.8850177004149988</c:v>
                </c:pt>
                <c:pt idx="29">
                  <c:v>3.3350795887648625</c:v>
                </c:pt>
                <c:pt idx="30">
                  <c:v>2.8611408945931687</c:v>
                </c:pt>
                <c:pt idx="31">
                  <c:v>2.4532058034608357</c:v>
                </c:pt>
                <c:pt idx="32">
                  <c:v>2.1024509796926751</c:v>
                </c:pt>
                <c:pt idx="33">
                  <c:v>1.8011297991006916</c:v>
                </c:pt>
                <c:pt idx="34">
                  <c:v>1.5424707141049947</c:v>
                </c:pt>
                <c:pt idx="35">
                  <c:v>1.3205758128142111</c:v>
                </c:pt>
                <c:pt idx="36">
                  <c:v>1.1303233960331251</c:v>
                </c:pt>
                <c:pt idx="37">
                  <c:v>0.96727683123957375</c:v>
                </c:pt>
                <c:pt idx="38">
                  <c:v>0.82760086595034676</c:v>
                </c:pt>
                <c:pt idx="39">
                  <c:v>0.7079858575931578</c:v>
                </c:pt>
                <c:pt idx="40">
                  <c:v>0.60557990206807499</c:v>
                </c:pt>
                <c:pt idx="41">
                  <c:v>0.51792854477045058</c:v>
                </c:pt>
                <c:pt idx="42">
                  <c:v>0.44292158232081419</c:v>
                </c:pt>
                <c:pt idx="43">
                  <c:v>0.37874637192570859</c:v>
                </c:pt>
                <c:pt idx="44">
                  <c:v>0.32384703049718366</c:v>
                </c:pt>
                <c:pt idx="45">
                  <c:v>0.27688890774891289</c:v>
                </c:pt>
                <c:pt idx="46">
                  <c:v>0.23672774266934737</c:v>
                </c:pt>
                <c:pt idx="47">
                  <c:v>0.20238295147556556</c:v>
                </c:pt>
                <c:pt idx="48">
                  <c:v>0.1730145408363063</c:v>
                </c:pt>
                <c:pt idx="49">
                  <c:v>0.14790318844194469</c:v>
                </c:pt>
                <c:pt idx="50">
                  <c:v>0.12643308104501816</c:v>
                </c:pt>
                <c:pt idx="51">
                  <c:v>0.10807714612069091</c:v>
                </c:pt>
                <c:pt idx="52">
                  <c:v>9.2384356267092557E-2</c:v>
                </c:pt>
                <c:pt idx="53">
                  <c:v>7.8968824850971633E-2</c:v>
                </c:pt>
                <c:pt idx="54">
                  <c:v>6.750044701222277E-2</c:v>
                </c:pt>
                <c:pt idx="55">
                  <c:v>5.7696871998181701E-2</c:v>
                </c:pt>
                <c:pt idx="56">
                  <c:v>4.9316621067869909E-2</c:v>
                </c:pt>
                <c:pt idx="57">
                  <c:v>4.2153190129241028E-2</c:v>
                </c:pt>
                <c:pt idx="58">
                  <c:v>3.6029998130544943E-2</c:v>
                </c:pt>
                <c:pt idx="59">
                  <c:v>3.0796061315837599E-2</c:v>
                </c:pt>
                <c:pt idx="60">
                  <c:v>2.6322290067337547E-2</c:v>
                </c:pt>
                <c:pt idx="61">
                  <c:v>2.2498319473542618E-2</c:v>
                </c:pt>
                <c:pt idx="62">
                  <c:v>1.9229797242415022E-2</c:v>
                </c:pt>
                <c:pt idx="63">
                  <c:v>1.6436063362032936E-2</c:v>
                </c:pt>
                <c:pt idx="64">
                  <c:v>1.4048165212252828E-2</c:v>
                </c:pt>
                <c:pt idx="65">
                  <c:v>1.2007159842611796E-2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'T21'!$B$15</c:f>
              <c:numCache>
                <c:formatCode>0.000</c:formatCode>
                <c:ptCount val="1"/>
                <c:pt idx="0">
                  <c:v>0.36265577097285967</c:v>
                </c:pt>
              </c:numCache>
            </c:numRef>
          </c:xVal>
          <c:yVal>
            <c:numRef>
              <c:f>'T21'!$I$3</c:f>
              <c:numCache>
                <c:formatCode>General</c:formatCode>
                <c:ptCount val="1"/>
                <c:pt idx="0">
                  <c:v>39.760579372391426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'T21'!$B$16</c:f>
              <c:numCache>
                <c:formatCode>0.000</c:formatCode>
                <c:ptCount val="1"/>
                <c:pt idx="0">
                  <c:v>0.50612978356822524</c:v>
                </c:pt>
              </c:numCache>
            </c:numRef>
          </c:xVal>
          <c:yVal>
            <c:numRef>
              <c:f>'T21'!$I$3</c:f>
              <c:numCache>
                <c:formatCode>General</c:formatCode>
                <c:ptCount val="1"/>
                <c:pt idx="0">
                  <c:v>39.760579372391426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'T21'!$B$18</c:f>
              <c:numCache>
                <c:formatCode>0.000</c:formatCode>
                <c:ptCount val="1"/>
                <c:pt idx="0">
                  <c:v>0.42606473791308841</c:v>
                </c:pt>
              </c:numCache>
            </c:numRef>
          </c:xVal>
          <c:yVal>
            <c:numRef>
              <c:f>'T21'!$I$3</c:f>
              <c:numCache>
                <c:formatCode>General</c:formatCode>
                <c:ptCount val="1"/>
                <c:pt idx="0">
                  <c:v>39.760579372391426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14208"/>
        <c:axId val="215616512"/>
      </c:scatterChart>
      <c:valAx>
        <c:axId val="215614208"/>
        <c:scaling>
          <c:logBase val="10"/>
          <c:orientation val="minMax"/>
          <c:max val="1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V-2b [l/mol]</a:t>
                </a:r>
              </a:p>
            </c:rich>
          </c:tx>
          <c:layout>
            <c:manualLayout>
              <c:xMode val="edge"/>
              <c:yMode val="edge"/>
              <c:x val="0.38607654593018492"/>
              <c:y val="0.89130569940329518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616512"/>
        <c:crossesAt val="-1000000"/>
        <c:crossBetween val="midCat"/>
        <c:minorUnit val="10"/>
      </c:valAx>
      <c:valAx>
        <c:axId val="215616512"/>
        <c:scaling>
          <c:orientation val="minMax"/>
          <c:max val="45"/>
          <c:min val="35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7468427778301431E-2"/>
              <c:y val="0.273292339886724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614208"/>
        <c:crossesAt val="1E-3"/>
        <c:crossBetween val="midCat"/>
        <c:majorUnit val="5"/>
        <c:minorUnit val="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GB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C</a:t>
            </a:r>
            <a:r>
              <a:rPr lang="en-GB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59821493771682488"/>
          <c:y val="0.1212765957446808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750020435900483"/>
          <c:y val="3.8297872340425532E-2"/>
          <c:w val="0.75223296272600748"/>
          <c:h val="0.8085106382978722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Tc!$A$21:$A$116</c:f>
              <c:numCache>
                <c:formatCode>0.000</c:formatCode>
                <c:ptCount val="96"/>
                <c:pt idx="0">
                  <c:v>0.2</c:v>
                </c:pt>
                <c:pt idx="1">
                  <c:v>0.20600000000000002</c:v>
                </c:pt>
                <c:pt idx="2">
                  <c:v>0.21218000000000004</c:v>
                </c:pt>
                <c:pt idx="3">
                  <c:v>0.21854540000000003</c:v>
                </c:pt>
                <c:pt idx="4">
                  <c:v>0.22510176200000004</c:v>
                </c:pt>
                <c:pt idx="5">
                  <c:v>0.23185481486000004</c:v>
                </c:pt>
                <c:pt idx="6">
                  <c:v>0.23881045930580005</c:v>
                </c:pt>
                <c:pt idx="7">
                  <c:v>0.24597477308497406</c:v>
                </c:pt>
                <c:pt idx="8">
                  <c:v>0.2533540162775233</c:v>
                </c:pt>
                <c:pt idx="9">
                  <c:v>0.26095463676584901</c:v>
                </c:pt>
                <c:pt idx="10">
                  <c:v>0.2687832758688245</c:v>
                </c:pt>
                <c:pt idx="11">
                  <c:v>0.27684677414488923</c:v>
                </c:pt>
                <c:pt idx="12">
                  <c:v>0.28515217736923593</c:v>
                </c:pt>
                <c:pt idx="13">
                  <c:v>0.29370674269031299</c:v>
                </c:pt>
                <c:pt idx="14">
                  <c:v>0.30251794497102241</c:v>
                </c:pt>
                <c:pt idx="15">
                  <c:v>0.31159348332015308</c:v>
                </c:pt>
                <c:pt idx="16">
                  <c:v>0.32094128781975767</c:v>
                </c:pt>
                <c:pt idx="17">
                  <c:v>0.33056952645435039</c:v>
                </c:pt>
                <c:pt idx="18">
                  <c:v>0.34048661224798094</c:v>
                </c:pt>
                <c:pt idx="19">
                  <c:v>0.35070121061542037</c:v>
                </c:pt>
                <c:pt idx="20">
                  <c:v>0.361222246933883</c:v>
                </c:pt>
                <c:pt idx="21">
                  <c:v>0.37205891434189947</c:v>
                </c:pt>
                <c:pt idx="22">
                  <c:v>0.38322068177215646</c:v>
                </c:pt>
                <c:pt idx="23">
                  <c:v>0.39471730222532114</c:v>
                </c:pt>
                <c:pt idx="24">
                  <c:v>0.40655882129208076</c:v>
                </c:pt>
                <c:pt idx="25">
                  <c:v>0.41875558593084322</c:v>
                </c:pt>
                <c:pt idx="26">
                  <c:v>0.43131825350876851</c:v>
                </c:pt>
                <c:pt idx="27">
                  <c:v>0.44425780111403157</c:v>
                </c:pt>
                <c:pt idx="28">
                  <c:v>0.45758553514745254</c:v>
                </c:pt>
                <c:pt idx="29">
                  <c:v>0.47131310120187614</c:v>
                </c:pt>
                <c:pt idx="30">
                  <c:v>0.48545249423793241</c:v>
                </c:pt>
                <c:pt idx="31">
                  <c:v>0.50001606906507035</c:v>
                </c:pt>
                <c:pt idx="32">
                  <c:v>0.51501655113702249</c:v>
                </c:pt>
                <c:pt idx="33">
                  <c:v>0.53046704767113317</c:v>
                </c:pt>
                <c:pt idx="34">
                  <c:v>0.54638105910126722</c:v>
                </c:pt>
                <c:pt idx="35">
                  <c:v>0.56277249087430525</c:v>
                </c:pt>
                <c:pt idx="36">
                  <c:v>0.57965566560053439</c:v>
                </c:pt>
                <c:pt idx="37">
                  <c:v>0.59704533556855044</c:v>
                </c:pt>
                <c:pt idx="38">
                  <c:v>0.61495669563560695</c:v>
                </c:pt>
                <c:pt idx="39">
                  <c:v>0.6334053965046752</c:v>
                </c:pt>
                <c:pt idx="40">
                  <c:v>0.65240755839981546</c:v>
                </c:pt>
                <c:pt idx="41">
                  <c:v>0.67197978515180989</c:v>
                </c:pt>
                <c:pt idx="42">
                  <c:v>0.69213917870636421</c:v>
                </c:pt>
                <c:pt idx="43">
                  <c:v>0.71290335406755512</c:v>
                </c:pt>
                <c:pt idx="44">
                  <c:v>0.73429045468958176</c:v>
                </c:pt>
                <c:pt idx="45">
                  <c:v>0.75631916833026924</c:v>
                </c:pt>
                <c:pt idx="46">
                  <c:v>0.77900874338017734</c:v>
                </c:pt>
                <c:pt idx="47">
                  <c:v>0.80237900568158271</c:v>
                </c:pt>
                <c:pt idx="48">
                  <c:v>0.82645037585203018</c:v>
                </c:pt>
                <c:pt idx="49">
                  <c:v>0.85124388712759114</c:v>
                </c:pt>
                <c:pt idx="50">
                  <c:v>0.87678120374141888</c:v>
                </c:pt>
                <c:pt idx="51">
                  <c:v>0.9030846398536615</c:v>
                </c:pt>
                <c:pt idx="52">
                  <c:v>0.93017717904927133</c:v>
                </c:pt>
                <c:pt idx="53">
                  <c:v>0.95808249442074944</c:v>
                </c:pt>
                <c:pt idx="54">
                  <c:v>0.98682496925337193</c:v>
                </c:pt>
                <c:pt idx="55">
                  <c:v>1.0164297183309732</c:v>
                </c:pt>
                <c:pt idx="56">
                  <c:v>1.0469226098809024</c:v>
                </c:pt>
                <c:pt idx="57">
                  <c:v>1.0783302881773293</c:v>
                </c:pt>
                <c:pt idx="58">
                  <c:v>1.1106801968226492</c:v>
                </c:pt>
                <c:pt idx="59">
                  <c:v>1.1440006027273286</c:v>
                </c:pt>
                <c:pt idx="60">
                  <c:v>1.1783206208091486</c:v>
                </c:pt>
                <c:pt idx="61">
                  <c:v>1.2136702394334231</c:v>
                </c:pt>
                <c:pt idx="62">
                  <c:v>1.2500803466164259</c:v>
                </c:pt>
                <c:pt idx="63">
                  <c:v>1.2875827570149188</c:v>
                </c:pt>
                <c:pt idx="64">
                  <c:v>1.3262102397253663</c:v>
                </c:pt>
                <c:pt idx="65">
                  <c:v>1.3659965469171274</c:v>
                </c:pt>
              </c:numCache>
            </c:numRef>
          </c:xVal>
          <c:yVal>
            <c:numRef>
              <c:f>Tc!$B$21:$B$116</c:f>
              <c:numCache>
                <c:formatCode>General</c:formatCode>
                <c:ptCount val="96"/>
                <c:pt idx="0">
                  <c:v>234.7398715769466</c:v>
                </c:pt>
                <c:pt idx="1">
                  <c:v>193.66447189375313</c:v>
                </c:pt>
                <c:pt idx="2">
                  <c:v>161.43611420118796</c:v>
                </c:pt>
                <c:pt idx="3">
                  <c:v>135.99410299620089</c:v>
                </c:pt>
                <c:pt idx="4">
                  <c:v>115.82080973663025</c:v>
                </c:pt>
                <c:pt idx="5">
                  <c:v>99.778312434202746</c:v>
                </c:pt>
                <c:pt idx="6">
                  <c:v>87.00029272481035</c:v>
                </c:pt>
                <c:pt idx="7">
                  <c:v>76.818575547056312</c:v>
                </c:pt>
                <c:pt idx="8">
                  <c:v>68.712039291537295</c:v>
                </c:pt>
                <c:pt idx="9">
                  <c:v>62.270351750562369</c:v>
                </c:pt>
                <c:pt idx="10">
                  <c:v>57.167760149239442</c:v>
                </c:pt>
                <c:pt idx="11">
                  <c:v>53.143840389929245</c:v>
                </c:pt>
                <c:pt idx="12">
                  <c:v>49.989152542909544</c:v>
                </c:pt>
                <c:pt idx="13">
                  <c:v>47.534412917489206</c:v>
                </c:pt>
                <c:pt idx="14">
                  <c:v>45.642224671778784</c:v>
                </c:pt>
                <c:pt idx="15">
                  <c:v>44.200695413930916</c:v>
                </c:pt>
                <c:pt idx="16">
                  <c:v>43.118463876970857</c:v>
                </c:pt>
                <c:pt idx="17">
                  <c:v>42.32079079379222</c:v>
                </c:pt>
                <c:pt idx="18">
                  <c:v>41.746461910869151</c:v>
                </c:pt>
                <c:pt idx="19">
                  <c:v>41.345316735004893</c:v>
                </c:pt>
                <c:pt idx="20">
                  <c:v>41.076263655574728</c:v>
                </c:pt>
                <c:pt idx="21">
                  <c:v>40.905676204151824</c:v>
                </c:pt>
                <c:pt idx="22">
                  <c:v>40.806090233141276</c:v>
                </c:pt>
                <c:pt idx="23">
                  <c:v>40.755140332686388</c:v>
                </c:pt>
                <c:pt idx="24">
                  <c:v>40.73468767322251</c:v>
                </c:pt>
                <c:pt idx="25">
                  <c:v>40.730101929935969</c:v>
                </c:pt>
                <c:pt idx="26">
                  <c:v>40.7296679153432</c:v>
                </c:pt>
                <c:pt idx="27">
                  <c:v>40.724093662078864</c:v>
                </c:pt>
                <c:pt idx="28">
                  <c:v>40.706101426238746</c:v>
                </c:pt>
                <c:pt idx="29">
                  <c:v>40.670086762844875</c:v>
                </c:pt>
                <c:pt idx="30">
                  <c:v>40.611833710074954</c:v>
                </c:pt>
                <c:pt idx="31">
                  <c:v>40.528276394159782</c:v>
                </c:pt>
                <c:pt idx="32">
                  <c:v>40.417299171801915</c:v>
                </c:pt>
                <c:pt idx="33">
                  <c:v>40.27756886681955</c:v>
                </c:pt>
                <c:pt idx="34">
                  <c:v>40.108393812381543</c:v>
                </c:pt>
                <c:pt idx="35">
                  <c:v>39.909605340788964</c:v>
                </c:pt>
                <c:pt idx="36">
                  <c:v>39.681458116299375</c:v>
                </c:pt>
                <c:pt idx="37">
                  <c:v>39.424546319401173</c:v>
                </c:pt>
                <c:pt idx="38">
                  <c:v>39.139733191580859</c:v>
                </c:pt>
                <c:pt idx="39">
                  <c:v>38.828091860199287</c:v>
                </c:pt>
                <c:pt idx="40">
                  <c:v>38.490855701080029</c:v>
                </c:pt>
                <c:pt idx="41">
                  <c:v>38.129376775655643</c:v>
                </c:pt>
                <c:pt idx="42">
                  <c:v>37.745091111004861</c:v>
                </c:pt>
                <c:pt idx="43">
                  <c:v>37.339489783637973</c:v>
                </c:pt>
                <c:pt idx="44">
                  <c:v>36.914094928492084</c:v>
                </c:pt>
                <c:pt idx="45">
                  <c:v>36.470439928962151</c:v>
                </c:pt>
                <c:pt idx="46">
                  <c:v>36.010053156510956</c:v>
                </c:pt>
                <c:pt idx="47">
                  <c:v>35.534444723202604</c:v>
                </c:pt>
                <c:pt idx="48">
                  <c:v>35.04509579042854</c:v>
                </c:pt>
                <c:pt idx="49">
                  <c:v>34.543450044632685</c:v>
                </c:pt>
                <c:pt idx="50">
                  <c:v>34.03090700803245</c:v>
                </c:pt>
                <c:pt idx="51">
                  <c:v>33.508816900859529</c:v>
                </c:pt>
                <c:pt idx="52">
                  <c:v>32.978476812895195</c:v>
                </c:pt>
                <c:pt idx="53">
                  <c:v>32.441127977203408</c:v>
                </c:pt>
                <c:pt idx="54">
                  <c:v>31.897953968927357</c:v>
                </c:pt>
                <c:pt idx="55">
                  <c:v>31.350079677607859</c:v>
                </c:pt>
                <c:pt idx="56">
                  <c:v>30.798570923374555</c:v>
                </c:pt>
                <c:pt idx="57">
                  <c:v>30.244434606108562</c:v>
                </c:pt>
                <c:pt idx="58">
                  <c:v>29.6886192927502</c:v>
                </c:pt>
                <c:pt idx="59">
                  <c:v>29.132016161720529</c:v>
                </c:pt>
                <c:pt idx="60">
                  <c:v>28.575460235275251</c:v>
                </c:pt>
                <c:pt idx="61">
                  <c:v>28.019731840795814</c:v>
                </c:pt>
                <c:pt idx="62">
                  <c:v>27.465558250783499</c:v>
                </c:pt>
                <c:pt idx="63">
                  <c:v>26.91361545886231</c:v>
                </c:pt>
                <c:pt idx="64">
                  <c:v>26.364530055586084</c:v>
                </c:pt>
                <c:pt idx="65">
                  <c:v>25.818881173433947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Tc!$B$15</c:f>
              <c:numCache>
                <c:formatCode>0.000</c:formatCode>
                <c:ptCount val="1"/>
                <c:pt idx="0">
                  <c:v>0.42371236972133569</c:v>
                </c:pt>
              </c:numCache>
            </c:numRef>
          </c:xVal>
          <c:yVal>
            <c:numRef>
              <c:f>Tc!$I$3</c:f>
              <c:numCache>
                <c:formatCode>General</c:formatCode>
                <c:ptCount val="1"/>
                <c:pt idx="0">
                  <c:v>40.650133425732548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Tc!$B$16</c:f>
              <c:numCache>
                <c:formatCode>0.000</c:formatCode>
                <c:ptCount val="1"/>
                <c:pt idx="0">
                  <c:v>0.42371236972133569</c:v>
                </c:pt>
              </c:numCache>
            </c:numRef>
          </c:xVal>
          <c:yVal>
            <c:numRef>
              <c:f>Tc!$I$3</c:f>
              <c:numCache>
                <c:formatCode>General</c:formatCode>
                <c:ptCount val="1"/>
                <c:pt idx="0">
                  <c:v>40.650133425732548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9CC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Tc!$B$18</c:f>
              <c:numCache>
                <c:formatCode>0.000</c:formatCode>
                <c:ptCount val="1"/>
                <c:pt idx="0">
                  <c:v>0.4259323185114971</c:v>
                </c:pt>
              </c:numCache>
            </c:numRef>
          </c:xVal>
          <c:yVal>
            <c:numRef>
              <c:f>Tc!$I$3</c:f>
              <c:numCache>
                <c:formatCode>General</c:formatCode>
                <c:ptCount val="1"/>
                <c:pt idx="0">
                  <c:v>40.650133425732548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47616"/>
        <c:axId val="216049920"/>
      </c:scatterChart>
      <c:valAx>
        <c:axId val="216047616"/>
        <c:scaling>
          <c:logBase val="10"/>
          <c:orientation val="minMax"/>
          <c:max val="1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1517902393779638"/>
              <c:y val="0.9234042553191489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6049920"/>
        <c:crossesAt val="-1000000"/>
        <c:crossBetween val="midCat"/>
        <c:minorUnit val="10"/>
      </c:valAx>
      <c:valAx>
        <c:axId val="216049920"/>
        <c:scaling>
          <c:orientation val="minMax"/>
          <c:max val="45"/>
          <c:min val="43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1.785716231990522E-2"/>
              <c:y val="0.302127659574468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6047616"/>
        <c:crossesAt val="1E-3"/>
        <c:crossBetween val="midCat"/>
        <c:majorUnit val="0.5"/>
        <c:min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GB" sz="1175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T = 1,5 T</a:t>
            </a:r>
            <a:r>
              <a:rPr lang="en-GB" sz="1175" b="0" i="0" u="none" strike="noStrike" baseline="-25000">
                <a:solidFill>
                  <a:srgbClr val="000000"/>
                </a:solidFill>
                <a:latin typeface="Times New Roman"/>
                <a:cs typeface="Times New Roman"/>
              </a:rPr>
              <a:t>C</a:t>
            </a:r>
            <a:r>
              <a:rPr lang="en-GB" sz="1175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 isotherm</a:t>
            </a:r>
            <a:endParaRPr lang="en-GB"/>
          </a:p>
        </c:rich>
      </c:tx>
      <c:layout>
        <c:manualLayout>
          <c:xMode val="edge"/>
          <c:yMode val="edge"/>
          <c:x val="0.49242545677837157"/>
          <c:y val="0.1004904366058627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79854649657339"/>
          <c:y val="4.6568738914911999E-2"/>
          <c:w val="0.71969874452223537"/>
          <c:h val="0.769609685225387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'1.5 Tc'!$A$21:$A$141</c:f>
              <c:numCache>
                <c:formatCode>General</c:formatCode>
                <c:ptCount val="121"/>
                <c:pt idx="0">
                  <c:v>0.02</c:v>
                </c:pt>
                <c:pt idx="1">
                  <c:v>2.2000000000000002E-2</c:v>
                </c:pt>
                <c:pt idx="2">
                  <c:v>2.4200000000000003E-2</c:v>
                </c:pt>
                <c:pt idx="3">
                  <c:v>2.6620000000000005E-2</c:v>
                </c:pt>
                <c:pt idx="4">
                  <c:v>2.9282000000000006E-2</c:v>
                </c:pt>
                <c:pt idx="5">
                  <c:v>3.2210200000000008E-2</c:v>
                </c:pt>
                <c:pt idx="6">
                  <c:v>3.5431220000000013E-2</c:v>
                </c:pt>
                <c:pt idx="7">
                  <c:v>3.8974342000000016E-2</c:v>
                </c:pt>
                <c:pt idx="8">
                  <c:v>4.2871776200000024E-2</c:v>
                </c:pt>
                <c:pt idx="9">
                  <c:v>4.715895382000003E-2</c:v>
                </c:pt>
                <c:pt idx="10">
                  <c:v>5.1874849202000035E-2</c:v>
                </c:pt>
                <c:pt idx="11">
                  <c:v>5.7062334122200041E-2</c:v>
                </c:pt>
                <c:pt idx="12">
                  <c:v>6.2768567534420047E-2</c:v>
                </c:pt>
                <c:pt idx="13">
                  <c:v>6.9045424287862062E-2</c:v>
                </c:pt>
                <c:pt idx="14">
                  <c:v>7.5949966716648276E-2</c:v>
                </c:pt>
                <c:pt idx="15">
                  <c:v>8.3544963388313104E-2</c:v>
                </c:pt>
                <c:pt idx="16">
                  <c:v>9.1899459727144417E-2</c:v>
                </c:pt>
                <c:pt idx="17">
                  <c:v>0.10108940569985887</c:v>
                </c:pt>
                <c:pt idx="18">
                  <c:v>0.11119834626984477</c:v>
                </c:pt>
                <c:pt idx="19">
                  <c:v>0.12231818089682926</c:v>
                </c:pt>
                <c:pt idx="20">
                  <c:v>0.13454999898651221</c:v>
                </c:pt>
                <c:pt idx="21">
                  <c:v>0.14800499888516344</c:v>
                </c:pt>
                <c:pt idx="22">
                  <c:v>0.16280549877367981</c:v>
                </c:pt>
                <c:pt idx="23">
                  <c:v>0.1790860486510478</c:v>
                </c:pt>
                <c:pt idx="24">
                  <c:v>0.19699465351615258</c:v>
                </c:pt>
                <c:pt idx="25">
                  <c:v>0.21669411886776785</c:v>
                </c:pt>
                <c:pt idx="26">
                  <c:v>0.23836353075454464</c:v>
                </c:pt>
                <c:pt idx="27">
                  <c:v>0.26219988382999915</c:v>
                </c:pt>
                <c:pt idx="28">
                  <c:v>0.28841987221299908</c:v>
                </c:pt>
                <c:pt idx="29">
                  <c:v>0.31726185943429902</c:v>
                </c:pt>
                <c:pt idx="30">
                  <c:v>0.34898804537772893</c:v>
                </c:pt>
                <c:pt idx="31">
                  <c:v>0.38388684991550187</c:v>
                </c:pt>
                <c:pt idx="32">
                  <c:v>0.42227553490705211</c:v>
                </c:pt>
                <c:pt idx="33">
                  <c:v>0.46450308839775734</c:v>
                </c:pt>
                <c:pt idx="34">
                  <c:v>0.51095339723753308</c:v>
                </c:pt>
                <c:pt idx="35">
                  <c:v>0.56204873696128643</c:v>
                </c:pt>
                <c:pt idx="36">
                  <c:v>0.61825361065741513</c:v>
                </c:pt>
                <c:pt idx="37">
                  <c:v>0.68007897172315668</c:v>
                </c:pt>
                <c:pt idx="38">
                  <c:v>0.74808686889547238</c:v>
                </c:pt>
                <c:pt idx="39">
                  <c:v>0.82289555578501972</c:v>
                </c:pt>
                <c:pt idx="40">
                  <c:v>0.90518511136352175</c:v>
                </c:pt>
                <c:pt idx="41">
                  <c:v>0.99570362249987399</c:v>
                </c:pt>
                <c:pt idx="42">
                  <c:v>1.0952739847498614</c:v>
                </c:pt>
                <c:pt idx="43">
                  <c:v>1.2048013832248476</c:v>
                </c:pt>
                <c:pt idx="44">
                  <c:v>1.3252815215473326</c:v>
                </c:pt>
                <c:pt idx="45">
                  <c:v>1.457809673702066</c:v>
                </c:pt>
                <c:pt idx="46">
                  <c:v>1.6035906410722727</c:v>
                </c:pt>
                <c:pt idx="47">
                  <c:v>1.7639497051795001</c:v>
                </c:pt>
                <c:pt idx="48">
                  <c:v>1.9403446756974503</c:v>
                </c:pt>
                <c:pt idx="49">
                  <c:v>2.1343791432671955</c:v>
                </c:pt>
                <c:pt idx="50">
                  <c:v>2.347817057593915</c:v>
                </c:pt>
                <c:pt idx="51">
                  <c:v>2.5825987633533067</c:v>
                </c:pt>
                <c:pt idx="52">
                  <c:v>2.8408586396886375</c:v>
                </c:pt>
                <c:pt idx="53">
                  <c:v>3.1249445036575016</c:v>
                </c:pt>
                <c:pt idx="54">
                  <c:v>3.4374389540232522</c:v>
                </c:pt>
                <c:pt idx="55">
                  <c:v>3.7811828494255777</c:v>
                </c:pt>
                <c:pt idx="56">
                  <c:v>4.1593011343681354</c:v>
                </c:pt>
                <c:pt idx="57">
                  <c:v>4.5752312478049495</c:v>
                </c:pt>
                <c:pt idx="58">
                  <c:v>5.0327543725854449</c:v>
                </c:pt>
                <c:pt idx="59">
                  <c:v>5.5360298098439902</c:v>
                </c:pt>
                <c:pt idx="60">
                  <c:v>6.0896327908283894</c:v>
                </c:pt>
                <c:pt idx="61">
                  <c:v>6.698596069911229</c:v>
                </c:pt>
                <c:pt idx="62">
                  <c:v>7.3684556769023528</c:v>
                </c:pt>
                <c:pt idx="63">
                  <c:v>8.1053012445925887</c:v>
                </c:pt>
                <c:pt idx="64">
                  <c:v>8.9158313690518476</c:v>
                </c:pt>
                <c:pt idx="65">
                  <c:v>9.8074145059570323</c:v>
                </c:pt>
                <c:pt idx="66">
                  <c:v>10.788155956552737</c:v>
                </c:pt>
                <c:pt idx="67">
                  <c:v>11.866971552208012</c:v>
                </c:pt>
                <c:pt idx="68">
                  <c:v>13.053668707428814</c:v>
                </c:pt>
                <c:pt idx="69">
                  <c:v>14.359035578171698</c:v>
                </c:pt>
                <c:pt idx="70">
                  <c:v>15.794939135988869</c:v>
                </c:pt>
                <c:pt idx="71">
                  <c:v>17.374433049587758</c:v>
                </c:pt>
                <c:pt idx="72">
                  <c:v>19.111876354546535</c:v>
                </c:pt>
                <c:pt idx="73">
                  <c:v>21.023063990001191</c:v>
                </c:pt>
                <c:pt idx="74">
                  <c:v>23.125370389001311</c:v>
                </c:pt>
                <c:pt idx="75">
                  <c:v>25.437907427901443</c:v>
                </c:pt>
                <c:pt idx="76">
                  <c:v>27.98169817069159</c:v>
                </c:pt>
                <c:pt idx="77">
                  <c:v>30.779867987760753</c:v>
                </c:pt>
                <c:pt idx="78">
                  <c:v>33.857854786536834</c:v>
                </c:pt>
                <c:pt idx="79">
                  <c:v>37.243640265190521</c:v>
                </c:pt>
                <c:pt idx="80">
                  <c:v>40.968004291709576</c:v>
                </c:pt>
                <c:pt idx="81">
                  <c:v>45.064804720880538</c:v>
                </c:pt>
                <c:pt idx="82">
                  <c:v>49.571285192968595</c:v>
                </c:pt>
                <c:pt idx="83">
                  <c:v>54.528413712265461</c:v>
                </c:pt>
                <c:pt idx="84">
                  <c:v>59.981255083492009</c:v>
                </c:pt>
                <c:pt idx="85">
                  <c:v>65.97938059184122</c:v>
                </c:pt>
                <c:pt idx="86">
                  <c:v>72.577318651025351</c:v>
                </c:pt>
                <c:pt idx="87">
                  <c:v>79.835050516127893</c:v>
                </c:pt>
                <c:pt idx="88">
                  <c:v>87.818555567740688</c:v>
                </c:pt>
                <c:pt idx="89">
                  <c:v>96.600411124514764</c:v>
                </c:pt>
                <c:pt idx="90">
                  <c:v>106.26045223696624</c:v>
                </c:pt>
                <c:pt idx="91">
                  <c:v>116.88649746066288</c:v>
                </c:pt>
                <c:pt idx="92">
                  <c:v>128.57514720672918</c:v>
                </c:pt>
                <c:pt idx="93">
                  <c:v>141.43266192740211</c:v>
                </c:pt>
                <c:pt idx="94">
                  <c:v>155.57592812014232</c:v>
                </c:pt>
                <c:pt idx="95">
                  <c:v>171.13352093215656</c:v>
                </c:pt>
                <c:pt idx="96">
                  <c:v>188.24687302537222</c:v>
                </c:pt>
                <c:pt idx="97">
                  <c:v>207.07156032790945</c:v>
                </c:pt>
                <c:pt idx="98">
                  <c:v>227.77871636070043</c:v>
                </c:pt>
                <c:pt idx="99">
                  <c:v>250.5565879967705</c:v>
                </c:pt>
                <c:pt idx="100">
                  <c:v>275.61224679644755</c:v>
                </c:pt>
                <c:pt idx="101">
                  <c:v>303.17347147609235</c:v>
                </c:pt>
                <c:pt idx="102">
                  <c:v>333.49081862370161</c:v>
                </c:pt>
                <c:pt idx="103">
                  <c:v>366.83990048607183</c:v>
                </c:pt>
                <c:pt idx="104">
                  <c:v>403.52389053467903</c:v>
                </c:pt>
                <c:pt idx="105">
                  <c:v>443.87627958814699</c:v>
                </c:pt>
                <c:pt idx="106">
                  <c:v>488.26390754696172</c:v>
                </c:pt>
                <c:pt idx="107">
                  <c:v>537.09029830165798</c:v>
                </c:pt>
                <c:pt idx="108">
                  <c:v>590.79932813182381</c:v>
                </c:pt>
                <c:pt idx="109">
                  <c:v>649.87926094500619</c:v>
                </c:pt>
                <c:pt idx="110">
                  <c:v>714.86718703950692</c:v>
                </c:pt>
                <c:pt idx="111">
                  <c:v>786.35390574345763</c:v>
                </c:pt>
                <c:pt idx="112">
                  <c:v>864.98929631780345</c:v>
                </c:pt>
                <c:pt idx="113">
                  <c:v>951.48822594958392</c:v>
                </c:pt>
                <c:pt idx="114">
                  <c:v>1046.6370485445425</c:v>
                </c:pt>
                <c:pt idx="115">
                  <c:v>1151.3007533989969</c:v>
                </c:pt>
              </c:numCache>
            </c:numRef>
          </c:xVal>
          <c:yVal>
            <c:numRef>
              <c:f>'1.5 Tc'!$B$21:$B$141</c:f>
              <c:numCache>
                <c:formatCode>General</c:formatCode>
                <c:ptCount val="121"/>
                <c:pt idx="0">
                  <c:v>-36327.614813459382</c:v>
                </c:pt>
                <c:pt idx="1">
                  <c:v>-30131.19215785955</c:v>
                </c:pt>
                <c:pt idx="2">
                  <c:v>-25013.171274477838</c:v>
                </c:pt>
                <c:pt idx="3">
                  <c:v>-20786.861430356614</c:v>
                </c:pt>
                <c:pt idx="4">
                  <c:v>-17298.07185411773</c:v>
                </c:pt>
                <c:pt idx="5">
                  <c:v>-14419.499790040978</c:v>
                </c:pt>
                <c:pt idx="6">
                  <c:v>-12046.103407613835</c:v>
                </c:pt>
                <c:pt idx="7">
                  <c:v>-10091.293943369883</c:v>
                </c:pt>
                <c:pt idx="8">
                  <c:v>-8483.8134259905382</c:v>
                </c:pt>
                <c:pt idx="9">
                  <c:v>-7165.1931879448666</c:v>
                </c:pt>
                <c:pt idx="10">
                  <c:v>-6087.7168742549184</c:v>
                </c:pt>
                <c:pt idx="11">
                  <c:v>-5212.8446310074705</c:v>
                </c:pt>
                <c:pt idx="12">
                  <c:v>-4510.1025461105182</c:v>
                </c:pt>
                <c:pt idx="13">
                  <c:v>-3956.5267640170937</c:v>
                </c:pt>
                <c:pt idx="14">
                  <c:v>-3536.9373983843807</c:v>
                </c:pt>
                <c:pt idx="15">
                  <c:v>-3245.7895029059973</c:v>
                </c:pt>
                <c:pt idx="16">
                  <c:v>-3092.7460819410194</c:v>
                </c:pt>
                <c:pt idx="17">
                  <c:v>-3119.0832910753402</c:v>
                </c:pt>
                <c:pt idx="18">
                  <c:v>-3454.7941868964176</c:v>
                </c:pt>
                <c:pt idx="19">
                  <c:v>-4604.7154967046854</c:v>
                </c:pt>
                <c:pt idx="20">
                  <c:v>-11112.566218526053</c:v>
                </c:pt>
                <c:pt idx="21">
                  <c:v>9547.3831305765852</c:v>
                </c:pt>
                <c:pt idx="22">
                  <c:v>2660.9930387366667</c:v>
                </c:pt>
                <c:pt idx="23">
                  <c:v>1377.9011394866516</c:v>
                </c:pt>
                <c:pt idx="24">
                  <c:v>869.49229853125075</c:v>
                </c:pt>
                <c:pt idx="25">
                  <c:v>610.23763109711876</c:v>
                </c:pt>
                <c:pt idx="26">
                  <c:v>458.99590023120504</c:v>
                </c:pt>
                <c:pt idx="27">
                  <c:v>362.63159545832639</c:v>
                </c:pt>
                <c:pt idx="28">
                  <c:v>297.07468062846579</c:v>
                </c:pt>
                <c:pt idx="29">
                  <c:v>250.06644899496911</c:v>
                </c:pt>
                <c:pt idx="30">
                  <c:v>214.83961559571631</c:v>
                </c:pt>
                <c:pt idx="31">
                  <c:v>187.43197388332786</c:v>
                </c:pt>
                <c:pt idx="32">
                  <c:v>165.41653525631079</c:v>
                </c:pt>
                <c:pt idx="33">
                  <c:v>147.25169169587534</c:v>
                </c:pt>
                <c:pt idx="34">
                  <c:v>131.92773124259531</c:v>
                </c:pt>
                <c:pt idx="35">
                  <c:v>118.76509633985819</c:v>
                </c:pt>
                <c:pt idx="36">
                  <c:v>107.29473513738635</c:v>
                </c:pt>
                <c:pt idx="37">
                  <c:v>97.184893782173191</c:v>
                </c:pt>
                <c:pt idx="38">
                  <c:v>88.195162195673547</c:v>
                </c:pt>
                <c:pt idx="39">
                  <c:v>80.147006426685692</c:v>
                </c:pt>
                <c:pt idx="40">
                  <c:v>72.904530032417384</c:v>
                </c:pt>
                <c:pt idx="41">
                  <c:v>66.361718183044843</c:v>
                </c:pt>
                <c:pt idx="42">
                  <c:v>60.433864394825974</c:v>
                </c:pt>
                <c:pt idx="43">
                  <c:v>55.051737075992385</c:v>
                </c:pt>
                <c:pt idx="44">
                  <c:v>50.157564095063606</c:v>
                </c:pt>
                <c:pt idx="45">
                  <c:v>45.702237167286867</c:v>
                </c:pt>
                <c:pt idx="46">
                  <c:v>41.643342624723594</c:v>
                </c:pt>
                <c:pt idx="47">
                  <c:v>37.943756840994411</c:v>
                </c:pt>
                <c:pt idx="48">
                  <c:v>34.570630494382478</c:v>
                </c:pt>
                <c:pt idx="49">
                  <c:v>31.494642580627101</c:v>
                </c:pt>
                <c:pt idx="50">
                  <c:v>28.689442938073977</c:v>
                </c:pt>
                <c:pt idx="51">
                  <c:v>26.131227531670159</c:v>
                </c:pt>
                <c:pt idx="52">
                  <c:v>23.798408031016432</c:v>
                </c:pt>
                <c:pt idx="53">
                  <c:v>21.671349022413946</c:v>
                </c:pt>
                <c:pt idx="54">
                  <c:v>19.732154298416205</c:v>
                </c:pt>
                <c:pt idx="55">
                  <c:v>17.964489255765262</c:v>
                </c:pt>
                <c:pt idx="56">
                  <c:v>16.353430298715097</c:v>
                </c:pt>
                <c:pt idx="57">
                  <c:v>14.885334827340687</c:v>
                </c:pt>
                <c:pt idx="58">
                  <c:v>13.547727255811544</c:v>
                </c:pt>
                <c:pt idx="59">
                  <c:v>12.32919780484589</c:v>
                </c:pt>
                <c:pt idx="60">
                  <c:v>11.219311718636765</c:v>
                </c:pt>
                <c:pt idx="61">
                  <c:v>10.208527189137557</c:v>
                </c:pt>
                <c:pt idx="62">
                  <c:v>9.2881207128036678</c:v>
                </c:pt>
                <c:pt idx="63">
                  <c:v>8.4501189145434576</c:v>
                </c:pt>
                <c:pt idx="64">
                  <c:v>7.6872360910598232</c:v>
                </c:pt>
                <c:pt idx="65">
                  <c:v>6.9928168791053089</c:v>
                </c:pt>
                <c:pt idx="66">
                  <c:v>6.360783563068912</c:v>
                </c:pt>
                <c:pt idx="67">
                  <c:v>5.7855876144581568</c:v>
                </c:pt>
                <c:pt idx="68">
                  <c:v>5.2621651127706892</c:v>
                </c:pt>
                <c:pt idx="69">
                  <c:v>4.785895739585543</c:v>
                </c:pt>
                <c:pt idx="70">
                  <c:v>4.3525650700241245</c:v>
                </c:pt>
                <c:pt idx="71">
                  <c:v>3.9583299111864854</c:v>
                </c:pt>
                <c:pt idx="72">
                  <c:v>3.5996864579148049</c:v>
                </c:pt>
                <c:pt idx="73">
                  <c:v>3.2734410537360175</c:v>
                </c:pt>
                <c:pt idx="74">
                  <c:v>2.9766833600721441</c:v>
                </c:pt>
                <c:pt idx="75">
                  <c:v>2.7067617504336066</c:v>
                </c:pt>
                <c:pt idx="76">
                  <c:v>2.461260758755492</c:v>
                </c:pt>
                <c:pt idx="77">
                  <c:v>2.2379804225755113</c:v>
                </c:pt>
                <c:pt idx="78">
                  <c:v>2.0349173725598897</c:v>
                </c:pt>
                <c:pt idx="79">
                  <c:v>1.8502475300679504</c:v>
                </c:pt>
                <c:pt idx="80">
                  <c:v>1.6823102840735813</c:v>
                </c:pt>
                <c:pt idx="81">
                  <c:v>1.529594027871845</c:v>
                </c:pt>
                <c:pt idx="82">
                  <c:v>1.3907229446158551</c:v>
                </c:pt>
                <c:pt idx="83">
                  <c:v>1.2644449388686416</c:v>
                </c:pt>
                <c:pt idx="84">
                  <c:v>1.1496206190289415</c:v>
                </c:pt>
                <c:pt idx="85">
                  <c:v>1.0452132427094443</c:v>
                </c:pt>
                <c:pt idx="86">
                  <c:v>0.95027954392217939</c:v>
                </c:pt>
                <c:pt idx="87">
                  <c:v>0.86396136727067541</c:v>
                </c:pt>
                <c:pt idx="88">
                  <c:v>0.78547804027610713</c:v>
                </c:pt>
                <c:pt idx="89">
                  <c:v>0.7141194204900535</c:v>
                </c:pt>
                <c:pt idx="90">
                  <c:v>0.64923955918630671</c:v>
                </c:pt>
                <c:pt idx="91">
                  <c:v>0.59025092819592684</c:v>
                </c:pt>
                <c:pt idx="92">
                  <c:v>0.5366191608717733</c:v>
                </c:pt>
                <c:pt idx="93">
                  <c:v>0.48785826225979084</c:v>
                </c:pt>
                <c:pt idx="94">
                  <c:v>0.44352624733331331</c:v>
                </c:pt>
                <c:pt idx="95">
                  <c:v>0.40322116963242599</c:v>
                </c:pt>
                <c:pt idx="96">
                  <c:v>0.3665775058615513</c:v>
                </c:pt>
                <c:pt idx="97">
                  <c:v>0.33326286495302865</c:v>
                </c:pt>
                <c:pt idx="98">
                  <c:v>0.30297499282008239</c:v>
                </c:pt>
                <c:pt idx="99">
                  <c:v>0.27543904651606577</c:v>
                </c:pt>
                <c:pt idx="100">
                  <c:v>0.25040511380434377</c:v>
                </c:pt>
                <c:pt idx="101">
                  <c:v>0.22764595623992506</c:v>
                </c:pt>
                <c:pt idx="102">
                  <c:v>0.20695495578443654</c:v>
                </c:pt>
                <c:pt idx="103">
                  <c:v>0.18814424673387808</c:v>
                </c:pt>
                <c:pt idx="104">
                  <c:v>0.1710430163465676</c:v>
                </c:pt>
                <c:pt idx="105">
                  <c:v>0.15549595902874716</c:v>
                </c:pt>
                <c:pt idx="106">
                  <c:v>0.14136187027859728</c:v>
                </c:pt>
                <c:pt idx="107">
                  <c:v>0.12851236781627123</c:v>
                </c:pt>
                <c:pt idx="108">
                  <c:v>0.11683072844762192</c:v>
                </c:pt>
                <c:pt idx="109">
                  <c:v>0.10621083023145569</c:v>
                </c:pt>
                <c:pt idx="110">
                  <c:v>9.6556190452642701E-2</c:v>
                </c:pt>
                <c:pt idx="111">
                  <c:v>8.7779090753833874E-2</c:v>
                </c:pt>
                <c:pt idx="112">
                  <c:v>7.9799781553882343E-2</c:v>
                </c:pt>
                <c:pt idx="113">
                  <c:v>7.2545758587782339E-2</c:v>
                </c:pt>
                <c:pt idx="114">
                  <c:v>6.595110504694221E-2</c:v>
                </c:pt>
                <c:pt idx="115">
                  <c:v>5.9955893385339E-2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'1.5 Tc'!$B$16:$B$17</c:f>
              <c:numCache>
                <c:formatCode>0.000</c:formatCode>
                <c:ptCount val="2"/>
                <c:pt idx="0">
                  <c:v>0</c:v>
                </c:pt>
              </c:numCache>
            </c:numRef>
          </c:xVal>
          <c:yVal>
            <c:numRef>
              <c:f>'1.5 Tc'!$F$20:$F$21</c:f>
              <c:numCache>
                <c:formatCode>General</c:formatCode>
                <c:ptCount val="2"/>
              </c:numCache>
            </c:numRef>
          </c:y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'1.5 Tc'!$A$21:$A$136</c:f>
              <c:numCache>
                <c:formatCode>General</c:formatCode>
                <c:ptCount val="116"/>
                <c:pt idx="0">
                  <c:v>0.02</c:v>
                </c:pt>
                <c:pt idx="1">
                  <c:v>2.2000000000000002E-2</c:v>
                </c:pt>
                <c:pt idx="2">
                  <c:v>2.4200000000000003E-2</c:v>
                </c:pt>
                <c:pt idx="3">
                  <c:v>2.6620000000000005E-2</c:v>
                </c:pt>
                <c:pt idx="4">
                  <c:v>2.9282000000000006E-2</c:v>
                </c:pt>
                <c:pt idx="5">
                  <c:v>3.2210200000000008E-2</c:v>
                </c:pt>
                <c:pt idx="6">
                  <c:v>3.5431220000000013E-2</c:v>
                </c:pt>
                <c:pt idx="7">
                  <c:v>3.8974342000000016E-2</c:v>
                </c:pt>
                <c:pt idx="8">
                  <c:v>4.2871776200000024E-2</c:v>
                </c:pt>
                <c:pt idx="9">
                  <c:v>4.715895382000003E-2</c:v>
                </c:pt>
                <c:pt idx="10">
                  <c:v>5.1874849202000035E-2</c:v>
                </c:pt>
                <c:pt idx="11">
                  <c:v>5.7062334122200041E-2</c:v>
                </c:pt>
                <c:pt idx="12">
                  <c:v>6.2768567534420047E-2</c:v>
                </c:pt>
                <c:pt idx="13">
                  <c:v>6.9045424287862062E-2</c:v>
                </c:pt>
                <c:pt idx="14">
                  <c:v>7.5949966716648276E-2</c:v>
                </c:pt>
                <c:pt idx="15">
                  <c:v>8.3544963388313104E-2</c:v>
                </c:pt>
                <c:pt idx="16">
                  <c:v>9.1899459727144417E-2</c:v>
                </c:pt>
                <c:pt idx="17">
                  <c:v>0.10108940569985887</c:v>
                </c:pt>
                <c:pt idx="18">
                  <c:v>0.11119834626984477</c:v>
                </c:pt>
                <c:pt idx="19">
                  <c:v>0.12231818089682926</c:v>
                </c:pt>
                <c:pt idx="20">
                  <c:v>0.13454999898651221</c:v>
                </c:pt>
                <c:pt idx="21">
                  <c:v>0.14800499888516344</c:v>
                </c:pt>
                <c:pt idx="22">
                  <c:v>0.16280549877367981</c:v>
                </c:pt>
                <c:pt idx="23">
                  <c:v>0.1790860486510478</c:v>
                </c:pt>
                <c:pt idx="24">
                  <c:v>0.19699465351615258</c:v>
                </c:pt>
                <c:pt idx="25">
                  <c:v>0.21669411886776785</c:v>
                </c:pt>
                <c:pt idx="26">
                  <c:v>0.23836353075454464</c:v>
                </c:pt>
                <c:pt idx="27">
                  <c:v>0.26219988382999915</c:v>
                </c:pt>
                <c:pt idx="28">
                  <c:v>0.28841987221299908</c:v>
                </c:pt>
                <c:pt idx="29">
                  <c:v>0.31726185943429902</c:v>
                </c:pt>
                <c:pt idx="30">
                  <c:v>0.34898804537772893</c:v>
                </c:pt>
                <c:pt idx="31">
                  <c:v>0.38388684991550187</c:v>
                </c:pt>
                <c:pt idx="32">
                  <c:v>0.42227553490705211</c:v>
                </c:pt>
                <c:pt idx="33">
                  <c:v>0.46450308839775734</c:v>
                </c:pt>
                <c:pt idx="34">
                  <c:v>0.51095339723753308</c:v>
                </c:pt>
                <c:pt idx="35">
                  <c:v>0.56204873696128643</c:v>
                </c:pt>
                <c:pt idx="36">
                  <c:v>0.61825361065741513</c:v>
                </c:pt>
                <c:pt idx="37">
                  <c:v>0.68007897172315668</c:v>
                </c:pt>
                <c:pt idx="38">
                  <c:v>0.74808686889547238</c:v>
                </c:pt>
                <c:pt idx="39">
                  <c:v>0.82289555578501972</c:v>
                </c:pt>
                <c:pt idx="40">
                  <c:v>0.90518511136352175</c:v>
                </c:pt>
                <c:pt idx="41">
                  <c:v>0.99570362249987399</c:v>
                </c:pt>
                <c:pt idx="42">
                  <c:v>1.0952739847498614</c:v>
                </c:pt>
                <c:pt idx="43">
                  <c:v>1.2048013832248476</c:v>
                </c:pt>
                <c:pt idx="44">
                  <c:v>1.3252815215473326</c:v>
                </c:pt>
                <c:pt idx="45">
                  <c:v>1.457809673702066</c:v>
                </c:pt>
                <c:pt idx="46">
                  <c:v>1.6035906410722727</c:v>
                </c:pt>
                <c:pt idx="47">
                  <c:v>1.7639497051795001</c:v>
                </c:pt>
                <c:pt idx="48">
                  <c:v>1.9403446756974503</c:v>
                </c:pt>
                <c:pt idx="49">
                  <c:v>2.1343791432671955</c:v>
                </c:pt>
                <c:pt idx="50">
                  <c:v>2.347817057593915</c:v>
                </c:pt>
                <c:pt idx="51">
                  <c:v>2.5825987633533067</c:v>
                </c:pt>
                <c:pt idx="52">
                  <c:v>2.8408586396886375</c:v>
                </c:pt>
                <c:pt idx="53">
                  <c:v>3.1249445036575016</c:v>
                </c:pt>
                <c:pt idx="54">
                  <c:v>3.4374389540232522</c:v>
                </c:pt>
                <c:pt idx="55">
                  <c:v>3.7811828494255777</c:v>
                </c:pt>
                <c:pt idx="56">
                  <c:v>4.1593011343681354</c:v>
                </c:pt>
                <c:pt idx="57">
                  <c:v>4.5752312478049495</c:v>
                </c:pt>
                <c:pt idx="58">
                  <c:v>5.0327543725854449</c:v>
                </c:pt>
                <c:pt idx="59">
                  <c:v>5.5360298098439902</c:v>
                </c:pt>
                <c:pt idx="60">
                  <c:v>6.0896327908283894</c:v>
                </c:pt>
                <c:pt idx="61">
                  <c:v>6.698596069911229</c:v>
                </c:pt>
                <c:pt idx="62">
                  <c:v>7.3684556769023528</c:v>
                </c:pt>
                <c:pt idx="63">
                  <c:v>8.1053012445925887</c:v>
                </c:pt>
                <c:pt idx="64">
                  <c:v>8.9158313690518476</c:v>
                </c:pt>
                <c:pt idx="65">
                  <c:v>9.8074145059570323</c:v>
                </c:pt>
                <c:pt idx="66">
                  <c:v>10.788155956552737</c:v>
                </c:pt>
                <c:pt idx="67">
                  <c:v>11.866971552208012</c:v>
                </c:pt>
                <c:pt idx="68">
                  <c:v>13.053668707428814</c:v>
                </c:pt>
                <c:pt idx="69">
                  <c:v>14.359035578171698</c:v>
                </c:pt>
                <c:pt idx="70">
                  <c:v>15.794939135988869</c:v>
                </c:pt>
                <c:pt idx="71">
                  <c:v>17.374433049587758</c:v>
                </c:pt>
                <c:pt idx="72">
                  <c:v>19.111876354546535</c:v>
                </c:pt>
                <c:pt idx="73">
                  <c:v>21.023063990001191</c:v>
                </c:pt>
                <c:pt idx="74">
                  <c:v>23.125370389001311</c:v>
                </c:pt>
                <c:pt idx="75">
                  <c:v>25.437907427901443</c:v>
                </c:pt>
                <c:pt idx="76">
                  <c:v>27.98169817069159</c:v>
                </c:pt>
                <c:pt idx="77">
                  <c:v>30.779867987760753</c:v>
                </c:pt>
                <c:pt idx="78">
                  <c:v>33.857854786536834</c:v>
                </c:pt>
                <c:pt idx="79">
                  <c:v>37.243640265190521</c:v>
                </c:pt>
                <c:pt idx="80">
                  <c:v>40.968004291709576</c:v>
                </c:pt>
                <c:pt idx="81">
                  <c:v>45.064804720880538</c:v>
                </c:pt>
                <c:pt idx="82">
                  <c:v>49.571285192968595</c:v>
                </c:pt>
                <c:pt idx="83">
                  <c:v>54.528413712265461</c:v>
                </c:pt>
                <c:pt idx="84">
                  <c:v>59.981255083492009</c:v>
                </c:pt>
                <c:pt idx="85">
                  <c:v>65.97938059184122</c:v>
                </c:pt>
                <c:pt idx="86">
                  <c:v>72.577318651025351</c:v>
                </c:pt>
                <c:pt idx="87">
                  <c:v>79.835050516127893</c:v>
                </c:pt>
                <c:pt idx="88">
                  <c:v>87.818555567740688</c:v>
                </c:pt>
                <c:pt idx="89">
                  <c:v>96.600411124514764</c:v>
                </c:pt>
                <c:pt idx="90">
                  <c:v>106.26045223696624</c:v>
                </c:pt>
                <c:pt idx="91">
                  <c:v>116.88649746066288</c:v>
                </c:pt>
                <c:pt idx="92">
                  <c:v>128.57514720672918</c:v>
                </c:pt>
                <c:pt idx="93">
                  <c:v>141.43266192740211</c:v>
                </c:pt>
                <c:pt idx="94">
                  <c:v>155.57592812014232</c:v>
                </c:pt>
                <c:pt idx="95">
                  <c:v>171.13352093215656</c:v>
                </c:pt>
                <c:pt idx="96">
                  <c:v>188.24687302537222</c:v>
                </c:pt>
                <c:pt idx="97">
                  <c:v>207.07156032790945</c:v>
                </c:pt>
                <c:pt idx="98">
                  <c:v>227.77871636070043</c:v>
                </c:pt>
                <c:pt idx="99">
                  <c:v>250.5565879967705</c:v>
                </c:pt>
                <c:pt idx="100">
                  <c:v>275.61224679644755</c:v>
                </c:pt>
                <c:pt idx="101">
                  <c:v>303.17347147609235</c:v>
                </c:pt>
                <c:pt idx="102">
                  <c:v>333.49081862370161</c:v>
                </c:pt>
                <c:pt idx="103">
                  <c:v>366.83990048607183</c:v>
                </c:pt>
                <c:pt idx="104">
                  <c:v>403.52389053467903</c:v>
                </c:pt>
                <c:pt idx="105">
                  <c:v>443.87627958814699</c:v>
                </c:pt>
                <c:pt idx="106">
                  <c:v>488.26390754696172</c:v>
                </c:pt>
                <c:pt idx="107">
                  <c:v>537.09029830165798</c:v>
                </c:pt>
                <c:pt idx="108">
                  <c:v>590.79932813182381</c:v>
                </c:pt>
                <c:pt idx="109">
                  <c:v>649.87926094500619</c:v>
                </c:pt>
                <c:pt idx="110">
                  <c:v>714.86718703950692</c:v>
                </c:pt>
                <c:pt idx="111">
                  <c:v>786.35390574345763</c:v>
                </c:pt>
                <c:pt idx="112">
                  <c:v>864.98929631780345</c:v>
                </c:pt>
                <c:pt idx="113">
                  <c:v>951.48822594958392</c:v>
                </c:pt>
                <c:pt idx="114">
                  <c:v>1046.6370485445425</c:v>
                </c:pt>
                <c:pt idx="115">
                  <c:v>1151.3007533989969</c:v>
                </c:pt>
              </c:numCache>
            </c:numRef>
          </c:xVal>
          <c:yVal>
            <c:numRef>
              <c:f>'1.5 Tc'!$C$21:$C$136</c:f>
              <c:numCache>
                <c:formatCode>General</c:formatCode>
                <c:ptCount val="116"/>
                <c:pt idx="0">
                  <c:v>3451.5609637500002</c:v>
                </c:pt>
                <c:pt idx="1">
                  <c:v>3137.7826943181817</c:v>
                </c:pt>
                <c:pt idx="2">
                  <c:v>2852.5297221074375</c:v>
                </c:pt>
                <c:pt idx="3">
                  <c:v>2593.2088382794886</c:v>
                </c:pt>
                <c:pt idx="4">
                  <c:v>2357.4625802540804</c:v>
                </c:pt>
                <c:pt idx="5">
                  <c:v>2143.1478002309823</c:v>
                </c:pt>
                <c:pt idx="6">
                  <c:v>1948.3161820281655</c:v>
                </c:pt>
                <c:pt idx="7">
                  <c:v>1771.1965291165141</c:v>
                </c:pt>
                <c:pt idx="8">
                  <c:v>1610.1786628331943</c:v>
                </c:pt>
                <c:pt idx="9">
                  <c:v>1463.7987843938129</c:v>
                </c:pt>
                <c:pt idx="10">
                  <c:v>1330.7261676307389</c:v>
                </c:pt>
                <c:pt idx="11">
                  <c:v>1209.7510614824898</c:v>
                </c:pt>
                <c:pt idx="12">
                  <c:v>1099.773692256809</c:v>
                </c:pt>
                <c:pt idx="13">
                  <c:v>999.79426568800807</c:v>
                </c:pt>
                <c:pt idx="14">
                  <c:v>908.90387789818897</c:v>
                </c:pt>
                <c:pt idx="15">
                  <c:v>826.27625263471725</c:v>
                </c:pt>
                <c:pt idx="16">
                  <c:v>751.16022966792468</c:v>
                </c:pt>
                <c:pt idx="17">
                  <c:v>682.87293606174967</c:v>
                </c:pt>
                <c:pt idx="18">
                  <c:v>620.79357823795419</c:v>
                </c:pt>
                <c:pt idx="19">
                  <c:v>564.35779839814018</c:v>
                </c:pt>
                <c:pt idx="20">
                  <c:v>513.05254399830915</c:v>
                </c:pt>
                <c:pt idx="21">
                  <c:v>466.4114036348264</c:v>
                </c:pt>
                <c:pt idx="22">
                  <c:v>424.01036694075128</c:v>
                </c:pt>
                <c:pt idx="23">
                  <c:v>385.46396994613752</c:v>
                </c:pt>
                <c:pt idx="24">
                  <c:v>350.42179086012499</c:v>
                </c:pt>
                <c:pt idx="25">
                  <c:v>318.56526441829538</c:v>
                </c:pt>
                <c:pt idx="26">
                  <c:v>289.60478583481404</c:v>
                </c:pt>
                <c:pt idx="27">
                  <c:v>263.27707803164907</c:v>
                </c:pt>
                <c:pt idx="28">
                  <c:v>239.34279821059005</c:v>
                </c:pt>
                <c:pt idx="29">
                  <c:v>217.58436200962728</c:v>
                </c:pt>
                <c:pt idx="30">
                  <c:v>197.80396546329754</c:v>
                </c:pt>
                <c:pt idx="31">
                  <c:v>179.82178678481591</c:v>
                </c:pt>
                <c:pt idx="32">
                  <c:v>163.47435162255991</c:v>
                </c:pt>
                <c:pt idx="33">
                  <c:v>148.6130469295999</c:v>
                </c:pt>
                <c:pt idx="34">
                  <c:v>135.1027699359999</c:v>
                </c:pt>
                <c:pt idx="35">
                  <c:v>122.82069994181809</c:v>
                </c:pt>
                <c:pt idx="36">
                  <c:v>111.65518176528916</c:v>
                </c:pt>
                <c:pt idx="37">
                  <c:v>101.50471069571742</c:v>
                </c:pt>
                <c:pt idx="38">
                  <c:v>92.277009723379464</c:v>
                </c:pt>
                <c:pt idx="39">
                  <c:v>83.888190657617685</c:v>
                </c:pt>
                <c:pt idx="40">
                  <c:v>76.261991506925156</c:v>
                </c:pt>
                <c:pt idx="41">
                  <c:v>69.329083188113785</c:v>
                </c:pt>
                <c:pt idx="42">
                  <c:v>63.026439261921617</c:v>
                </c:pt>
                <c:pt idx="43">
                  <c:v>57.296762965383287</c:v>
                </c:pt>
                <c:pt idx="44">
                  <c:v>52.087966332166616</c:v>
                </c:pt>
                <c:pt idx="45">
                  <c:v>47.352696665606011</c:v>
                </c:pt>
                <c:pt idx="46">
                  <c:v>43.047906059641825</c:v>
                </c:pt>
                <c:pt idx="47">
                  <c:v>39.134460054219836</c:v>
                </c:pt>
                <c:pt idx="48">
                  <c:v>35.576781867472576</c:v>
                </c:pt>
                <c:pt idx="49">
                  <c:v>32.342528970429612</c:v>
                </c:pt>
                <c:pt idx="50">
                  <c:v>29.40229906402692</c:v>
                </c:pt>
                <c:pt idx="51">
                  <c:v>26.729362785479015</c:v>
                </c:pt>
                <c:pt idx="52">
                  <c:v>24.299420714071829</c:v>
                </c:pt>
                <c:pt idx="53">
                  <c:v>22.090382467338028</c:v>
                </c:pt>
                <c:pt idx="54">
                  <c:v>20.082165879398204</c:v>
                </c:pt>
                <c:pt idx="55">
                  <c:v>18.256514435816545</c:v>
                </c:pt>
                <c:pt idx="56">
                  <c:v>16.596831305287768</c:v>
                </c:pt>
                <c:pt idx="57">
                  <c:v>15.088028459352515</c:v>
                </c:pt>
                <c:pt idx="58">
                  <c:v>13.716389508502287</c:v>
                </c:pt>
                <c:pt idx="59">
                  <c:v>12.46944500772935</c:v>
                </c:pt>
                <c:pt idx="60">
                  <c:v>11.335859097935773</c:v>
                </c:pt>
                <c:pt idx="61">
                  <c:v>10.305326452668883</c:v>
                </c:pt>
                <c:pt idx="62">
                  <c:v>9.3684785933353467</c:v>
                </c:pt>
                <c:pt idx="63">
                  <c:v>8.5167987212139504</c:v>
                </c:pt>
                <c:pt idx="64">
                  <c:v>7.742544292012683</c:v>
                </c:pt>
                <c:pt idx="65">
                  <c:v>7.0386766291024392</c:v>
                </c:pt>
                <c:pt idx="66">
                  <c:v>6.3987969355476704</c:v>
                </c:pt>
                <c:pt idx="67">
                  <c:v>5.8170881232251546</c:v>
                </c:pt>
                <c:pt idx="68">
                  <c:v>5.2882619302046852</c:v>
                </c:pt>
                <c:pt idx="69">
                  <c:v>4.8075108456406221</c:v>
                </c:pt>
                <c:pt idx="70">
                  <c:v>4.3704644051278381</c:v>
                </c:pt>
                <c:pt idx="71">
                  <c:v>3.9731494592071255</c:v>
                </c:pt>
                <c:pt idx="72">
                  <c:v>3.6119540538246588</c:v>
                </c:pt>
                <c:pt idx="73">
                  <c:v>3.2835945943860532</c:v>
                </c:pt>
                <c:pt idx="74">
                  <c:v>2.9850859948964121</c:v>
                </c:pt>
                <c:pt idx="75">
                  <c:v>2.7137145408149199</c:v>
                </c:pt>
                <c:pt idx="76">
                  <c:v>2.4670132189226539</c:v>
                </c:pt>
                <c:pt idx="77">
                  <c:v>2.2427392899296854</c:v>
                </c:pt>
                <c:pt idx="78">
                  <c:v>2.0388538999360772</c:v>
                </c:pt>
                <c:pt idx="79">
                  <c:v>1.8535035453964337</c:v>
                </c:pt>
                <c:pt idx="80">
                  <c:v>1.6850032230876666</c:v>
                </c:pt>
                <c:pt idx="81">
                  <c:v>1.5318211118978788</c:v>
                </c:pt>
                <c:pt idx="82">
                  <c:v>1.3925646471798896</c:v>
                </c:pt>
                <c:pt idx="83">
                  <c:v>1.2659678610726268</c:v>
                </c:pt>
                <c:pt idx="84">
                  <c:v>1.150879873702388</c:v>
                </c:pt>
                <c:pt idx="85">
                  <c:v>1.0462544306385344</c:v>
                </c:pt>
                <c:pt idx="86">
                  <c:v>0.95114039148957663</c:v>
                </c:pt>
                <c:pt idx="87">
                  <c:v>0.86467308317234226</c:v>
                </c:pt>
                <c:pt idx="88">
                  <c:v>0.7860664392475839</c:v>
                </c:pt>
                <c:pt idx="89">
                  <c:v>0.71460585386143971</c:v>
                </c:pt>
                <c:pt idx="90">
                  <c:v>0.64964168532858169</c:v>
                </c:pt>
                <c:pt idx="91">
                  <c:v>0.59058335029871056</c:v>
                </c:pt>
                <c:pt idx="92">
                  <c:v>0.53689395481700952</c:v>
                </c:pt>
                <c:pt idx="93">
                  <c:v>0.48808541347000861</c:v>
                </c:pt>
                <c:pt idx="94">
                  <c:v>0.44371401224546242</c:v>
                </c:pt>
                <c:pt idx="95">
                  <c:v>0.40337637476860216</c:v>
                </c:pt>
                <c:pt idx="96">
                  <c:v>0.36670579524418373</c:v>
                </c:pt>
                <c:pt idx="97">
                  <c:v>0.33336890476743974</c:v>
                </c:pt>
                <c:pt idx="98">
                  <c:v>0.30306264069767247</c:v>
                </c:pt>
                <c:pt idx="99">
                  <c:v>0.27551149154333854</c:v>
                </c:pt>
                <c:pt idx="100">
                  <c:v>0.25046499231212599</c:v>
                </c:pt>
                <c:pt idx="101">
                  <c:v>0.22769544755647814</c:v>
                </c:pt>
                <c:pt idx="102">
                  <c:v>0.20699586141498011</c:v>
                </c:pt>
                <c:pt idx="103">
                  <c:v>0.18817805583180008</c:v>
                </c:pt>
                <c:pt idx="104">
                  <c:v>0.17107095984709098</c:v>
                </c:pt>
                <c:pt idx="105">
                  <c:v>0.15551905440644631</c:v>
                </c:pt>
                <c:pt idx="106">
                  <c:v>0.14138095855131483</c:v>
                </c:pt>
                <c:pt idx="107">
                  <c:v>0.12852814413755889</c:v>
                </c:pt>
                <c:pt idx="108">
                  <c:v>0.11684376739778081</c:v>
                </c:pt>
                <c:pt idx="109">
                  <c:v>0.10622160672525528</c:v>
                </c:pt>
                <c:pt idx="110">
                  <c:v>9.6565097022959331E-2</c:v>
                </c:pt>
                <c:pt idx="111">
                  <c:v>8.7786451839053925E-2</c:v>
                </c:pt>
                <c:pt idx="112">
                  <c:v>7.9805865308230847E-2</c:v>
                </c:pt>
                <c:pt idx="113">
                  <c:v>7.2550786643846218E-2</c:v>
                </c:pt>
                <c:pt idx="114">
                  <c:v>6.5955260585314729E-2</c:v>
                </c:pt>
                <c:pt idx="115">
                  <c:v>5.9959327804831562E-2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800"/>
        <c:axId val="214595072"/>
      </c:scatterChart>
      <c:valAx>
        <c:axId val="214588800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V [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44192028172417958"/>
              <c:y val="0.897060970676725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595072"/>
        <c:crossesAt val="1E-8"/>
        <c:crossBetween val="midCat"/>
        <c:minorUnit val="10"/>
      </c:valAx>
      <c:valAx>
        <c:axId val="214595072"/>
        <c:scaling>
          <c:logBase val="10"/>
          <c:orientation val="minMax"/>
          <c:max val="10000"/>
          <c:min val="1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2.0202070021676781E-2"/>
              <c:y val="0.301471309817588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588800"/>
        <c:crossesAt val="1E-3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0.51 Tc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5"/>
              <c:pt idx="0">
                <c:v>0.15751687100304879</c:v>
              </c:pt>
              <c:pt idx="1">
                <c:v>0.16066720842310978</c:v>
              </c:pt>
              <c:pt idx="2">
                <c:v>0.16388055259157197</c:v>
              </c:pt>
              <c:pt idx="3">
                <c:v>0.16715816364340341</c:v>
              </c:pt>
              <c:pt idx="4">
                <c:v>0.17050132691627148</c:v>
              </c:pt>
              <c:pt idx="5">
                <c:v>0.17391135345459691</c:v>
              </c:pt>
              <c:pt idx="6">
                <c:v>0.17738958052368886</c:v>
              </c:pt>
              <c:pt idx="7">
                <c:v>0.18093737213416264</c:v>
              </c:pt>
              <c:pt idx="8">
                <c:v>0.1845561195768459</c:v>
              </c:pt>
              <c:pt idx="9">
                <c:v>0.18824724196838283</c:v>
              </c:pt>
              <c:pt idx="10">
                <c:v>0.19201218680775048</c:v>
              </c:pt>
              <c:pt idx="11">
                <c:v>0.1958524305439055</c:v>
              </c:pt>
              <c:pt idx="12">
                <c:v>0.1997694791547836</c:v>
              </c:pt>
              <c:pt idx="13">
                <c:v>0.20376486873787927</c:v>
              </c:pt>
              <c:pt idx="14">
                <c:v>0.20784016611263686</c:v>
              </c:pt>
              <c:pt idx="15">
                <c:v>0.2119969694348896</c:v>
              </c:pt>
              <c:pt idx="16">
                <c:v>0.2162369088235874</c:v>
              </c:pt>
              <c:pt idx="17">
                <c:v>0.22056164700005915</c:v>
              </c:pt>
              <c:pt idx="18">
                <c:v>0.22497287994006032</c:v>
              </c:pt>
              <c:pt idx="19">
                <c:v>0.22947233753886154</c:v>
              </c:pt>
              <c:pt idx="20">
                <c:v>0.23406178428963878</c:v>
              </c:pt>
              <c:pt idx="21">
                <c:v>0.23874301997543157</c:v>
              </c:pt>
              <c:pt idx="22">
                <c:v>0.24351788037494021</c:v>
              </c:pt>
              <c:pt idx="23">
                <c:v>0.24838823798243903</c:v>
              </c:pt>
              <c:pt idx="24">
                <c:v>0.2533560027420878</c:v>
              </c:pt>
              <c:pt idx="25">
                <c:v>0.25842312279692958</c:v>
              </c:pt>
              <c:pt idx="26">
                <c:v>0.26359158525286819</c:v>
              </c:pt>
              <c:pt idx="27">
                <c:v>0.26886341695792554</c:v>
              </c:pt>
              <c:pt idx="28">
                <c:v>0.27424068529708406</c:v>
              </c:pt>
              <c:pt idx="29">
                <c:v>0.2879527195619383</c:v>
              </c:pt>
              <c:pt idx="30">
                <c:v>0.3023503555400352</c:v>
              </c:pt>
              <c:pt idx="31">
                <c:v>0.31746787331703696</c:v>
              </c:pt>
              <c:pt idx="32">
                <c:v>0.33334126698288885</c:v>
              </c:pt>
              <c:pt idx="33">
                <c:v>0.35000833033203332</c:v>
              </c:pt>
              <c:pt idx="34">
                <c:v>0.38500916336523666</c:v>
              </c:pt>
              <c:pt idx="35">
                <c:v>0.42351007970176036</c:v>
              </c:pt>
              <c:pt idx="36">
                <c:v>0.4658610876719364</c:v>
              </c:pt>
              <c:pt idx="37">
                <c:v>0.51244719643913006</c:v>
              </c:pt>
              <c:pt idx="38">
                <c:v>0.56369191608304314</c:v>
              </c:pt>
              <c:pt idx="39">
                <c:v>0.6764302992996517</c:v>
              </c:pt>
              <c:pt idx="40">
                <c:v>0.81171635915958207</c:v>
              </c:pt>
              <c:pt idx="41">
                <c:v>0.97405963099149839</c:v>
              </c:pt>
              <c:pt idx="42">
                <c:v>1.1688715571897981</c:v>
              </c:pt>
              <c:pt idx="43">
                <c:v>1.4026458686277576</c:v>
              </c:pt>
              <c:pt idx="44">
                <c:v>1.6831750423533092</c:v>
              </c:pt>
              <c:pt idx="45">
                <c:v>2.0198100508239709</c:v>
              </c:pt>
              <c:pt idx="46">
                <c:v>2.4237720609887652</c:v>
              </c:pt>
              <c:pt idx="47">
                <c:v>3.6356580914831476</c:v>
              </c:pt>
              <c:pt idx="48">
                <c:v>10.906974274449443</c:v>
              </c:pt>
              <c:pt idx="49">
                <c:v>16.360461411674166</c:v>
              </c:pt>
              <c:pt idx="50">
                <c:v>24.540692117511249</c:v>
              </c:pt>
              <c:pt idx="51">
                <c:v>36.811038176266877</c:v>
              </c:pt>
              <c:pt idx="52">
                <c:v>55.216557264400315</c:v>
              </c:pt>
              <c:pt idx="53">
                <c:v>110.43311452880063</c:v>
              </c:pt>
              <c:pt idx="54">
                <c:v>220.86622905760126</c:v>
              </c:pt>
              <c:pt idx="55">
                <c:v>441.73245811520252</c:v>
              </c:pt>
              <c:pt idx="56">
                <c:v>883.46491623040504</c:v>
              </c:pt>
              <c:pt idx="57">
                <c:v>1766.9298324608101</c:v>
              </c:pt>
              <c:pt idx="58">
                <c:v>3533.8596649216202</c:v>
              </c:pt>
              <c:pt idx="59">
                <c:v>7067.7193298432403</c:v>
              </c:pt>
              <c:pt idx="60">
                <c:v>14135.438659686481</c:v>
              </c:pt>
              <c:pt idx="61">
                <c:v>28270.877319372961</c:v>
              </c:pt>
              <c:pt idx="62">
                <c:v>56541.754638745922</c:v>
              </c:pt>
              <c:pt idx="63">
                <c:v>113083.50927749184</c:v>
              </c:pt>
              <c:pt idx="64">
                <c:v>226167.01855498369</c:v>
              </c:pt>
            </c:numLit>
          </c:xVal>
          <c:yVal>
            <c:numLit>
              <c:formatCode>General</c:formatCode>
              <c:ptCount val="65"/>
              <c:pt idx="0">
                <c:v>1883.6547444709506</c:v>
              </c:pt>
              <c:pt idx="1">
                <c:v>930.42461866927067</c:v>
              </c:pt>
              <c:pt idx="2">
                <c:v>428.90827900192266</c:v>
              </c:pt>
              <c:pt idx="3">
                <c:v>129.89893613437306</c:v>
              </c:pt>
              <c:pt idx="4">
                <c:v>-61.541504395987722</c:v>
              </c:pt>
              <c:pt idx="5">
                <c:v>-189.42894521990993</c:v>
              </c:pt>
              <c:pt idx="6">
                <c:v>-276.94122140281866</c:v>
              </c:pt>
              <c:pt idx="7">
                <c:v>-337.42901437132457</c:v>
              </c:pt>
              <c:pt idx="8">
                <c:v>-379.11299425596883</c:v>
              </c:pt>
              <c:pt idx="9">
                <c:v>-407.32248691146742</c:v>
              </c:pt>
              <c:pt idx="10">
                <c:v>-425.65641036229545</c:v>
              </c:pt>
              <c:pt idx="11">
                <c:v>-436.62680765982537</c:v>
              </c:pt>
              <c:pt idx="12">
                <c:v>-442.03538388131682</c:v>
              </c:pt>
              <c:pt idx="13">
                <c:v>-443.2039098609601</c:v>
              </c:pt>
              <c:pt idx="14">
                <c:v>-441.12062636070755</c:v>
              </c:pt>
              <c:pt idx="15">
                <c:v>-436.53631950241476</c:v>
              </c:pt>
              <c:pt idx="16">
                <c:v>-430.02914933964939</c:v>
              </c:pt>
              <c:pt idx="17">
                <c:v>-422.04947038044622</c:v>
              </c:pt>
              <c:pt idx="18">
                <c:v>-412.95148919245594</c:v>
              </c:pt>
              <c:pt idx="19">
                <c:v>-403.01605285895073</c:v>
              </c:pt>
              <c:pt idx="20">
                <c:v>-392.46733288178336</c:v>
              </c:pt>
              <c:pt idx="21">
                <c:v>-381.48522650016673</c:v>
              </c:pt>
              <c:pt idx="22">
                <c:v>-370.21470155178423</c:v>
              </c:pt>
              <c:pt idx="23">
                <c:v>-358.77292575789164</c:v>
              </c:pt>
              <c:pt idx="24">
                <c:v>-347.25476708729411</c:v>
              </c:pt>
              <c:pt idx="25">
                <c:v>-335.73708093959959</c:v>
              </c:pt>
              <c:pt idx="26">
                <c:v>-324.28208301640905</c:v>
              </c:pt>
              <c:pt idx="27">
                <c:v>-312.94002557794613</c:v>
              </c:pt>
              <c:pt idx="28">
                <c:v>-301.75133759304822</c:v>
              </c:pt>
              <c:pt idx="29">
                <c:v>-275.02878346957363</c:v>
              </c:pt>
              <c:pt idx="30">
                <c:v>-249.74659332411673</c:v>
              </c:pt>
              <c:pt idx="31">
                <c:v>-226.07372274004453</c:v>
              </c:pt>
              <c:pt idx="32">
                <c:v>-204.07596321163271</c:v>
              </c:pt>
              <c:pt idx="33">
                <c:v>-183.75305494382198</c:v>
              </c:pt>
              <c:pt idx="34">
                <c:v>-148.70057395003906</c:v>
              </c:pt>
              <c:pt idx="35">
                <c:v>-119.30925205459735</c:v>
              </c:pt>
              <c:pt idx="36">
                <c:v>-94.895299977986355</c:v>
              </c:pt>
              <c:pt idx="37">
                <c:v>-74.76413207126005</c:v>
              </c:pt>
              <c:pt idx="38">
                <c:v>-58.267045724371457</c:v>
              </c:pt>
              <c:pt idx="39">
                <c:v>-34.787173651593768</c:v>
              </c:pt>
              <c:pt idx="40">
                <c:v>-19.223372339964136</c:v>
              </c:pt>
              <c:pt idx="41">
                <c:v>-9.1349929958326257</c:v>
              </c:pt>
              <c:pt idx="42">
                <c:v>-2.7786013481666534</c:v>
              </c:pt>
              <c:pt idx="43">
                <c:v>1.0693667011366166</c:v>
              </c:pt>
              <c:pt idx="44">
                <c:v>3.2567898620855318</c:v>
              </c:pt>
              <c:pt idx="45">
                <c:v>4.3650045582344239</c:v>
              </c:pt>
              <c:pt idx="46">
                <c:v>4.7885579698569947</c:v>
              </c:pt>
              <c:pt idx="47">
                <c:v>4.4771013078366453</c:v>
              </c:pt>
              <c:pt idx="48">
                <c:v>2.066874481603433</c:v>
              </c:pt>
              <c:pt idx="49">
                <c:v>1.4419970996654099</c:v>
              </c:pt>
              <c:pt idx="50">
                <c:v>0.98983692077279417</c:v>
              </c:pt>
              <c:pt idx="51">
                <c:v>0.67256778771085446</c:v>
              </c:pt>
              <c:pt idx="52">
                <c:v>0.45401470284522966</c:v>
              </c:pt>
              <c:pt idx="53">
                <c:v>0.22982630593646292</c:v>
              </c:pt>
              <c:pt idx="54">
                <c:v>0.11561805335662982</c:v>
              </c:pt>
              <c:pt idx="55">
                <c:v>5.7985271947322038E-2</c:v>
              </c:pt>
              <c:pt idx="56">
                <c:v>2.903669980940362E-2</c:v>
              </c:pt>
              <c:pt idx="57">
                <c:v>1.4529366178261701E-2</c:v>
              </c:pt>
              <c:pt idx="58">
                <c:v>7.2674371968371653E-3</c:v>
              </c:pt>
              <c:pt idx="59">
                <c:v>3.6344071302589747E-3</c:v>
              </c:pt>
              <c:pt idx="60">
                <c:v>1.8173756987037663E-3</c:v>
              </c:pt>
              <c:pt idx="61">
                <c:v>9.0873088282222251E-4</c:v>
              </c:pt>
              <c:pt idx="62">
                <c:v>4.5437619978829218E-4</c:v>
              </c:pt>
              <c:pt idx="63">
                <c:v>2.2719078948964082E-4</c:v>
              </c:pt>
              <c:pt idx="64">
                <c:v>1.1359606714384401E-4</c:v>
              </c:pt>
            </c:numLit>
          </c:yVal>
          <c:smooth val="1"/>
        </c:ser>
        <c:ser>
          <c:idx val="1"/>
          <c:order val="1"/>
          <c:tx>
            <c:v>Tb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6"/>
              <c:pt idx="0">
                <c:v>0.15751687100304879</c:v>
              </c:pt>
              <c:pt idx="1">
                <c:v>0.16066720842310978</c:v>
              </c:pt>
              <c:pt idx="2">
                <c:v>0.16388055259157197</c:v>
              </c:pt>
              <c:pt idx="3">
                <c:v>0.16715816364340341</c:v>
              </c:pt>
              <c:pt idx="4">
                <c:v>0.17050132691627148</c:v>
              </c:pt>
              <c:pt idx="5">
                <c:v>0.17391135345459691</c:v>
              </c:pt>
              <c:pt idx="6">
                <c:v>0.17738958052368886</c:v>
              </c:pt>
              <c:pt idx="7">
                <c:v>0.1341249710049133</c:v>
              </c:pt>
              <c:pt idx="8">
                <c:v>0.13551535632495487</c:v>
              </c:pt>
              <c:pt idx="9">
                <c:v>0.13822566345145398</c:v>
              </c:pt>
              <c:pt idx="10">
                <c:v>0.14099017672048306</c:v>
              </c:pt>
              <c:pt idx="11">
                <c:v>0.14380998025489272</c:v>
              </c:pt>
              <c:pt idx="12">
                <c:v>0.14668617985999058</c:v>
              </c:pt>
              <c:pt idx="13">
                <c:v>0.1496199034571904</c:v>
              </c:pt>
              <c:pt idx="14">
                <c:v>0.1526123015263342</c:v>
              </c:pt>
              <c:pt idx="15">
                <c:v>0.15566454755686088</c:v>
              </c:pt>
              <c:pt idx="16">
                <c:v>0.15877783850799809</c:v>
              </c:pt>
              <c:pt idx="17">
                <c:v>0.16195339527815805</c:v>
              </c:pt>
              <c:pt idx="18">
                <c:v>0.16519246318372122</c:v>
              </c:pt>
              <c:pt idx="19">
                <c:v>0.16849631244739566</c:v>
              </c:pt>
              <c:pt idx="20">
                <c:v>0.17186623869634357</c:v>
              </c:pt>
              <c:pt idx="21">
                <c:v>0.17530356347027046</c:v>
              </c:pt>
              <c:pt idx="22">
                <c:v>0.17880963473967587</c:v>
              </c:pt>
              <c:pt idx="23">
                <c:v>0.18238582743446941</c:v>
              </c:pt>
              <c:pt idx="24">
                <c:v>0.1860335439831588</c:v>
              </c:pt>
              <c:pt idx="25">
                <c:v>0.18975421486282198</c:v>
              </c:pt>
              <c:pt idx="26">
                <c:v>0.19354929916007843</c:v>
              </c:pt>
              <c:pt idx="27">
                <c:v>0.19742028514328</c:v>
              </c:pt>
              <c:pt idx="28">
                <c:v>0.20136869084614561</c:v>
              </c:pt>
              <c:pt idx="29">
                <c:v>0.20539606466306853</c:v>
              </c:pt>
              <c:pt idx="30">
                <c:v>0.21566586789622197</c:v>
              </c:pt>
              <c:pt idx="31">
                <c:v>0.22644916129103307</c:v>
              </c:pt>
              <c:pt idx="32">
                <c:v>0.23777161935558475</c:v>
              </c:pt>
              <c:pt idx="33">
                <c:v>0.249660200323364</c:v>
              </c:pt>
              <c:pt idx="34">
                <c:v>0.2621432103395322</c:v>
              </c:pt>
              <c:pt idx="35">
                <c:v>0.28835753137348547</c:v>
              </c:pt>
              <c:pt idx="36">
                <c:v>0.31719328451083406</c:v>
              </c:pt>
              <c:pt idx="37">
                <c:v>0.3489126129619175</c:v>
              </c:pt>
              <c:pt idx="38">
                <c:v>0.3838038742581093</c:v>
              </c:pt>
              <c:pt idx="39">
                <c:v>0.42218426168392026</c:v>
              </c:pt>
              <c:pt idx="40">
                <c:v>0.50662111402070431</c:v>
              </c:pt>
              <c:pt idx="41">
                <c:v>0.60794533682484519</c:v>
              </c:pt>
              <c:pt idx="42">
                <c:v>0.72953440418981419</c:v>
              </c:pt>
              <c:pt idx="43">
                <c:v>0.87544128502777696</c:v>
              </c:pt>
              <c:pt idx="44">
                <c:v>1.0505295420333323</c:v>
              </c:pt>
              <c:pt idx="45">
                <c:v>1.2606354504399986</c:v>
              </c:pt>
              <c:pt idx="46">
                <c:v>1.5127625405279983</c:v>
              </c:pt>
              <c:pt idx="47">
                <c:v>1.8153150486335978</c:v>
              </c:pt>
              <c:pt idx="48">
                <c:v>2.7229725729503969</c:v>
              </c:pt>
              <c:pt idx="49">
                <c:v>4.0844588594255953</c:v>
              </c:pt>
              <c:pt idx="50">
                <c:v>6.1266882891383929</c:v>
              </c:pt>
              <c:pt idx="51">
                <c:v>9.1900324337075894</c:v>
              </c:pt>
              <c:pt idx="52">
                <c:v>13.785048650561384</c:v>
              </c:pt>
              <c:pt idx="53">
                <c:v>20.677572975842075</c:v>
              </c:pt>
              <c:pt idx="54">
                <c:v>41.35514595168415</c:v>
              </c:pt>
              <c:pt idx="55">
                <c:v>82.710291903368301</c:v>
              </c:pt>
              <c:pt idx="56">
                <c:v>165.4205838067366</c:v>
              </c:pt>
              <c:pt idx="57">
                <c:v>330.8411676134732</c:v>
              </c:pt>
              <c:pt idx="58">
                <c:v>661.68233522694641</c:v>
              </c:pt>
              <c:pt idx="59">
                <c:v>1323.3646704538928</c:v>
              </c:pt>
              <c:pt idx="60">
                <c:v>2646.7293409077856</c:v>
              </c:pt>
              <c:pt idx="61">
                <c:v>5293.4586818155713</c:v>
              </c:pt>
              <c:pt idx="62">
                <c:v>10586.917363631143</c:v>
              </c:pt>
              <c:pt idx="63">
                <c:v>21173.834727262285</c:v>
              </c:pt>
              <c:pt idx="64">
                <c:v>42347.66945452457</c:v>
              </c:pt>
              <c:pt idx="65">
                <c:v>84695.33890904914</c:v>
              </c:pt>
            </c:numLit>
          </c:xVal>
          <c:yVal>
            <c:numLit>
              <c:formatCode>General</c:formatCode>
              <c:ptCount val="66"/>
              <c:pt idx="0">
                <c:v>2866.5380524313778</c:v>
              </c:pt>
              <c:pt idx="1">
                <c:v>1662.0980151145493</c:v>
              </c:pt>
              <c:pt idx="2">
                <c:v>1019.5131614934553</c:v>
              </c:pt>
              <c:pt idx="3">
                <c:v>629.22006491504533</c:v>
              </c:pt>
              <c:pt idx="4">
                <c:v>373.26919928716251</c:v>
              </c:pt>
              <c:pt idx="5">
                <c:v>196.96117777959938</c:v>
              </c:pt>
              <c:pt idx="6">
                <c:v>71.480083859985456</c:v>
              </c:pt>
              <c:pt idx="7">
                <c:v>-3922.2236004073457</c:v>
              </c:pt>
              <c:pt idx="8">
                <c:v>-4075.693184718195</c:v>
              </c:pt>
              <c:pt idx="9">
                <c:v>-4508.7569813034861</c:v>
              </c:pt>
              <c:pt idx="10">
                <c:v>-5267.7495304310696</c:v>
              </c:pt>
              <c:pt idx="11">
                <c:v>-6806.8800315283952</c:v>
              </c:pt>
              <c:pt idx="12">
                <c:v>-11183.558200650175</c:v>
              </c:pt>
              <c:pt idx="13">
                <c:v>-82088.3492510941</c:v>
              </c:pt>
              <c:pt idx="14">
                <c:v>10812.846474150563</c:v>
              </c:pt>
              <c:pt idx="15">
                <c:v>4228.4571297445455</c:v>
              </c:pt>
              <c:pt idx="16">
                <c:v>2276.2197718974926</c:v>
              </c:pt>
              <c:pt idx="17">
                <c:v>1360.3945749522663</c:v>
              </c:pt>
              <c:pt idx="18">
                <c:v>840.83336076277408</c:v>
              </c:pt>
              <c:pt idx="19">
                <c:v>513.92096726413104</c:v>
              </c:pt>
              <c:pt idx="20">
                <c:v>294.69993058977724</c:v>
              </c:pt>
              <c:pt idx="21">
                <c:v>141.44868881101283</c:v>
              </c:pt>
              <c:pt idx="22">
                <c:v>31.298317786072293</c:v>
              </c:pt>
              <c:pt idx="23">
                <c:v>-49.322706274496738</c:v>
              </c:pt>
              <c:pt idx="24">
                <c:v>-108.96769213043139</c:v>
              </c:pt>
              <c:pt idx="25">
                <c:v>-153.28719941065035</c:v>
              </c:pt>
              <c:pt idx="26">
                <c:v>-186.15795851296673</c:v>
              </c:pt>
              <c:pt idx="27">
                <c:v>-210.32326954799618</c:v>
              </c:pt>
              <c:pt idx="28">
                <c:v>-227.77490615437119</c:v>
              </c:pt>
              <c:pt idx="29">
                <c:v>-239.99056907466758</c:v>
              </c:pt>
              <c:pt idx="30">
                <c:v>-254.24697198916883</c:v>
              </c:pt>
              <c:pt idx="31">
                <c:v>-253.99529465096654</c:v>
              </c:pt>
              <c:pt idx="32">
                <c:v>-245.43313204497588</c:v>
              </c:pt>
              <c:pt idx="33">
                <c:v>-232.19321594791663</c:v>
              </c:pt>
              <c:pt idx="34">
                <c:v>-216.48542556180152</c:v>
              </c:pt>
              <c:pt idx="35">
                <c:v>-183.44899239270597</c:v>
              </c:pt>
              <c:pt idx="36">
                <c:v>-151.36448052906778</c:v>
              </c:pt>
              <c:pt idx="37">
                <c:v>-122.40753039022918</c:v>
              </c:pt>
              <c:pt idx="38">
                <c:v>-97.26286733672805</c:v>
              </c:pt>
              <c:pt idx="39">
                <c:v>-75.941427202846242</c:v>
              </c:pt>
              <c:pt idx="40">
                <c:v>-44.673298108686453</c:v>
              </c:pt>
              <c:pt idx="41">
                <c:v>-23.48041383501868</c:v>
              </c:pt>
              <c:pt idx="42">
                <c:v>-9.6337927333820428</c:v>
              </c:pt>
              <c:pt idx="43">
                <c:v>-0.94011637662862091</c:v>
              </c:pt>
              <c:pt idx="44">
                <c:v>4.2354290654469056</c:v>
              </c:pt>
              <c:pt idx="45">
                <c:v>7.0652522257580177</c:v>
              </c:pt>
              <c:pt idx="46">
                <c:v>8.369910868605638</c:v>
              </c:pt>
              <c:pt idx="47">
                <c:v>8.7131867367997007</c:v>
              </c:pt>
              <c:pt idx="48">
                <c:v>7.7584133453030999</c:v>
              </c:pt>
              <c:pt idx="49">
                <c:v>6.0466631967567324</c:v>
              </c:pt>
              <c:pt idx="50">
                <c:v>4.4219236280686642</c:v>
              </c:pt>
              <c:pt idx="51">
                <c:v>3.1222701867936342</c:v>
              </c:pt>
              <c:pt idx="52">
                <c:v>2.1591700284492275</c:v>
              </c:pt>
              <c:pt idx="53">
                <c:v>1.4740132776590624</c:v>
              </c:pt>
              <c:pt idx="54">
                <c:v>0.7543106912027967</c:v>
              </c:pt>
              <c:pt idx="55">
                <c:v>0.38148521515412592</c:v>
              </c:pt>
              <c:pt idx="56">
                <c:v>0.19182555395972706</c:v>
              </c:pt>
              <c:pt idx="57">
                <c:v>9.6183573259708444E-2</c:v>
              </c:pt>
              <c:pt idx="58">
                <c:v>4.8159493148495047E-2</c:v>
              </c:pt>
              <c:pt idx="59">
                <c:v>2.4096674134253756E-2</c:v>
              </c:pt>
              <c:pt idx="60">
                <c:v>1.2052569073375548E-2</c:v>
              </c:pt>
              <c:pt idx="61">
                <c:v>6.0273425527779482E-3</c:v>
              </c:pt>
              <c:pt idx="62">
                <c:v>3.0139357822273377E-3</c:v>
              </c:pt>
              <c:pt idx="63">
                <c:v>1.5070340178002261E-3</c:v>
              </c:pt>
              <c:pt idx="64">
                <c:v>7.5353354060012253E-4</c:v>
              </c:pt>
              <c:pt idx="65">
                <c:v>3.7677090322860976E-4</c:v>
              </c:pt>
            </c:numLit>
          </c:yVal>
          <c:smooth val="0"/>
        </c:ser>
        <c:ser>
          <c:idx val="2"/>
          <c:order val="2"/>
          <c:tx>
            <c:v>0.95 Tc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5"/>
              <c:pt idx="0">
                <c:v>0.15151622829817074</c:v>
              </c:pt>
              <c:pt idx="1">
                <c:v>0.15909203971307928</c:v>
              </c:pt>
              <c:pt idx="2">
                <c:v>0.16704664169873326</c:v>
              </c:pt>
              <c:pt idx="3">
                <c:v>0.17539897378366992</c:v>
              </c:pt>
              <c:pt idx="4">
                <c:v>0.18416892247285344</c:v>
              </c:pt>
              <c:pt idx="5">
                <c:v>0.19337736859649612</c:v>
              </c:pt>
              <c:pt idx="6">
                <c:v>0.20304623702632094</c:v>
              </c:pt>
              <c:pt idx="7">
                <c:v>0.21319854887763698</c:v>
              </c:pt>
              <c:pt idx="8">
                <c:v>0.22385847632151884</c:v>
              </c:pt>
              <c:pt idx="9">
                <c:v>0.23505140013759479</c:v>
              </c:pt>
              <c:pt idx="10">
                <c:v>0.24680397014447453</c:v>
              </c:pt>
              <c:pt idx="11">
                <c:v>0.25914416865169826</c:v>
              </c:pt>
              <c:pt idx="12">
                <c:v>0.27210137708428317</c:v>
              </c:pt>
              <c:pt idx="13">
                <c:v>0.28570644593849737</c:v>
              </c:pt>
              <c:pt idx="14">
                <c:v>0.2914205748572673</c:v>
              </c:pt>
              <c:pt idx="15">
                <c:v>0.29724898635441266</c:v>
              </c:pt>
              <c:pt idx="16">
                <c:v>0.3031939660815009</c:v>
              </c:pt>
              <c:pt idx="17">
                <c:v>0.30925784540313095</c:v>
              </c:pt>
              <c:pt idx="18">
                <c:v>0.3154430023111936</c:v>
              </c:pt>
              <c:pt idx="19">
                <c:v>0.32175186235741748</c:v>
              </c:pt>
              <c:pt idx="20">
                <c:v>0.32818689960456582</c:v>
              </c:pt>
              <c:pt idx="21">
                <c:v>0.33475063759665713</c:v>
              </c:pt>
              <c:pt idx="22">
                <c:v>0.34144565034859026</c:v>
              </c:pt>
              <c:pt idx="23">
                <c:v>0.34827456335556206</c:v>
              </c:pt>
              <c:pt idx="24">
                <c:v>0.35524005462267333</c:v>
              </c:pt>
              <c:pt idx="25">
                <c:v>0.37300205735380704</c:v>
              </c:pt>
              <c:pt idx="26">
                <c:v>0.3916521602214974</c:v>
              </c:pt>
              <c:pt idx="27">
                <c:v>0.41123476823257227</c:v>
              </c:pt>
              <c:pt idx="28">
                <c:v>0.43179650664420088</c:v>
              </c:pt>
              <c:pt idx="29">
                <c:v>0.45338633197641093</c:v>
              </c:pt>
              <c:pt idx="30">
                <c:v>0.47605564857523147</c:v>
              </c:pt>
              <c:pt idx="31">
                <c:v>0.49985843100399308</c:v>
              </c:pt>
              <c:pt idx="32">
                <c:v>0.5248513525541928</c:v>
              </c:pt>
              <c:pt idx="33">
                <c:v>0.55109392018190251</c:v>
              </c:pt>
              <c:pt idx="34">
                <c:v>0.57864861619099761</c:v>
              </c:pt>
              <c:pt idx="35">
                <c:v>0.60758104700054749</c:v>
              </c:pt>
              <c:pt idx="36">
                <c:v>0.63796009935057485</c:v>
              </c:pt>
              <c:pt idx="37">
                <c:v>0.66985810431810366</c:v>
              </c:pt>
              <c:pt idx="38">
                <c:v>0.70335100953400886</c:v>
              </c:pt>
              <c:pt idx="39">
                <c:v>0.73851856001070937</c:v>
              </c:pt>
              <c:pt idx="40">
                <c:v>0.77544448801124488</c:v>
              </c:pt>
              <c:pt idx="41">
                <c:v>0.81421671241180715</c:v>
              </c:pt>
              <c:pt idx="42">
                <c:v>0.85492754803239757</c:v>
              </c:pt>
              <c:pt idx="43">
                <c:v>0.89767392543401747</c:v>
              </c:pt>
              <c:pt idx="44">
                <c:v>0.94255762170571844</c:v>
              </c:pt>
              <c:pt idx="45">
                <c:v>0.98968550279100442</c:v>
              </c:pt>
              <c:pt idx="46">
                <c:v>1.0391697779305547</c:v>
              </c:pt>
              <c:pt idx="47">
                <c:v>1.0911282668270825</c:v>
              </c:pt>
              <c:pt idx="48">
                <c:v>1.1456846801684366</c:v>
              </c:pt>
              <c:pt idx="49">
                <c:v>1.2029689141768585</c:v>
              </c:pt>
              <c:pt idx="50">
                <c:v>1.2631173598857015</c:v>
              </c:pt>
              <c:pt idx="51">
                <c:v>1.3262732278799867</c:v>
              </c:pt>
              <c:pt idx="52">
                <c:v>1.3925868892739861</c:v>
              </c:pt>
              <c:pt idx="53">
                <c:v>1.4622162337376854</c:v>
              </c:pt>
              <c:pt idx="54">
                <c:v>1.5353270454245698</c:v>
              </c:pt>
              <c:pt idx="55">
                <c:v>1.6120933976957983</c:v>
              </c:pt>
              <c:pt idx="56">
                <c:v>1.6926980675805883</c:v>
              </c:pt>
              <c:pt idx="57">
                <c:v>1.7773329709596177</c:v>
              </c:pt>
              <c:pt idx="58">
                <c:v>1.8661996195075987</c:v>
              </c:pt>
              <c:pt idx="59">
                <c:v>1.9595096004829788</c:v>
              </c:pt>
              <c:pt idx="60">
                <c:v>2.0574850805071279</c:v>
              </c:pt>
              <c:pt idx="61">
                <c:v>2.1603593345324845</c:v>
              </c:pt>
              <c:pt idx="62">
                <c:v>2.2683773012591089</c:v>
              </c:pt>
              <c:pt idx="63">
                <c:v>2.3817961663220646</c:v>
              </c:pt>
              <c:pt idx="64">
                <c:v>2.5008859746381678</c:v>
              </c:pt>
            </c:numLit>
          </c:xVal>
          <c:yVal>
            <c:numLit>
              <c:formatCode>General</c:formatCode>
              <c:ptCount val="65"/>
              <c:pt idx="0">
                <c:v>29988.964037382349</c:v>
              </c:pt>
              <c:pt idx="1">
                <c:v>4402.4924407318231</c:v>
              </c:pt>
              <c:pt idx="2">
                <c:v>2092.5808837629961</c:v>
              </c:pt>
              <c:pt idx="3">
                <c:v>1258.849550685979</c:v>
              </c:pt>
              <c:pt idx="4">
                <c:v>844.23517096160913</c:v>
              </c:pt>
              <c:pt idx="5">
                <c:v>604.55207650062732</c:v>
              </c:pt>
              <c:pt idx="6">
                <c:v>453.32610522323142</c:v>
              </c:pt>
              <c:pt idx="7">
                <c:v>352.30503079668796</c:v>
              </c:pt>
              <c:pt idx="8">
                <c:v>282.04755030905471</c:v>
              </c:pt>
              <c:pt idx="9">
                <c:v>231.68731851437482</c:v>
              </c:pt>
              <c:pt idx="10">
                <c:v>194.71755224761557</c:v>
              </c:pt>
              <c:pt idx="11">
                <c:v>167.03449862638922</c:v>
              </c:pt>
              <c:pt idx="12">
                <c:v>145.94397381943838</c:v>
              </c:pt>
              <c:pt idx="13">
                <c:v>129.62028809665898</c:v>
              </c:pt>
              <c:pt idx="14">
                <c:v>124.05054820585345</c:v>
              </c:pt>
              <c:pt idx="15">
                <c:v>118.98728480314264</c:v>
              </c:pt>
              <c:pt idx="16">
                <c:v>114.3732112205002</c:v>
              </c:pt>
              <c:pt idx="17">
                <c:v>110.15818106798218</c:v>
              </c:pt>
              <c:pt idx="18">
                <c:v>106.29819192270479</c:v>
              </c:pt>
              <c:pt idx="19">
                <c:v>102.75454632690635</c:v>
              </c:pt>
              <c:pt idx="20">
                <c:v>99.493142140594585</c:v>
              </c:pt>
              <c:pt idx="21">
                <c:v>96.483869816209591</c:v>
              </c:pt>
              <c:pt idx="22">
                <c:v>93.700098487869312</c:v>
              </c:pt>
              <c:pt idx="23">
                <c:v>91.118236177503533</c:v>
              </c:pt>
              <c:pt idx="24">
                <c:v>88.717352124810148</c:v>
              </c:pt>
              <c:pt idx="25">
                <c:v>83.460913224238027</c:v>
              </c:pt>
              <c:pt idx="26">
                <c:v>78.966163215899499</c:v>
              </c:pt>
              <c:pt idx="27">
                <c:v>75.060230989856095</c:v>
              </c:pt>
              <c:pt idx="28">
                <c:v>71.612129807179613</c:v>
              </c:pt>
              <c:pt idx="29">
                <c:v>68.522224181765125</c:v>
              </c:pt>
              <c:pt idx="30">
                <c:v>65.714518552958651</c:v>
              </c:pt>
              <c:pt idx="31">
                <c:v>63.130950276573387</c:v>
              </c:pt>
              <c:pt idx="32">
                <c:v>60.727126024908003</c:v>
              </c:pt>
              <c:pt idx="33">
                <c:v>58.469110479968577</c:v>
              </c:pt>
              <c:pt idx="34">
                <c:v>56.330990607489184</c:v>
              </c:pt>
              <c:pt idx="35">
                <c:v>54.293017149808158</c:v>
              </c:pt>
              <c:pt idx="36">
                <c:v>52.340179439262876</c:v>
              </c:pt>
              <c:pt idx="37">
                <c:v>50.461108011496563</c:v>
              </c:pt>
              <c:pt idx="38">
                <c:v>48.64722688001644</c:v>
              </c:pt>
              <c:pt idx="39">
                <c:v>46.892097094596735</c:v>
              </c:pt>
              <c:pt idx="40">
                <c:v>45.190907618142354</c:v>
              </c:pt>
              <c:pt idx="41">
                <c:v>43.540080169350738</c:v>
              </c:pt>
              <c:pt idx="42">
                <c:v>41.93696256315188</c:v>
              </c:pt>
              <c:pt idx="43">
                <c:v>40.379590986725319</c:v>
              </c:pt>
              <c:pt idx="44">
                <c:v>38.866506105796546</c:v>
              </c:pt>
              <c:pt idx="45">
                <c:v>37.396611282601889</c:v>
              </c:pt>
              <c:pt idx="46">
                <c:v>35.969063776648589</c:v>
              </c:pt>
              <c:pt idx="47">
                <c:v>34.583191791183211</c:v>
              </c:pt>
              <c:pt idx="48">
                <c:v>33.238431768262174</c:v>
              </c:pt>
              <c:pt idx="49">
                <c:v>31.934281531689365</c:v>
              </c:pt>
              <c:pt idx="50">
                <c:v>30.670265810546187</c:v>
              </c:pt>
              <c:pt idx="51">
                <c:v>29.445911407205273</c:v>
              </c:pt>
              <c:pt idx="52">
                <c:v>28.260729848420127</c:v>
              </c:pt>
              <c:pt idx="53">
                <c:v>27.114205811187585</c:v>
              </c:pt>
              <c:pt idx="54">
                <c:v>26.00578997326495</c:v>
              </c:pt>
              <c:pt idx="55">
                <c:v>24.934895222016799</c:v>
              </c:pt>
              <c:pt idx="56">
                <c:v>23.900895380536909</c:v>
              </c:pt>
              <c:pt idx="57">
                <c:v>22.903125789069751</c:v>
              </c:pt>
              <c:pt idx="58">
                <c:v>21.940885222265273</c:v>
              </c:pt>
              <c:pt idx="59">
                <c:v>21.013438736279635</c:v>
              </c:pt>
              <c:pt idx="60">
                <c:v>20.120021130112608</c:v>
              </c:pt>
              <c:pt idx="61">
                <c:v>19.259840777531259</c:v>
              </c:pt>
              <c:pt idx="62">
                <c:v>18.432083643174561</c:v>
              </c:pt>
              <c:pt idx="63">
                <c:v>17.635917341909622</c:v>
              </c:pt>
              <c:pt idx="64">
                <c:v>16.870495136561559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25664"/>
        <c:axId val="214631936"/>
      </c:scatterChart>
      <c:valAx>
        <c:axId val="214625664"/>
        <c:scaling>
          <c:logBase val="10"/>
          <c:orientation val="minMax"/>
          <c:max val="1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1000/T, [1/K]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31936"/>
        <c:crossesAt val="-100000"/>
        <c:crossBetween val="midCat"/>
        <c:majorUnit val="10"/>
        <c:minorUnit val="10"/>
      </c:valAx>
      <c:valAx>
        <c:axId val="214631936"/>
        <c:scaling>
          <c:orientation val="minMax"/>
          <c:max val="100"/>
          <c:min val="-600"/>
        </c:scaling>
        <c:delete val="0"/>
        <c:axPos val="l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Pressure, P [kPa]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25664"/>
        <c:crossesAt val="9.9999999999999995E-7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44420800030132"/>
          <c:y val="5.2941252500649849E-2"/>
          <c:w val="0.6969715720008286"/>
          <c:h val="0.7205892701477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'a = a(T)'!$A$1</c:f>
              <c:strCache>
                <c:ptCount val="1"/>
                <c:pt idx="0">
                  <c:v>Cyclohexane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'a = a(T)'!$I$26:$I$47</c:f>
              <c:numCache>
                <c:formatCode>General</c:formatCode>
                <c:ptCount val="22"/>
                <c:pt idx="0">
                  <c:v>0.4903161698283649</c:v>
                </c:pt>
                <c:pt idx="1">
                  <c:v>0.47284805537694996</c:v>
                </c:pt>
                <c:pt idx="2">
                  <c:v>0.45478126581672307</c:v>
                </c:pt>
                <c:pt idx="3">
                  <c:v>0.43609528308393386</c:v>
                </c:pt>
                <c:pt idx="4">
                  <c:v>0.41676888591048322</c:v>
                </c:pt>
                <c:pt idx="5">
                  <c:v>0.39678012572338617</c:v>
                </c:pt>
                <c:pt idx="6">
                  <c:v>0.37610630171825021</c:v>
                </c:pt>
                <c:pt idx="7">
                  <c:v>0.35472393507846067</c:v>
                </c:pt>
                <c:pt idx="8">
                  <c:v>0.33260874231079463</c:v>
                </c:pt>
                <c:pt idx="9">
                  <c:v>0.30973560766718045</c:v>
                </c:pt>
                <c:pt idx="10">
                  <c:v>0.28607855462128395</c:v>
                </c:pt>
                <c:pt idx="11">
                  <c:v>0.26161071636752686</c:v>
                </c:pt>
                <c:pt idx="12">
                  <c:v>0.23630430530903435</c:v>
                </c:pt>
                <c:pt idx="13">
                  <c:v>0.21013058149985975</c:v>
                </c:pt>
                <c:pt idx="14">
                  <c:v>0.18305982000564736</c:v>
                </c:pt>
                <c:pt idx="15">
                  <c:v>0.15506127714566431</c:v>
                </c:pt>
                <c:pt idx="16">
                  <c:v>0.12610315557786478</c:v>
                </c:pt>
                <c:pt idx="17">
                  <c:v>9.6152568187333642E-2</c:v>
                </c:pt>
                <c:pt idx="18">
                  <c:v>6.5175500737098213E-2</c:v>
                </c:pt>
                <c:pt idx="19">
                  <c:v>3.3136773238892081E-2</c:v>
                </c:pt>
                <c:pt idx="20">
                  <c:v>3.3136773238894301E-3</c:v>
                </c:pt>
                <c:pt idx="21">
                  <c:v>0</c:v>
                </c:pt>
              </c:numCache>
            </c:numRef>
          </c:xVal>
          <c:yVal>
            <c:numRef>
              <c:f>'a = a(T)'!$G$26:$G$47</c:f>
              <c:numCache>
                <c:formatCode>General</c:formatCode>
                <c:ptCount val="22"/>
                <c:pt idx="0">
                  <c:v>0.42566799849933679</c:v>
                </c:pt>
                <c:pt idx="1">
                  <c:v>0.40865583681103806</c:v>
                </c:pt>
                <c:pt idx="2">
                  <c:v>0.3914151395900114</c:v>
                </c:pt>
                <c:pt idx="3">
                  <c:v>0.37391017970552815</c:v>
                </c:pt>
                <c:pt idx="4">
                  <c:v>0.35610935725167692</c:v>
                </c:pt>
                <c:pt idx="5">
                  <c:v>0.33798601800617606</c:v>
                </c:pt>
                <c:pt idx="6">
                  <c:v>0.31951925167262019</c:v>
                </c:pt>
                <c:pt idx="7">
                  <c:v>0.30069462918409434</c:v>
                </c:pt>
                <c:pt idx="8">
                  <c:v>0.28150484804305292</c:v>
                </c:pt>
                <c:pt idx="9">
                  <c:v>0.26164349069330334</c:v>
                </c:pt>
                <c:pt idx="10">
                  <c:v>0.24150945549991346</c:v>
                </c:pt>
                <c:pt idx="11">
                  <c:v>0.22091267901359618</c:v>
                </c:pt>
                <c:pt idx="12">
                  <c:v>0.19982407239104555</c:v>
                </c:pt>
                <c:pt idx="13">
                  <c:v>0.17820051048087707</c:v>
                </c:pt>
                <c:pt idx="14">
                  <c:v>0.15597445578393471</c:v>
                </c:pt>
                <c:pt idx="15">
                  <c:v>0.13303971877674572</c:v>
                </c:pt>
                <c:pt idx="16">
                  <c:v>0.10922435024044506</c:v>
                </c:pt>
                <c:pt idx="17">
                  <c:v>8.4302887920996036E-2</c:v>
                </c:pt>
                <c:pt idx="18">
                  <c:v>5.798347240077701E-2</c:v>
                </c:pt>
                <c:pt idx="19">
                  <c:v>3.0035659480420009E-2</c:v>
                </c:pt>
                <c:pt idx="20">
                  <c:v>3.5849577097656102E-3</c:v>
                </c:pt>
                <c:pt idx="21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 = a(T)'!$A$1</c:f>
              <c:strCache>
                <c:ptCount val="1"/>
                <c:pt idx="0">
                  <c:v>Cyclohexane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 = a(T)'!$I$26:$I$47</c:f>
              <c:numCache>
                <c:formatCode>General</c:formatCode>
                <c:ptCount val="22"/>
                <c:pt idx="0">
                  <c:v>0.4903161698283649</c:v>
                </c:pt>
                <c:pt idx="1">
                  <c:v>0.47284805537694996</c:v>
                </c:pt>
                <c:pt idx="2">
                  <c:v>0.45478126581672307</c:v>
                </c:pt>
                <c:pt idx="3">
                  <c:v>0.43609528308393386</c:v>
                </c:pt>
                <c:pt idx="4">
                  <c:v>0.41676888591048322</c:v>
                </c:pt>
                <c:pt idx="5">
                  <c:v>0.39678012572338617</c:v>
                </c:pt>
                <c:pt idx="6">
                  <c:v>0.37610630171825021</c:v>
                </c:pt>
                <c:pt idx="7">
                  <c:v>0.35472393507846067</c:v>
                </c:pt>
                <c:pt idx="8">
                  <c:v>0.33260874231079463</c:v>
                </c:pt>
                <c:pt idx="9">
                  <c:v>0.30973560766718045</c:v>
                </c:pt>
                <c:pt idx="10">
                  <c:v>0.28607855462128395</c:v>
                </c:pt>
                <c:pt idx="11">
                  <c:v>0.26161071636752686</c:v>
                </c:pt>
                <c:pt idx="12">
                  <c:v>0.23630430530903435</c:v>
                </c:pt>
                <c:pt idx="13">
                  <c:v>0.21013058149985975</c:v>
                </c:pt>
                <c:pt idx="14">
                  <c:v>0.18305982000564736</c:v>
                </c:pt>
                <c:pt idx="15">
                  <c:v>0.15506127714566431</c:v>
                </c:pt>
                <c:pt idx="16">
                  <c:v>0.12610315557786478</c:v>
                </c:pt>
                <c:pt idx="17">
                  <c:v>9.6152568187333642E-2</c:v>
                </c:pt>
                <c:pt idx="18">
                  <c:v>6.5175500737098213E-2</c:v>
                </c:pt>
                <c:pt idx="19">
                  <c:v>3.3136773238892081E-2</c:v>
                </c:pt>
                <c:pt idx="20">
                  <c:v>3.3136773238894301E-3</c:v>
                </c:pt>
                <c:pt idx="21">
                  <c:v>0</c:v>
                </c:pt>
              </c:numCache>
            </c:numRef>
          </c:xVal>
          <c:yVal>
            <c:numRef>
              <c:f>'a = a(T)'!$J$26:$J$47</c:f>
              <c:numCache>
                <c:formatCode>General</c:formatCode>
                <c:ptCount val="22"/>
                <c:pt idx="0">
                  <c:v>0.41940344818118847</c:v>
                </c:pt>
                <c:pt idx="1">
                  <c:v>0.40446168634471547</c:v>
                </c:pt>
                <c:pt idx="2">
                  <c:v>0.38900783369740122</c:v>
                </c:pt>
                <c:pt idx="3">
                  <c:v>0.37302433963166548</c:v>
                </c:pt>
                <c:pt idx="4">
                  <c:v>0.35649305203757753</c:v>
                </c:pt>
                <c:pt idx="5">
                  <c:v>0.33939519668789581</c:v>
                </c:pt>
                <c:pt idx="6">
                  <c:v>0.32171135591658245</c:v>
                </c:pt>
                <c:pt idx="7">
                  <c:v>0.30342144656657805</c:v>
                </c:pt>
                <c:pt idx="8">
                  <c:v>0.28450469718179316</c:v>
                </c:pt>
                <c:pt idx="9">
                  <c:v>0.26493962441741248</c:v>
                </c:pt>
                <c:pt idx="10">
                  <c:v>0.24470400864172345</c:v>
                </c:pt>
                <c:pt idx="11">
                  <c:v>0.22377486870175883</c:v>
                </c:pt>
                <c:pt idx="12">
                  <c:v>0.20212843582409623</c:v>
                </c:pt>
                <c:pt idx="13">
                  <c:v>0.17974012662117411</c:v>
                </c:pt>
                <c:pt idx="14">
                  <c:v>0.15658451517246841</c:v>
                </c:pt>
                <c:pt idx="15">
                  <c:v>0.13263530414882177</c:v>
                </c:pt>
                <c:pt idx="16">
                  <c:v>0.10786529494713346</c:v>
                </c:pt>
                <c:pt idx="17">
                  <c:v>8.2246356801491852E-2</c:v>
                </c:pt>
                <c:pt idx="18">
                  <c:v>5.5749394835669264E-2</c:v>
                </c:pt>
                <c:pt idx="19">
                  <c:v>2.8344317020697781E-2</c:v>
                </c:pt>
                <c:pt idx="20">
                  <c:v>2.8344317020699678E-3</c:v>
                </c:pt>
                <c:pt idx="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74048"/>
        <c:axId val="214676224"/>
      </c:scatterChart>
      <c:valAx>
        <c:axId val="214674048"/>
        <c:scaling>
          <c:orientation val="minMax"/>
          <c:max val="0.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4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1 - </a:t>
                </a:r>
                <a:r>
                  <a:rPr lang="en-GB" sz="14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GB" sz="1450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52892704278323754"/>
              <c:y val="0.879413027649683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76224"/>
        <c:crossesAt val="-10000"/>
        <c:crossBetween val="midCat"/>
        <c:majorUnit val="0.1"/>
        <c:minorUnit val="0.05"/>
      </c:valAx>
      <c:valAx>
        <c:axId val="214676224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550" b="0" i="0" u="none" strike="noStrike" baseline="0">
                    <a:solidFill>
                      <a:srgbClr val="000000"/>
                    </a:solidFill>
                    <a:latin typeface="MT Extra"/>
                    <a:ea typeface="MT Extra"/>
                    <a:cs typeface="MT Extra"/>
                  </a:defRPr>
                </a:pPr>
                <a:r>
                  <a:rPr lang="en-GB" sz="1550" b="0" i="0" u="none" strike="noStrike" baseline="0">
                    <a:solidFill>
                      <a:srgbClr val="000000"/>
                    </a:solidFill>
                    <a:latin typeface="MT Extra"/>
                  </a:rPr>
                  <a:t>l</a:t>
                </a:r>
                <a:r>
                  <a:rPr lang="en-GB" sz="15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n</a:t>
                </a:r>
                <a:r>
                  <a:rPr lang="en-GB" sz="15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(</a:t>
                </a:r>
                <a:r>
                  <a:rPr lang="en-GB" sz="15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GB" sz="15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(</a:t>
                </a:r>
                <a:r>
                  <a:rPr lang="en-GB" sz="15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GB" sz="15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)/</a:t>
                </a:r>
                <a:r>
                  <a:rPr lang="en-GB" sz="15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GB" sz="1550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</a:t>
                </a:r>
                <a:r>
                  <a:rPr lang="en-GB" sz="15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377414173914681E-2"/>
              <c:y val="0.229412094169482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74048"/>
        <c:crossesAt val="0"/>
        <c:crossBetween val="midCat"/>
        <c:majorUnit val="0.1"/>
        <c:minorUnit val="0.0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35812768521781707"/>
          <c:y val="0.1000001436123386"/>
          <c:w val="0.38843079704394007"/>
          <c:h val="0.1529413961129884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8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927606792365242"/>
          <c:y val="5.2341738608757876E-2"/>
          <c:w val="0.70434981983078526"/>
          <c:h val="0.7272746838269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'a = a(T)'!$A$1</c:f>
              <c:strCache>
                <c:ptCount val="1"/>
                <c:pt idx="0">
                  <c:v>Cyclohexane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66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'a = a(T)'!$O$26:$O$47</c:f>
              <c:numCache>
                <c:formatCode>General</c:formatCode>
                <c:ptCount val="22"/>
                <c:pt idx="0">
                  <c:v>0.28607855462128395</c:v>
                </c:pt>
                <c:pt idx="1">
                  <c:v>0.27394769842452116</c:v>
                </c:pt>
                <c:pt idx="2">
                  <c:v>0.26161071636752686</c:v>
                </c:pt>
                <c:pt idx="3">
                  <c:v>0.2490641059876908</c:v>
                </c:pt>
                <c:pt idx="4">
                  <c:v>0.23630430530903423</c:v>
                </c:pt>
                <c:pt idx="5">
                  <c:v>0.22332769183096668</c:v>
                </c:pt>
                <c:pt idx="6">
                  <c:v>0.21013058149985975</c:v>
                </c:pt>
                <c:pt idx="7">
                  <c:v>0.19670922766314602</c:v>
                </c:pt>
                <c:pt idx="8">
                  <c:v>0.18305982000564736</c:v>
                </c:pt>
                <c:pt idx="9">
                  <c:v>0.16917848346782716</c:v>
                </c:pt>
                <c:pt idx="10">
                  <c:v>0.1550612771456642</c:v>
                </c:pt>
                <c:pt idx="11">
                  <c:v>0.14070419317183147</c:v>
                </c:pt>
                <c:pt idx="12">
                  <c:v>0.12610315557786478</c:v>
                </c:pt>
                <c:pt idx="13">
                  <c:v>0.11125401913699762</c:v>
                </c:pt>
                <c:pt idx="14">
                  <c:v>9.6152568187333642E-2</c:v>
                </c:pt>
                <c:pt idx="15">
                  <c:v>8.0794515435022141E-2</c:v>
                </c:pt>
                <c:pt idx="16">
                  <c:v>6.5175500737098102E-2</c:v>
                </c:pt>
                <c:pt idx="17">
                  <c:v>4.9291089863639503E-2</c:v>
                </c:pt>
                <c:pt idx="18">
                  <c:v>3.313677323889197E-2</c:v>
                </c:pt>
                <c:pt idx="19">
                  <c:v>1.6707964661002661E-2</c:v>
                </c:pt>
                <c:pt idx="20">
                  <c:v>1.6582134979471475E-3</c:v>
                </c:pt>
                <c:pt idx="21">
                  <c:v>0</c:v>
                </c:pt>
              </c:numCache>
            </c:numRef>
          </c:xVal>
          <c:yVal>
            <c:numRef>
              <c:f>'a = a(T)'!$P$26:$P$47</c:f>
              <c:numCache>
                <c:formatCode>0.000</c:formatCode>
                <c:ptCount val="22"/>
                <c:pt idx="0">
                  <c:v>0.23717926151094204</c:v>
                </c:pt>
                <c:pt idx="1">
                  <c:v>0.22670034513080517</c:v>
                </c:pt>
                <c:pt idx="2">
                  <c:v>0.21617120813284574</c:v>
                </c:pt>
                <c:pt idx="3">
                  <c:v>0.2055731413668509</c:v>
                </c:pt>
                <c:pt idx="4">
                  <c:v>0.1948906544276312</c:v>
                </c:pt>
                <c:pt idx="5">
                  <c:v>0.18411186077267105</c:v>
                </c:pt>
                <c:pt idx="6">
                  <c:v>0.1732288231974739</c:v>
                </c:pt>
                <c:pt idx="7">
                  <c:v>0.16223783479697307</c:v>
                </c:pt>
                <c:pt idx="8">
                  <c:v>0.1511396181856024</c:v>
                </c:pt>
                <c:pt idx="9">
                  <c:v>0.13976459486030746</c:v>
                </c:pt>
                <c:pt idx="10">
                  <c:v>0.12834812594103506</c:v>
                </c:pt>
                <c:pt idx="11">
                  <c:v>0.11678758849075566</c:v>
                </c:pt>
                <c:pt idx="12">
                  <c:v>0.10507370731267307</c:v>
                </c:pt>
                <c:pt idx="13">
                  <c:v>9.3190248883871174E-2</c:v>
                </c:pt>
                <c:pt idx="14">
                  <c:v>8.1108850542869648E-2</c:v>
                </c:pt>
                <c:pt idx="15">
                  <c:v>6.8782189224995349E-2</c:v>
                </c:pt>
                <c:pt idx="16">
                  <c:v>5.6130941384509914E-2</c:v>
                </c:pt>
                <c:pt idx="17">
                  <c:v>4.3052430781145512E-2</c:v>
                </c:pt>
                <c:pt idx="18">
                  <c:v>2.9416087551716652E-2</c:v>
                </c:pt>
                <c:pt idx="19">
                  <c:v>1.5131163979297924E-2</c:v>
                </c:pt>
                <c:pt idx="20">
                  <c:v>1.7940863054022316E-3</c:v>
                </c:pt>
                <c:pt idx="21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 = a(T)'!$O$26:$O$47</c:f>
              <c:numCache>
                <c:formatCode>General</c:formatCode>
                <c:ptCount val="22"/>
                <c:pt idx="0">
                  <c:v>0.28607855462128395</c:v>
                </c:pt>
                <c:pt idx="1">
                  <c:v>0.27394769842452116</c:v>
                </c:pt>
                <c:pt idx="2">
                  <c:v>0.26161071636752686</c:v>
                </c:pt>
                <c:pt idx="3">
                  <c:v>0.2490641059876908</c:v>
                </c:pt>
                <c:pt idx="4">
                  <c:v>0.23630430530903423</c:v>
                </c:pt>
                <c:pt idx="5">
                  <c:v>0.22332769183096668</c:v>
                </c:pt>
                <c:pt idx="6">
                  <c:v>0.21013058149985975</c:v>
                </c:pt>
                <c:pt idx="7">
                  <c:v>0.19670922766314602</c:v>
                </c:pt>
                <c:pt idx="8">
                  <c:v>0.18305982000564736</c:v>
                </c:pt>
                <c:pt idx="9">
                  <c:v>0.16917848346782716</c:v>
                </c:pt>
                <c:pt idx="10">
                  <c:v>0.1550612771456642</c:v>
                </c:pt>
                <c:pt idx="11">
                  <c:v>0.14070419317183147</c:v>
                </c:pt>
                <c:pt idx="12">
                  <c:v>0.12610315557786478</c:v>
                </c:pt>
                <c:pt idx="13">
                  <c:v>0.11125401913699762</c:v>
                </c:pt>
                <c:pt idx="14">
                  <c:v>9.6152568187333642E-2</c:v>
                </c:pt>
                <c:pt idx="15">
                  <c:v>8.0794515435022141E-2</c:v>
                </c:pt>
                <c:pt idx="16">
                  <c:v>6.5175500737098102E-2</c:v>
                </c:pt>
                <c:pt idx="17">
                  <c:v>4.9291089863639503E-2</c:v>
                </c:pt>
                <c:pt idx="18">
                  <c:v>3.313677323889197E-2</c:v>
                </c:pt>
                <c:pt idx="19">
                  <c:v>1.6707964661002661E-2</c:v>
                </c:pt>
                <c:pt idx="20">
                  <c:v>1.6582134979471475E-3</c:v>
                </c:pt>
                <c:pt idx="21">
                  <c:v>0</c:v>
                </c:pt>
              </c:numCache>
            </c:numRef>
          </c:xVal>
          <c:yVal>
            <c:numRef>
              <c:f>'a = a(T)'!$Q$26:$Q$47</c:f>
              <c:numCache>
                <c:formatCode>0.000</c:formatCode>
                <c:ptCount val="22"/>
                <c:pt idx="0">
                  <c:v>0.23681292059277773</c:v>
                </c:pt>
                <c:pt idx="1">
                  <c:v>0.22677112109805717</c:v>
                </c:pt>
                <c:pt idx="2">
                  <c:v>0.21655869271073844</c:v>
                </c:pt>
                <c:pt idx="3">
                  <c:v>0.20617273612786222</c:v>
                </c:pt>
                <c:pt idx="4">
                  <c:v>0.19561030278190752</c:v>
                </c:pt>
                <c:pt idx="5">
                  <c:v>0.18486839400369481</c:v>
                </c:pt>
                <c:pt idx="6">
                  <c:v>0.17394396017106512</c:v>
                </c:pt>
                <c:pt idx="7">
                  <c:v>0.16283389984309396</c:v>
                </c:pt>
                <c:pt idx="8">
                  <c:v>0.15153505887959448</c:v>
                </c:pt>
                <c:pt idx="9">
                  <c:v>0.14004422954565787</c:v>
                </c:pt>
                <c:pt idx="10">
                  <c:v>0.12835814960097994</c:v>
                </c:pt>
                <c:pt idx="11">
                  <c:v>0.11647350137371243</c:v>
                </c:pt>
                <c:pt idx="12">
                  <c:v>0.10438691081857773</c:v>
                </c:pt>
                <c:pt idx="13">
                  <c:v>9.2094946558979318E-2</c:v>
                </c:pt>
                <c:pt idx="14">
                  <c:v>7.9594118912835868E-2</c:v>
                </c:pt>
                <c:pt idx="15">
                  <c:v>6.6880878901862159E-2</c:v>
                </c:pt>
                <c:pt idx="16">
                  <c:v>5.3951617244016356E-2</c:v>
                </c:pt>
                <c:pt idx="17">
                  <c:v>4.0802663328826434E-2</c:v>
                </c:pt>
                <c:pt idx="18">
                  <c:v>2.7430284175305956E-2</c:v>
                </c:pt>
                <c:pt idx="19">
                  <c:v>1.38306833721628E-2</c:v>
                </c:pt>
                <c:pt idx="20">
                  <c:v>1.3726522840381218E-3</c:v>
                </c:pt>
                <c:pt idx="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06048"/>
        <c:axId val="214720512"/>
      </c:scatterChart>
      <c:valAx>
        <c:axId val="214706048"/>
        <c:scaling>
          <c:orientation val="minMax"/>
          <c:max val="0.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1 - </a:t>
                </a:r>
                <a:r>
                  <a:rPr lang="en-GB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GB" sz="1175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R</a:t>
                </a:r>
                <a:r>
                  <a:rPr lang="en-GB" sz="1175" b="0" i="0" u="none" strike="noStrike" baseline="30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1/2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51304493049402877"/>
              <c:y val="0.887054728001054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720512"/>
        <c:crossesAt val="-10000"/>
        <c:crossBetween val="midCat"/>
        <c:majorUnit val="0.1"/>
        <c:minorUnit val="0.05"/>
      </c:valAx>
      <c:valAx>
        <c:axId val="214720512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1- sqrt[(</a:t>
                </a:r>
                <a:r>
                  <a:rPr lang="en-GB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(</a:t>
                </a:r>
                <a:r>
                  <a:rPr lang="en-GB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)/</a:t>
                </a:r>
                <a:r>
                  <a:rPr lang="en-GB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GB" sz="1175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</a:t>
                </a: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5072619657551114E-2"/>
              <c:y val="0.2534442080003013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706048"/>
        <c:crossesAt val="0"/>
        <c:crossBetween val="midCat"/>
        <c:majorUnit val="0.1"/>
        <c:minorUnit val="0.0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9275445186382432"/>
          <c:y val="7.7135193739222133E-2"/>
          <c:w val="0.38260977867351298"/>
          <c:h val="0.132231760695809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8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49869451697128"/>
          <c:y val="4.7244215582491547E-2"/>
          <c:w val="0.7232375979112271"/>
          <c:h val="0.727035984241675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'a = a(T)'!$R$22</c:f>
              <c:strCache>
                <c:ptCount val="1"/>
                <c:pt idx="0">
                  <c:v>Soave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66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'a = a(T)'!$I$26:$I$47</c:f>
              <c:numCache>
                <c:formatCode>General</c:formatCode>
                <c:ptCount val="22"/>
                <c:pt idx="0">
                  <c:v>0.4903161698283649</c:v>
                </c:pt>
                <c:pt idx="1">
                  <c:v>0.47284805537694996</c:v>
                </c:pt>
                <c:pt idx="2">
                  <c:v>0.45478126581672307</c:v>
                </c:pt>
                <c:pt idx="3">
                  <c:v>0.43609528308393386</c:v>
                </c:pt>
                <c:pt idx="4">
                  <c:v>0.41676888591048322</c:v>
                </c:pt>
                <c:pt idx="5">
                  <c:v>0.39678012572338617</c:v>
                </c:pt>
                <c:pt idx="6">
                  <c:v>0.37610630171825021</c:v>
                </c:pt>
                <c:pt idx="7">
                  <c:v>0.35472393507846067</c:v>
                </c:pt>
                <c:pt idx="8">
                  <c:v>0.33260874231079463</c:v>
                </c:pt>
                <c:pt idx="9">
                  <c:v>0.30973560766718045</c:v>
                </c:pt>
                <c:pt idx="10">
                  <c:v>0.28607855462128395</c:v>
                </c:pt>
                <c:pt idx="11">
                  <c:v>0.26161071636752686</c:v>
                </c:pt>
                <c:pt idx="12">
                  <c:v>0.23630430530903435</c:v>
                </c:pt>
                <c:pt idx="13">
                  <c:v>0.21013058149985975</c:v>
                </c:pt>
                <c:pt idx="14">
                  <c:v>0.18305982000564736</c:v>
                </c:pt>
                <c:pt idx="15">
                  <c:v>0.15506127714566431</c:v>
                </c:pt>
                <c:pt idx="16">
                  <c:v>0.12610315557786478</c:v>
                </c:pt>
                <c:pt idx="17">
                  <c:v>9.6152568187333642E-2</c:v>
                </c:pt>
                <c:pt idx="18">
                  <c:v>6.5175500737098213E-2</c:v>
                </c:pt>
                <c:pt idx="19">
                  <c:v>3.3136773238892081E-2</c:v>
                </c:pt>
                <c:pt idx="20">
                  <c:v>3.3136773238894301E-3</c:v>
                </c:pt>
                <c:pt idx="21">
                  <c:v>0</c:v>
                </c:pt>
              </c:numCache>
            </c:numRef>
          </c:xVal>
          <c:yVal>
            <c:numRef>
              <c:f>'a = a(T)'!$S$26:$S$47</c:f>
              <c:numCache>
                <c:formatCode>0.00</c:formatCode>
                <c:ptCount val="22"/>
                <c:pt idx="0">
                  <c:v>5.9213194237792435E-2</c:v>
                </c:pt>
                <c:pt idx="1">
                  <c:v>-1.1539575950333381E-2</c:v>
                </c:pt>
                <c:pt idx="2">
                  <c:v>-6.3732195528792085E-2</c:v>
                </c:pt>
                <c:pt idx="3">
                  <c:v>-9.9495226858554497E-2</c:v>
                </c:pt>
                <c:pt idx="4">
                  <c:v>-0.12049053415654389</c:v>
                </c:pt>
                <c:pt idx="5">
                  <c:v>-0.12782152294302981</c:v>
                </c:pt>
                <c:pt idx="6">
                  <c:v>-0.12194636099951715</c:v>
                </c:pt>
                <c:pt idx="7">
                  <c:v>-0.10259825952421307</c:v>
                </c:pt>
                <c:pt idx="8">
                  <c:v>-6.8716011306673083E-2</c:v>
                </c:pt>
                <c:pt idx="9">
                  <c:v>-4.9074868616202805E-2</c:v>
                </c:pt>
                <c:pt idx="10">
                  <c:v>-1.7767042346316781E-3</c:v>
                </c:pt>
                <c:pt idx="11">
                  <c:v>5.624040831032627E-2</c:v>
                </c:pt>
                <c:pt idx="12">
                  <c:v>0.12426014113974843</c:v>
                </c:pt>
                <c:pt idx="13">
                  <c:v>0.20028601915702673</c:v>
                </c:pt>
                <c:pt idx="14">
                  <c:v>0.28002184812786385</c:v>
                </c:pt>
                <c:pt idx="15">
                  <c:v>0.35547357994253437</c:v>
                </c:pt>
                <c:pt idx="16">
                  <c:v>0.41227380803369901</c:v>
                </c:pt>
                <c:pt idx="17">
                  <c:v>0.43091624467260248</c:v>
                </c:pt>
                <c:pt idx="18">
                  <c:v>0.38543948077363438</c:v>
                </c:pt>
                <c:pt idx="19">
                  <c:v>0.25605510556940964</c:v>
                </c:pt>
                <c:pt idx="20">
                  <c:v>8.4118160177309845E-2</c:v>
                </c:pt>
                <c:pt idx="21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 = a(T)'!$L$22</c:f>
              <c:strCache>
                <c:ptCount val="1"/>
                <c:pt idx="0">
                  <c:v>Adachi-Lu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'a = a(T)'!$I$26:$I$47</c:f>
              <c:numCache>
                <c:formatCode>General</c:formatCode>
                <c:ptCount val="22"/>
                <c:pt idx="0">
                  <c:v>0.4903161698283649</c:v>
                </c:pt>
                <c:pt idx="1">
                  <c:v>0.47284805537694996</c:v>
                </c:pt>
                <c:pt idx="2">
                  <c:v>0.45478126581672307</c:v>
                </c:pt>
                <c:pt idx="3">
                  <c:v>0.43609528308393386</c:v>
                </c:pt>
                <c:pt idx="4">
                  <c:v>0.41676888591048322</c:v>
                </c:pt>
                <c:pt idx="5">
                  <c:v>0.39678012572338617</c:v>
                </c:pt>
                <c:pt idx="6">
                  <c:v>0.37610630171825021</c:v>
                </c:pt>
                <c:pt idx="7">
                  <c:v>0.35472393507846067</c:v>
                </c:pt>
                <c:pt idx="8">
                  <c:v>0.33260874231079463</c:v>
                </c:pt>
                <c:pt idx="9">
                  <c:v>0.30973560766718045</c:v>
                </c:pt>
                <c:pt idx="10">
                  <c:v>0.28607855462128395</c:v>
                </c:pt>
                <c:pt idx="11">
                  <c:v>0.26161071636752686</c:v>
                </c:pt>
                <c:pt idx="12">
                  <c:v>0.23630430530903435</c:v>
                </c:pt>
                <c:pt idx="13">
                  <c:v>0.21013058149985975</c:v>
                </c:pt>
                <c:pt idx="14">
                  <c:v>0.18305982000564736</c:v>
                </c:pt>
                <c:pt idx="15">
                  <c:v>0.15506127714566431</c:v>
                </c:pt>
                <c:pt idx="16">
                  <c:v>0.12610315557786478</c:v>
                </c:pt>
                <c:pt idx="17">
                  <c:v>9.6152568187333642E-2</c:v>
                </c:pt>
                <c:pt idx="18">
                  <c:v>6.5175500737098213E-2</c:v>
                </c:pt>
                <c:pt idx="19">
                  <c:v>3.3136773238892081E-2</c:v>
                </c:pt>
                <c:pt idx="20">
                  <c:v>3.3136773238894301E-3</c:v>
                </c:pt>
                <c:pt idx="21">
                  <c:v>0</c:v>
                </c:pt>
              </c:numCache>
            </c:numRef>
          </c:xVal>
          <c:yVal>
            <c:numRef>
              <c:f>'a = a(T)'!$L$26:$L$47</c:f>
              <c:numCache>
                <c:formatCode>0.00</c:formatCode>
                <c:ptCount val="22"/>
                <c:pt idx="0">
                  <c:v>0.62449689336641512</c:v>
                </c:pt>
                <c:pt idx="1">
                  <c:v>0.41853673008519537</c:v>
                </c:pt>
                <c:pt idx="2">
                  <c:v>0.2404410655486349</c:v>
                </c:pt>
                <c:pt idx="3">
                  <c:v>8.8544783337379362E-2</c:v>
                </c:pt>
                <c:pt idx="4">
                  <c:v>-3.8376840616055848E-2</c:v>
                </c:pt>
                <c:pt idx="5">
                  <c:v>-0.1410172040550057</c:v>
                </c:pt>
                <c:pt idx="6">
                  <c:v>-0.21945086610603567</c:v>
                </c:pt>
                <c:pt idx="7">
                  <c:v>-0.27305385305307872</c:v>
                </c:pt>
                <c:pt idx="8">
                  <c:v>-0.30043531888653052</c:v>
                </c:pt>
                <c:pt idx="9">
                  <c:v>-0.33015719462669485</c:v>
                </c:pt>
                <c:pt idx="10">
                  <c:v>-0.31996611645330159</c:v>
                </c:pt>
                <c:pt idx="11">
                  <c:v>-0.28662896637709762</c:v>
                </c:pt>
                <c:pt idx="12">
                  <c:v>-0.23070205190383566</c:v>
                </c:pt>
                <c:pt idx="13">
                  <c:v>-0.15408019577165588</c:v>
                </c:pt>
                <c:pt idx="14">
                  <c:v>-6.1024551260929462E-2</c:v>
                </c:pt>
                <c:pt idx="15">
                  <c:v>4.0433286335106351E-2</c:v>
                </c:pt>
                <c:pt idx="16">
                  <c:v>0.13581321958940387</c:v>
                </c:pt>
                <c:pt idx="17">
                  <c:v>0.20544179082579581</c:v>
                </c:pt>
                <c:pt idx="18">
                  <c:v>0.22315838712051417</c:v>
                </c:pt>
                <c:pt idx="19">
                  <c:v>0.16899129461101031</c:v>
                </c:pt>
                <c:pt idx="20">
                  <c:v>7.5024443349886033E-2</c:v>
                </c:pt>
                <c:pt idx="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49952"/>
        <c:axId val="214752256"/>
      </c:scatterChart>
      <c:valAx>
        <c:axId val="214749952"/>
        <c:scaling>
          <c:orientation val="minMax"/>
          <c:max val="0.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1 - </a:t>
                </a:r>
                <a:r>
                  <a:rPr lang="en-GB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GB" sz="1175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53785900783289819"/>
              <c:y val="0.876642666919565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752256"/>
        <c:crossesAt val="-10000"/>
        <c:crossBetween val="midCat"/>
        <c:majorUnit val="0.1"/>
        <c:minorUnit val="0.05"/>
      </c:valAx>
      <c:valAx>
        <c:axId val="21475225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1700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7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GB" sz="17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(</a:t>
                </a:r>
                <a:r>
                  <a:rPr lang="en-GB" sz="17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GB" sz="17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 error, %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3054830287206266E-2"/>
              <c:y val="0.2257223633385707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749952"/>
        <c:crossesAt val="0"/>
        <c:crossBetween val="midCat"/>
        <c:majorUnit val="0.5"/>
        <c:min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968668407310703"/>
          <c:y val="0.57480462292031387"/>
          <c:w val="0.29503916449086159"/>
          <c:h val="0.1784781477560791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91438779608691"/>
          <c:y val="3.9893668828006601E-2"/>
          <c:w val="0.79570101358002976"/>
          <c:h val="0.79521379863826491"/>
        </c:manualLayout>
      </c:layout>
      <c:scatterChart>
        <c:scatterStyle val="lineMarker"/>
        <c:varyColors val="0"/>
        <c:ser>
          <c:idx val="0"/>
          <c:order val="0"/>
          <c:tx>
            <c:v>Psat correlation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Pvap!$D$23:$D$44</c:f>
              <c:numCache>
                <c:formatCode>General</c:formatCode>
                <c:ptCount val="22"/>
                <c:pt idx="0">
                  <c:v>3.5447165999078374</c:v>
                </c:pt>
                <c:pt idx="1">
                  <c:v>3.4272561297405546</c:v>
                </c:pt>
                <c:pt idx="2">
                  <c:v>3.3136879205377401</c:v>
                </c:pt>
                <c:pt idx="3">
                  <c:v>3.2038829953304258</c:v>
                </c:pt>
                <c:pt idx="4">
                  <c:v>3.0977166510302196</c:v>
                </c:pt>
                <c:pt idx="5">
                  <c:v>2.9950683168066914</c:v>
                </c:pt>
                <c:pt idx="6">
                  <c:v>2.8958214171576788</c:v>
                </c:pt>
                <c:pt idx="7">
                  <c:v>2.799863239516998</c:v>
                </c:pt>
                <c:pt idx="8">
                  <c:v>2.7070848062492141</c:v>
                </c:pt>
                <c:pt idx="9">
                  <c:v>2.6173807508860842</c:v>
                </c:pt>
                <c:pt idx="10">
                  <c:v>2.5306491984641313</c:v>
                </c:pt>
                <c:pt idx="11">
                  <c:v>2.4467916498274418</c:v>
                </c:pt>
                <c:pt idx="12">
                  <c:v>2.365712869764296</c:v>
                </c:pt>
                <c:pt idx="13">
                  <c:v>2.2873207788505878</c:v>
                </c:pt>
                <c:pt idx="14">
                  <c:v>2.2115263488772103</c:v>
                </c:pt>
                <c:pt idx="15">
                  <c:v>2.138243501742632</c:v>
                </c:pt>
                <c:pt idx="16">
                  <c:v>2.0673890116958518</c:v>
                </c:pt>
                <c:pt idx="17">
                  <c:v>1.9988824108187098</c:v>
                </c:pt>
                <c:pt idx="18">
                  <c:v>1.9326458976402006</c:v>
                </c:pt>
                <c:pt idx="19">
                  <c:v>1.8686042487790226</c:v>
                </c:pt>
                <c:pt idx="20">
                  <c:v>1.812691407927661</c:v>
                </c:pt>
                <c:pt idx="21">
                  <c:v>1.8066847335140022</c:v>
                </c:pt>
              </c:numCache>
            </c:numRef>
          </c:xVal>
          <c:yVal>
            <c:numRef>
              <c:f>Pvap!$C$23:$C$44</c:f>
              <c:numCache>
                <c:formatCode>0.0000</c:formatCode>
                <c:ptCount val="22"/>
                <c:pt idx="0">
                  <c:v>5.9989002783289953E-2</c:v>
                </c:pt>
                <c:pt idx="1">
                  <c:v>9.6889293865363255E-2</c:v>
                </c:pt>
                <c:pt idx="2">
                  <c:v>0.15297578457613945</c:v>
                </c:pt>
                <c:pt idx="3">
                  <c:v>0.23642385647017744</c:v>
                </c:pt>
                <c:pt idx="4">
                  <c:v>0.35811104041134006</c:v>
                </c:pt>
                <c:pt idx="5">
                  <c:v>0.5322296394350029</c:v>
                </c:pt>
                <c:pt idx="6">
                  <c:v>0.77695697672529052</c:v>
                </c:pt>
                <c:pt idx="7">
                  <c:v>1.1151690481244323</c:v>
                </c:pt>
                <c:pt idx="8">
                  <c:v>1.5751790376191113</c:v>
                </c:pt>
                <c:pt idx="9">
                  <c:v>2.1951194728688952</c:v>
                </c:pt>
                <c:pt idx="10">
                  <c:v>3.0136125409209025</c:v>
                </c:pt>
                <c:pt idx="11">
                  <c:v>4.0833336596706147</c:v>
                </c:pt>
                <c:pt idx="12">
                  <c:v>5.4653241467681433</c:v>
                </c:pt>
                <c:pt idx="13">
                  <c:v>7.2322144341739794</c:v>
                </c:pt>
                <c:pt idx="14">
                  <c:v>9.4706375657707227</c:v>
                </c:pt>
                <c:pt idx="15">
                  <c:v>12.284868054237537</c:v>
                </c:pt>
                <c:pt idx="16">
                  <c:v>15.802389576581332</c:v>
                </c:pt>
                <c:pt idx="17">
                  <c:v>20.181889915626428</c:v>
                </c:pt>
                <c:pt idx="18">
                  <c:v>25.622303004294665</c:v>
                </c:pt>
                <c:pt idx="19">
                  <c:v>32.364085574389165</c:v>
                </c:pt>
                <c:pt idx="20">
                  <c:v>39.760579372391426</c:v>
                </c:pt>
                <c:pt idx="21">
                  <c:v>40.650133425732548</c:v>
                </c:pt>
              </c:numCache>
            </c:numRef>
          </c:yVal>
          <c:smooth val="1"/>
        </c:ser>
        <c:ser>
          <c:idx val="1"/>
          <c:order val="1"/>
          <c:tx>
            <c:v>Clausius EOS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Pvap!$D$23:$D$44</c:f>
              <c:numCache>
                <c:formatCode>General</c:formatCode>
                <c:ptCount val="22"/>
                <c:pt idx="0">
                  <c:v>3.5447165999078374</c:v>
                </c:pt>
                <c:pt idx="1">
                  <c:v>3.4272561297405546</c:v>
                </c:pt>
                <c:pt idx="2">
                  <c:v>3.3136879205377401</c:v>
                </c:pt>
                <c:pt idx="3">
                  <c:v>3.2038829953304258</c:v>
                </c:pt>
                <c:pt idx="4">
                  <c:v>3.0977166510302196</c:v>
                </c:pt>
                <c:pt idx="5">
                  <c:v>2.9950683168066914</c:v>
                </c:pt>
                <c:pt idx="6">
                  <c:v>2.8958214171576788</c:v>
                </c:pt>
                <c:pt idx="7">
                  <c:v>2.799863239516998</c:v>
                </c:pt>
                <c:pt idx="8">
                  <c:v>2.7070848062492141</c:v>
                </c:pt>
                <c:pt idx="9">
                  <c:v>2.6173807508860842</c:v>
                </c:pt>
                <c:pt idx="10">
                  <c:v>2.5306491984641313</c:v>
                </c:pt>
                <c:pt idx="11">
                  <c:v>2.4467916498274418</c:v>
                </c:pt>
                <c:pt idx="12">
                  <c:v>2.365712869764296</c:v>
                </c:pt>
                <c:pt idx="13">
                  <c:v>2.2873207788505878</c:v>
                </c:pt>
                <c:pt idx="14">
                  <c:v>2.2115263488772103</c:v>
                </c:pt>
                <c:pt idx="15">
                  <c:v>2.138243501742632</c:v>
                </c:pt>
                <c:pt idx="16">
                  <c:v>2.0673890116958518</c:v>
                </c:pt>
                <c:pt idx="17">
                  <c:v>1.9988824108187098</c:v>
                </c:pt>
                <c:pt idx="18">
                  <c:v>1.9326458976402006</c:v>
                </c:pt>
                <c:pt idx="19">
                  <c:v>1.8686042487790226</c:v>
                </c:pt>
                <c:pt idx="20">
                  <c:v>1.812691407927661</c:v>
                </c:pt>
                <c:pt idx="21">
                  <c:v>1.8066847335140022</c:v>
                </c:pt>
              </c:numCache>
            </c:numRef>
          </c:xVal>
          <c:yVal>
            <c:numRef>
              <c:f>Pvap!$R$23:$R$44</c:f>
              <c:numCache>
                <c:formatCode>0.0000</c:formatCode>
                <c:ptCount val="22"/>
                <c:pt idx="0">
                  <c:v>5.9990383444035011E-2</c:v>
                </c:pt>
                <c:pt idx="1">
                  <c:v>9.6891519367622594E-2</c:v>
                </c:pt>
                <c:pt idx="2">
                  <c:v>0.15297872626535736</c:v>
                </c:pt>
                <c:pt idx="3">
                  <c:v>0.23642624716498592</c:v>
                </c:pt>
                <c:pt idx="4">
                  <c:v>0.3581088401030631</c:v>
                </c:pt>
                <c:pt idx="5">
                  <c:v>0.53221307667434137</c:v>
                </c:pt>
                <c:pt idx="6">
                  <c:v>0.77690590661222236</c:v>
                </c:pt>
                <c:pt idx="7">
                  <c:v>1.1150469625112718</c:v>
                </c:pt>
                <c:pt idx="8">
                  <c:v>1.5749281724337336</c:v>
                </c:pt>
                <c:pt idx="9">
                  <c:v>2.1946162023717752</c:v>
                </c:pt>
                <c:pt idx="10">
                  <c:v>3.012743820899153</c:v>
                </c:pt>
                <c:pt idx="11">
                  <c:v>4.0819750999922455</c:v>
                </c:pt>
                <c:pt idx="12">
                  <c:v>5.463447582949426</c:v>
                </c:pt>
                <c:pt idx="13">
                  <c:v>7.2300930049538747</c:v>
                </c:pt>
                <c:pt idx="14">
                  <c:v>9.4692292533687095</c:v>
                </c:pt>
                <c:pt idx="15">
                  <c:v>12.286424732364521</c:v>
                </c:pt>
                <c:pt idx="16">
                  <c:v>15.811133075350842</c:v>
                </c:pt>
                <c:pt idx="17">
                  <c:v>20.204301785615097</c:v>
                </c:pt>
                <c:pt idx="18">
                  <c:v>25.664933523627237</c:v>
                </c:pt>
                <c:pt idx="19">
                  <c:v>32.425297280019095</c:v>
                </c:pt>
                <c:pt idx="20">
                  <c:v>39.82506125581196</c:v>
                </c:pt>
                <c:pt idx="21">
                  <c:v>40.710859004870741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93536"/>
        <c:axId val="214995712"/>
      </c:scatterChart>
      <c:valAx>
        <c:axId val="214993536"/>
        <c:scaling>
          <c:orientation val="minMax"/>
          <c:max val="4"/>
          <c:min val="1.5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1000/T, [1/K]</a:t>
                </a:r>
              </a:p>
            </c:rich>
          </c:tx>
          <c:layout>
            <c:manualLayout>
              <c:xMode val="edge"/>
              <c:yMode val="edge"/>
              <c:x val="0.4327968350891378"/>
              <c:y val="0.91223522720041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995712"/>
        <c:crossesAt val="1.0000000000000001E-5"/>
        <c:crossBetween val="midCat"/>
        <c:majorUnit val="0.5"/>
        <c:minorUnit val="0.1"/>
      </c:valAx>
      <c:valAx>
        <c:axId val="214995712"/>
        <c:scaling>
          <c:logBase val="10"/>
          <c:orientation val="minMax"/>
          <c:max val="100"/>
          <c:min val="0.01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1.3440895499662665E-2"/>
              <c:y val="0.29521314932724885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993536"/>
        <c:crossesAt val="0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505432799460264"/>
          <c:y val="0.60904334410756744"/>
          <c:w val="0.43010865598920528"/>
          <c:h val="0.1542555194682921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3" verticalDpi="0"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180592991913745"/>
          <c:y val="5.1912706819679653E-2"/>
          <c:w val="0.71967654986522911"/>
          <c:h val="0.6939909227472964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Pvap!$V$44:$V$45</c:f>
              <c:numCache>
                <c:formatCode>0.00</c:formatCode>
                <c:ptCount val="2"/>
                <c:pt idx="0">
                  <c:v>280.34999999999991</c:v>
                </c:pt>
              </c:numCache>
            </c:numRef>
          </c:xVal>
          <c:yVal>
            <c:numRef>
              <c:f>Pvap!$U$44:$U$44</c:f>
              <c:numCache>
                <c:formatCode>0.0</c:formatCode>
                <c:ptCount val="1"/>
                <c:pt idx="0">
                  <c:v>2037.2958292909491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Pvap!$A$1</c:f>
              <c:strCache>
                <c:ptCount val="1"/>
                <c:pt idx="0">
                  <c:v>Cyclohexane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Pvap!$V$23:$V$44</c:f>
              <c:numCache>
                <c:formatCode>0.00</c:formatCode>
                <c:ptCount val="22"/>
                <c:pt idx="0">
                  <c:v>8.9600000000000364</c:v>
                </c:pt>
                <c:pt idx="1">
                  <c:v>18.62860134885824</c:v>
                </c:pt>
                <c:pt idx="2">
                  <c:v>28.628569370443813</c:v>
                </c:pt>
                <c:pt idx="3">
                  <c:v>38.971260813042647</c:v>
                </c:pt>
                <c:pt idx="4">
                  <c:v>49.668421648547564</c:v>
                </c:pt>
                <c:pt idx="5">
                  <c:v>60.732200412105783</c:v>
                </c:pt>
                <c:pt idx="6">
                  <c:v>72.175161998948511</c:v>
                </c:pt>
                <c:pt idx="7">
                  <c:v>84.010301934072061</c:v>
                </c:pt>
                <c:pt idx="8">
                  <c:v>96.251061130975188</c:v>
                </c:pt>
                <c:pt idx="9">
                  <c:v>108.91134115621566</c:v>
                </c:pt>
                <c:pt idx="10">
                  <c:v>122.00552001711935</c:v>
                </c:pt>
                <c:pt idx="11">
                  <c:v>135.5484684905739</c:v>
                </c:pt>
                <c:pt idx="12">
                  <c:v>149.55556701144951</c:v>
                </c:pt>
                <c:pt idx="13">
                  <c:v>164.04272313982767</c:v>
                </c:pt>
                <c:pt idx="14">
                  <c:v>179.02638962687422</c:v>
                </c:pt>
                <c:pt idx="15">
                  <c:v>194.52358309987483</c:v>
                </c:pt>
                <c:pt idx="16">
                  <c:v>210.55190338765186</c:v>
                </c:pt>
                <c:pt idx="17">
                  <c:v>227.12955350831083</c:v>
                </c:pt>
                <c:pt idx="18">
                  <c:v>244.27536034201614</c:v>
                </c:pt>
                <c:pt idx="19">
                  <c:v>262.00879601227325</c:v>
                </c:pt>
                <c:pt idx="20">
                  <c:v>278.5158796012272</c:v>
                </c:pt>
                <c:pt idx="21">
                  <c:v>280.34999999999991</c:v>
                </c:pt>
              </c:numCache>
            </c:numRef>
          </c:xVal>
          <c:yVal>
            <c:numRef>
              <c:f>Pvap!$T$23:$T$44</c:f>
              <c:numCache>
                <c:formatCode>0.000</c:formatCode>
                <c:ptCount val="22"/>
                <c:pt idx="0">
                  <c:v>1.0000230152308089</c:v>
                </c:pt>
                <c:pt idx="1">
                  <c:v>1.0000229695374026</c:v>
                </c:pt>
                <c:pt idx="2">
                  <c:v>1.0000192297704245</c:v>
                </c:pt>
                <c:pt idx="3">
                  <c:v>1.0000101119017522</c:v>
                </c:pt>
                <c:pt idx="4">
                  <c:v>0.99999385579323541</c:v>
                </c:pt>
                <c:pt idx="5">
                  <c:v>0.99996888042409826</c:v>
                </c:pt>
                <c:pt idx="6">
                  <c:v>0.99993426905916538</c:v>
                </c:pt>
                <c:pt idx="7">
                  <c:v>0.99989052277467183</c:v>
                </c:pt>
                <c:pt idx="8">
                  <c:v>0.99984073862120659</c:v>
                </c:pt>
                <c:pt idx="9">
                  <c:v>0.99977073207024025</c:v>
                </c:pt>
                <c:pt idx="10">
                  <c:v>0.99971173466729601</c:v>
                </c:pt>
                <c:pt idx="11">
                  <c:v>0.99966729153392797</c:v>
                </c:pt>
                <c:pt idx="12">
                  <c:v>0.99965664180781899</c:v>
                </c:pt>
                <c:pt idx="13">
                  <c:v>0.99970666948008613</c:v>
                </c:pt>
                <c:pt idx="14">
                  <c:v>0.99985129698056407</c:v>
                </c:pt>
                <c:pt idx="15">
                  <c:v>1.0001267150872204</c:v>
                </c:pt>
                <c:pt idx="16">
                  <c:v>1.0005533023171678</c:v>
                </c:pt>
                <c:pt idx="17">
                  <c:v>1.0011104941153859</c:v>
                </c:pt>
                <c:pt idx="18">
                  <c:v>1.0016638051359172</c:v>
                </c:pt>
                <c:pt idx="19">
                  <c:v>1.0018913466746722</c:v>
                </c:pt>
                <c:pt idx="20">
                  <c:v>1.0016217541202457</c:v>
                </c:pt>
                <c:pt idx="21">
                  <c:v>1.0014938592821383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29248"/>
        <c:axId val="215031808"/>
      </c:scatterChart>
      <c:valAx>
        <c:axId val="215029248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75" b="1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475" b="1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GB" sz="1475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, </a:t>
                </a:r>
                <a:r>
                  <a:rPr lang="en-GB" sz="1475" b="1" i="0" u="none" strike="noStrike" baseline="30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o</a:t>
                </a:r>
                <a:r>
                  <a:rPr lang="en-GB" sz="1475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52291105121293802"/>
              <c:y val="0.852461290933686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5031808"/>
        <c:crossesAt val="0"/>
        <c:crossBetween val="midCat"/>
        <c:majorUnit val="50"/>
        <c:minorUnit val="10"/>
      </c:valAx>
      <c:valAx>
        <c:axId val="215031808"/>
        <c:scaling>
          <c:orientation val="minMax"/>
          <c:max val="1.01"/>
          <c:min val="0.99"/>
        </c:scaling>
        <c:delete val="0"/>
        <c:axPos val="l"/>
        <c:title>
          <c:tx>
            <c:rich>
              <a:bodyPr/>
              <a:lstStyle/>
              <a:p>
                <a:pPr>
                  <a:defRPr sz="1475" b="1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475" b="1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GB" sz="1475" b="1" i="1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EOS</a:t>
                </a:r>
                <a:r>
                  <a:rPr lang="en-GB" sz="1475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 </a:t>
                </a:r>
                <a:r>
                  <a:rPr lang="en-GB" sz="1475" b="1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3477088948787063E-2"/>
              <c:y val="0.2978150022813201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5029248"/>
        <c:crossesAt val="-1000"/>
        <c:crossBetween val="midCat"/>
        <c:majorUnit val="5.0000000000000001E-3"/>
        <c:minorUnit val="1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49326145552560646"/>
          <c:y val="0.12295114773082023"/>
          <c:w val="0.34501347708894881"/>
          <c:h val="0.1557381204590389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67894702276082"/>
          <c:y val="4.9844388399254036E-2"/>
          <c:w val="0.74854014911181099"/>
          <c:h val="0.76324219736357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'Phase diagram'!$D$22</c:f>
              <c:strCache>
                <c:ptCount val="1"/>
                <c:pt idx="0">
                  <c:v>V-liquid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'Phase diagram'!$D$26:$D$47</c:f>
              <c:numCache>
                <c:formatCode>0.000</c:formatCode>
                <c:ptCount val="22"/>
                <c:pt idx="0">
                  <c:v>0.15886797403654285</c:v>
                </c:pt>
                <c:pt idx="1">
                  <c:v>0.16006508994473784</c:v>
                </c:pt>
                <c:pt idx="2">
                  <c:v>0.16137316940622423</c:v>
                </c:pt>
                <c:pt idx="3">
                  <c:v>0.16280799846947722</c:v>
                </c:pt>
                <c:pt idx="4">
                  <c:v>0.16438841243443053</c:v>
                </c:pt>
                <c:pt idx="5">
                  <c:v>0.1661370398442604</c:v>
                </c:pt>
                <c:pt idx="6">
                  <c:v>0.1680812998912565</c:v>
                </c:pt>
                <c:pt idx="7">
                  <c:v>0.17025474465960611</c:v>
                </c:pt>
                <c:pt idx="8">
                  <c:v>0.17269890421240794</c:v>
                </c:pt>
                <c:pt idx="9">
                  <c:v>0.17548281667760959</c:v>
                </c:pt>
                <c:pt idx="10">
                  <c:v>0.17865537124683364</c:v>
                </c:pt>
                <c:pt idx="11">
                  <c:v>0.18231702957701265</c:v>
                </c:pt>
                <c:pt idx="12">
                  <c:v>0.18659311795897909</c:v>
                </c:pt>
                <c:pt idx="13">
                  <c:v>0.19165988536529444</c:v>
                </c:pt>
                <c:pt idx="14">
                  <c:v>0.19777614662262244</c:v>
                </c:pt>
                <c:pt idx="15">
                  <c:v>0.20534350355114442</c:v>
                </c:pt>
                <c:pt idx="16">
                  <c:v>0.21503402617941178</c:v>
                </c:pt>
                <c:pt idx="17">
                  <c:v>0.22808373551016328</c:v>
                </c:pt>
                <c:pt idx="18">
                  <c:v>0.24715177193429846</c:v>
                </c:pt>
                <c:pt idx="19">
                  <c:v>0.27982847066724797</c:v>
                </c:pt>
                <c:pt idx="20">
                  <c:v>0.36265577097285967</c:v>
                </c:pt>
                <c:pt idx="21">
                  <c:v>0.42371236972133569</c:v>
                </c:pt>
              </c:numCache>
            </c:numRef>
          </c:xVal>
          <c:yVal>
            <c:numRef>
              <c:f>'Phase diagram'!$C$26:$C$47</c:f>
              <c:numCache>
                <c:formatCode>0.000</c:formatCode>
                <c:ptCount val="22"/>
                <c:pt idx="0">
                  <c:v>5.9989002783289953E-2</c:v>
                </c:pt>
                <c:pt idx="1">
                  <c:v>9.6889293865363255E-2</c:v>
                </c:pt>
                <c:pt idx="2">
                  <c:v>0.15297578457613945</c:v>
                </c:pt>
                <c:pt idx="3">
                  <c:v>0.23642385647017744</c:v>
                </c:pt>
                <c:pt idx="4">
                  <c:v>0.35811104041134006</c:v>
                </c:pt>
                <c:pt idx="5">
                  <c:v>0.5322296394350029</c:v>
                </c:pt>
                <c:pt idx="6">
                  <c:v>0.77695697672529052</c:v>
                </c:pt>
                <c:pt idx="7">
                  <c:v>1.1151690481244323</c:v>
                </c:pt>
                <c:pt idx="8">
                  <c:v>1.5751790376191113</c:v>
                </c:pt>
                <c:pt idx="9">
                  <c:v>2.1951194728688952</c:v>
                </c:pt>
                <c:pt idx="10">
                  <c:v>3.0136125409209025</c:v>
                </c:pt>
                <c:pt idx="11">
                  <c:v>4.0833336596706147</c:v>
                </c:pt>
                <c:pt idx="12">
                  <c:v>5.4653241467681433</c:v>
                </c:pt>
                <c:pt idx="13">
                  <c:v>7.2322144341739794</c:v>
                </c:pt>
                <c:pt idx="14">
                  <c:v>9.4706375657707227</c:v>
                </c:pt>
                <c:pt idx="15">
                  <c:v>12.284868054237537</c:v>
                </c:pt>
                <c:pt idx="16">
                  <c:v>15.802389576581332</c:v>
                </c:pt>
                <c:pt idx="17">
                  <c:v>20.181889915626428</c:v>
                </c:pt>
                <c:pt idx="18">
                  <c:v>25.622303004294665</c:v>
                </c:pt>
                <c:pt idx="19">
                  <c:v>32.364085574389165</c:v>
                </c:pt>
                <c:pt idx="20">
                  <c:v>39.760579372391426</c:v>
                </c:pt>
                <c:pt idx="21">
                  <c:v>40.650133425732548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'Phase diagram'!$F$22</c:f>
              <c:strCache>
                <c:ptCount val="1"/>
                <c:pt idx="0">
                  <c:v>V-vapour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'Phase diagram'!$F$26:$F$47</c:f>
              <c:numCache>
                <c:formatCode>0</c:formatCode>
                <c:ptCount val="22"/>
                <c:pt idx="0">
                  <c:v>389.71158286511047</c:v>
                </c:pt>
                <c:pt idx="1">
                  <c:v>249.16307186809024</c:v>
                </c:pt>
                <c:pt idx="2">
                  <c:v>162.86212507583846</c:v>
                </c:pt>
                <c:pt idx="3">
                  <c:v>108.6680719854226</c:v>
                </c:pt>
                <c:pt idx="4" formatCode="0.0">
                  <c:v>73.91113677217723</c:v>
                </c:pt>
                <c:pt idx="5" formatCode="0.0">
                  <c:v>51.174238674517106</c:v>
                </c:pt>
                <c:pt idx="6" formatCode="0.0">
                  <c:v>36.02109683451485</c:v>
                </c:pt>
                <c:pt idx="7" formatCode="0.0">
                  <c:v>25.743992092727716</c:v>
                </c:pt>
                <c:pt idx="8" formatCode="0.0">
                  <c:v>18.658308586849238</c:v>
                </c:pt>
                <c:pt idx="9" formatCode="0.0">
                  <c:v>13.672999001867636</c:v>
                </c:pt>
                <c:pt idx="10" formatCode="0.00">
                  <c:v>10.142480102312053</c:v>
                </c:pt>
                <c:pt idx="11" formatCode="0.00">
                  <c:v>7.5976665488940327</c:v>
                </c:pt>
                <c:pt idx="12" formatCode="0.00">
                  <c:v>5.738842149331612</c:v>
                </c:pt>
                <c:pt idx="13" formatCode="0.00">
                  <c:v>4.3635892010039035</c:v>
                </c:pt>
                <c:pt idx="14" formatCode="0.00">
                  <c:v>3.3331985696224531</c:v>
                </c:pt>
                <c:pt idx="15" formatCode="0.00">
                  <c:v>2.5512223061319816</c:v>
                </c:pt>
                <c:pt idx="16" formatCode="0.00">
                  <c:v>1.9495534084274722</c:v>
                </c:pt>
                <c:pt idx="17" formatCode="0.000">
                  <c:v>1.4791099686377305</c:v>
                </c:pt>
                <c:pt idx="18" formatCode="0.000">
                  <c:v>1.103150988067654</c:v>
                </c:pt>
                <c:pt idx="19" formatCode="0.000">
                  <c:v>0.78999812734424524</c:v>
                </c:pt>
                <c:pt idx="20" formatCode="0.000">
                  <c:v>0.50612978356822524</c:v>
                </c:pt>
                <c:pt idx="21" formatCode="0.000">
                  <c:v>0.42371236972133569</c:v>
                </c:pt>
              </c:numCache>
            </c:numRef>
          </c:xVal>
          <c:yVal>
            <c:numRef>
              <c:f>'Phase diagram'!$C$26:$C$47</c:f>
              <c:numCache>
                <c:formatCode>0.000</c:formatCode>
                <c:ptCount val="22"/>
                <c:pt idx="0">
                  <c:v>5.9989002783289953E-2</c:v>
                </c:pt>
                <c:pt idx="1">
                  <c:v>9.6889293865363255E-2</c:v>
                </c:pt>
                <c:pt idx="2">
                  <c:v>0.15297578457613945</c:v>
                </c:pt>
                <c:pt idx="3">
                  <c:v>0.23642385647017744</c:v>
                </c:pt>
                <c:pt idx="4">
                  <c:v>0.35811104041134006</c:v>
                </c:pt>
                <c:pt idx="5">
                  <c:v>0.5322296394350029</c:v>
                </c:pt>
                <c:pt idx="6">
                  <c:v>0.77695697672529052</c:v>
                </c:pt>
                <c:pt idx="7">
                  <c:v>1.1151690481244323</c:v>
                </c:pt>
                <c:pt idx="8">
                  <c:v>1.5751790376191113</c:v>
                </c:pt>
                <c:pt idx="9">
                  <c:v>2.1951194728688952</c:v>
                </c:pt>
                <c:pt idx="10">
                  <c:v>3.0136125409209025</c:v>
                </c:pt>
                <c:pt idx="11">
                  <c:v>4.0833336596706147</c:v>
                </c:pt>
                <c:pt idx="12">
                  <c:v>5.4653241467681433</c:v>
                </c:pt>
                <c:pt idx="13">
                  <c:v>7.2322144341739794</c:v>
                </c:pt>
                <c:pt idx="14">
                  <c:v>9.4706375657707227</c:v>
                </c:pt>
                <c:pt idx="15">
                  <c:v>12.284868054237537</c:v>
                </c:pt>
                <c:pt idx="16">
                  <c:v>15.802389576581332</c:v>
                </c:pt>
                <c:pt idx="17">
                  <c:v>20.181889915626428</c:v>
                </c:pt>
                <c:pt idx="18">
                  <c:v>25.622303004294665</c:v>
                </c:pt>
                <c:pt idx="19">
                  <c:v>32.364085574389165</c:v>
                </c:pt>
                <c:pt idx="20">
                  <c:v>39.760579372391426</c:v>
                </c:pt>
                <c:pt idx="21">
                  <c:v>40.650133425732548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'Phase diagram'!$E$22</c:f>
              <c:strCache>
                <c:ptCount val="1"/>
                <c:pt idx="0">
                  <c:v>?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'Phase diagram'!$E$26:$E$47</c:f>
              <c:numCache>
                <c:formatCode>0.000</c:formatCode>
                <c:ptCount val="22"/>
                <c:pt idx="0">
                  <c:v>1.2768556086875265</c:v>
                </c:pt>
                <c:pt idx="1">
                  <c:v>1.2065595239750166</c:v>
                </c:pt>
                <c:pt idx="2">
                  <c:v>1.1398385108030595</c:v>
                </c:pt>
                <c:pt idx="3">
                  <c:v>1.0765791640194493</c:v>
                </c:pt>
                <c:pt idx="4">
                  <c:v>1.016682560340584</c:v>
                </c:pt>
                <c:pt idx="5">
                  <c:v>0.96005560250619482</c:v>
                </c:pt>
                <c:pt idx="6">
                  <c:v>0.90660891374761121</c:v>
                </c:pt>
                <c:pt idx="7">
                  <c:v>0.85625285551161312</c:v>
                </c:pt>
                <c:pt idx="8">
                  <c:v>0.80889483745278667</c:v>
                </c:pt>
                <c:pt idx="9">
                  <c:v>0.76419047754122538</c:v>
                </c:pt>
                <c:pt idx="10">
                  <c:v>0.72238115170173778</c:v>
                </c:pt>
                <c:pt idx="11">
                  <c:v>0.68319811893578297</c:v>
                </c:pt>
                <c:pt idx="12">
                  <c:v>0.64650889503398723</c:v>
                </c:pt>
                <c:pt idx="13">
                  <c:v>0.61217129323415964</c:v>
                </c:pt>
                <c:pt idx="14">
                  <c:v>0.58003255488139649</c:v>
                </c:pt>
                <c:pt idx="15">
                  <c:v>0.54992882853246217</c:v>
                </c:pt>
                <c:pt idx="16">
                  <c:v>0.52167290805987498</c:v>
                </c:pt>
                <c:pt idx="17">
                  <c:v>0.49508925799060788</c:v>
                </c:pt>
                <c:pt idx="18">
                  <c:v>0.46999466713582949</c:v>
                </c:pt>
                <c:pt idx="19">
                  <c:v>0.44626297690951799</c:v>
                </c:pt>
                <c:pt idx="20">
                  <c:v>0.42606473791308841</c:v>
                </c:pt>
                <c:pt idx="21">
                  <c:v>0.4259323185114971</c:v>
                </c:pt>
              </c:numCache>
            </c:numRef>
          </c:xVal>
          <c:yVal>
            <c:numRef>
              <c:f>'Phase diagram'!$C$26:$C$47</c:f>
              <c:numCache>
                <c:formatCode>0.000</c:formatCode>
                <c:ptCount val="22"/>
                <c:pt idx="0">
                  <c:v>5.9989002783289953E-2</c:v>
                </c:pt>
                <c:pt idx="1">
                  <c:v>9.6889293865363255E-2</c:v>
                </c:pt>
                <c:pt idx="2">
                  <c:v>0.15297578457613945</c:v>
                </c:pt>
                <c:pt idx="3">
                  <c:v>0.23642385647017744</c:v>
                </c:pt>
                <c:pt idx="4">
                  <c:v>0.35811104041134006</c:v>
                </c:pt>
                <c:pt idx="5">
                  <c:v>0.5322296394350029</c:v>
                </c:pt>
                <c:pt idx="6">
                  <c:v>0.77695697672529052</c:v>
                </c:pt>
                <c:pt idx="7">
                  <c:v>1.1151690481244323</c:v>
                </c:pt>
                <c:pt idx="8">
                  <c:v>1.5751790376191113</c:v>
                </c:pt>
                <c:pt idx="9">
                  <c:v>2.1951194728688952</c:v>
                </c:pt>
                <c:pt idx="10">
                  <c:v>3.0136125409209025</c:v>
                </c:pt>
                <c:pt idx="11">
                  <c:v>4.0833336596706147</c:v>
                </c:pt>
                <c:pt idx="12">
                  <c:v>5.4653241467681433</c:v>
                </c:pt>
                <c:pt idx="13">
                  <c:v>7.2322144341739794</c:v>
                </c:pt>
                <c:pt idx="14">
                  <c:v>9.4706375657707227</c:v>
                </c:pt>
                <c:pt idx="15">
                  <c:v>12.284868054237537</c:v>
                </c:pt>
                <c:pt idx="16">
                  <c:v>15.802389576581332</c:v>
                </c:pt>
                <c:pt idx="17">
                  <c:v>20.181889915626428</c:v>
                </c:pt>
                <c:pt idx="18">
                  <c:v>25.622303004294665</c:v>
                </c:pt>
                <c:pt idx="19">
                  <c:v>32.364085574389165</c:v>
                </c:pt>
                <c:pt idx="20">
                  <c:v>39.760579372391426</c:v>
                </c:pt>
                <c:pt idx="21">
                  <c:v>40.650133425732548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45152"/>
        <c:axId val="214967808"/>
      </c:scatterChart>
      <c:valAx>
        <c:axId val="214945152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92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GB" sz="925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92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47368556310981791"/>
              <c:y val="0.89408371691161925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967808"/>
        <c:crossesAt val="1E-4"/>
        <c:crossBetween val="midCat"/>
        <c:majorUnit val="10"/>
        <c:minorUnit val="10"/>
      </c:valAx>
      <c:valAx>
        <c:axId val="214967808"/>
        <c:scaling>
          <c:logBase val="10"/>
          <c:orientation val="minMax"/>
          <c:max val="100"/>
          <c:min val="0.0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Pressure, bar</a:t>
                </a:r>
              </a:p>
            </c:rich>
          </c:tx>
          <c:layout>
            <c:manualLayout>
              <c:xMode val="edge"/>
              <c:yMode val="edge"/>
              <c:x val="2.6315864617212106E-2"/>
              <c:y val="0.32710379887010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945152"/>
        <c:crossesAt val="1E-3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4458534523872"/>
          <c:y val="6.8536034048974306E-2"/>
          <c:w val="0.28070255591692911"/>
          <c:h val="0.1993775535970161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857171846047897"/>
          <c:y val="6.8627615243028212E-2"/>
          <c:w val="0.7246762437553822"/>
          <c:h val="0.7745116577427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 = B(T)'!$C$20</c:f>
              <c:strCache>
                <c:ptCount val="1"/>
                <c:pt idx="0">
                  <c:v>Ref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 = B(T)'!$B$21:$B$47</c:f>
              <c:numCache>
                <c:formatCode>General</c:formatCode>
                <c:ptCount val="27"/>
                <c:pt idx="0">
                  <c:v>295.2</c:v>
                </c:pt>
                <c:pt idx="1">
                  <c:v>308.2</c:v>
                </c:pt>
                <c:pt idx="2">
                  <c:v>308.2</c:v>
                </c:pt>
                <c:pt idx="3">
                  <c:v>315.16000000000003</c:v>
                </c:pt>
                <c:pt idx="4">
                  <c:v>320.16000000000003</c:v>
                </c:pt>
                <c:pt idx="5">
                  <c:v>323.16000000000003</c:v>
                </c:pt>
                <c:pt idx="6">
                  <c:v>323.2</c:v>
                </c:pt>
                <c:pt idx="7">
                  <c:v>324.3</c:v>
                </c:pt>
                <c:pt idx="8">
                  <c:v>328.16</c:v>
                </c:pt>
                <c:pt idx="9">
                  <c:v>331.16</c:v>
                </c:pt>
                <c:pt idx="10">
                  <c:v>331.2</c:v>
                </c:pt>
                <c:pt idx="11">
                  <c:v>333.16</c:v>
                </c:pt>
                <c:pt idx="12">
                  <c:v>334.2</c:v>
                </c:pt>
                <c:pt idx="13">
                  <c:v>337.5</c:v>
                </c:pt>
                <c:pt idx="14">
                  <c:v>338.16</c:v>
                </c:pt>
                <c:pt idx="15">
                  <c:v>341.6</c:v>
                </c:pt>
                <c:pt idx="16">
                  <c:v>343.16</c:v>
                </c:pt>
                <c:pt idx="17">
                  <c:v>343.2</c:v>
                </c:pt>
                <c:pt idx="18">
                  <c:v>344</c:v>
                </c:pt>
                <c:pt idx="19">
                  <c:v>348.16</c:v>
                </c:pt>
                <c:pt idx="20">
                  <c:v>350.9</c:v>
                </c:pt>
                <c:pt idx="21">
                  <c:v>362.2</c:v>
                </c:pt>
                <c:pt idx="22">
                  <c:v>370.3</c:v>
                </c:pt>
                <c:pt idx="23">
                  <c:v>373.2</c:v>
                </c:pt>
                <c:pt idx="24">
                  <c:v>380.4</c:v>
                </c:pt>
                <c:pt idx="25">
                  <c:v>393.4</c:v>
                </c:pt>
                <c:pt idx="26">
                  <c:v>404.2</c:v>
                </c:pt>
              </c:numCache>
            </c:numRef>
          </c:xVal>
          <c:yVal>
            <c:numRef>
              <c:f>'B = B(T)'!$C$21:$C$47</c:f>
              <c:numCache>
                <c:formatCode>General</c:formatCode>
                <c:ptCount val="27"/>
                <c:pt idx="7">
                  <c:v>-1320</c:v>
                </c:pt>
                <c:pt idx="10">
                  <c:v>-1250</c:v>
                </c:pt>
                <c:pt idx="12">
                  <c:v>-1270</c:v>
                </c:pt>
                <c:pt idx="13">
                  <c:v>-1120</c:v>
                </c:pt>
                <c:pt idx="15">
                  <c:v>-1140</c:v>
                </c:pt>
                <c:pt idx="18">
                  <c:v>-1080</c:v>
                </c:pt>
                <c:pt idx="20">
                  <c:v>-1100</c:v>
                </c:pt>
                <c:pt idx="21">
                  <c:v>-930</c:v>
                </c:pt>
                <c:pt idx="22">
                  <c:v>-840</c:v>
                </c:pt>
                <c:pt idx="24">
                  <c:v>-900</c:v>
                </c:pt>
                <c:pt idx="25">
                  <c:v>-750</c:v>
                </c:pt>
                <c:pt idx="26">
                  <c:v>-800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'B = B(T)'!$D$20</c:f>
              <c:strCache>
                <c:ptCount val="1"/>
                <c:pt idx="0">
                  <c:v>Ref 2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 = B(T)'!$B$21:$B$41</c:f>
              <c:numCache>
                <c:formatCode>General</c:formatCode>
                <c:ptCount val="21"/>
                <c:pt idx="0">
                  <c:v>295.2</c:v>
                </c:pt>
                <c:pt idx="1">
                  <c:v>308.2</c:v>
                </c:pt>
                <c:pt idx="2">
                  <c:v>308.2</c:v>
                </c:pt>
                <c:pt idx="3">
                  <c:v>315.16000000000003</c:v>
                </c:pt>
                <c:pt idx="4">
                  <c:v>320.16000000000003</c:v>
                </c:pt>
                <c:pt idx="5">
                  <c:v>323.16000000000003</c:v>
                </c:pt>
                <c:pt idx="6">
                  <c:v>323.2</c:v>
                </c:pt>
                <c:pt idx="7">
                  <c:v>324.3</c:v>
                </c:pt>
                <c:pt idx="8">
                  <c:v>328.16</c:v>
                </c:pt>
                <c:pt idx="9">
                  <c:v>331.16</c:v>
                </c:pt>
                <c:pt idx="10">
                  <c:v>331.2</c:v>
                </c:pt>
                <c:pt idx="11">
                  <c:v>333.16</c:v>
                </c:pt>
                <c:pt idx="12">
                  <c:v>334.2</c:v>
                </c:pt>
                <c:pt idx="13">
                  <c:v>337.5</c:v>
                </c:pt>
                <c:pt idx="14">
                  <c:v>338.16</c:v>
                </c:pt>
                <c:pt idx="15">
                  <c:v>341.6</c:v>
                </c:pt>
                <c:pt idx="16">
                  <c:v>343.16</c:v>
                </c:pt>
                <c:pt idx="17">
                  <c:v>343.2</c:v>
                </c:pt>
                <c:pt idx="18">
                  <c:v>344</c:v>
                </c:pt>
                <c:pt idx="19">
                  <c:v>348.16</c:v>
                </c:pt>
                <c:pt idx="20">
                  <c:v>350.9</c:v>
                </c:pt>
              </c:numCache>
            </c:numRef>
          </c:xVal>
          <c:yVal>
            <c:numRef>
              <c:f>'B = B(T)'!$D$21:$D$41</c:f>
              <c:numCache>
                <c:formatCode>General</c:formatCode>
                <c:ptCount val="21"/>
                <c:pt idx="3">
                  <c:v>-1518</c:v>
                </c:pt>
                <c:pt idx="4">
                  <c:v>-1435</c:v>
                </c:pt>
                <c:pt idx="5">
                  <c:v>-1382</c:v>
                </c:pt>
                <c:pt idx="7">
                  <c:v>-1292</c:v>
                </c:pt>
                <c:pt idx="8">
                  <c:v>-1355</c:v>
                </c:pt>
                <c:pt idx="9">
                  <c:v>-1301</c:v>
                </c:pt>
                <c:pt idx="11">
                  <c:v>-1268</c:v>
                </c:pt>
                <c:pt idx="14">
                  <c:v>-1236</c:v>
                </c:pt>
                <c:pt idx="16">
                  <c:v>-1180</c:v>
                </c:pt>
                <c:pt idx="19">
                  <c:v>-1171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'B = B(T)'!$E$20</c:f>
              <c:strCache>
                <c:ptCount val="1"/>
                <c:pt idx="0">
                  <c:v>Ref 3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 = B(T)'!$B$21:$B$41</c:f>
              <c:numCache>
                <c:formatCode>General</c:formatCode>
                <c:ptCount val="21"/>
                <c:pt idx="0">
                  <c:v>295.2</c:v>
                </c:pt>
                <c:pt idx="1">
                  <c:v>308.2</c:v>
                </c:pt>
                <c:pt idx="2">
                  <c:v>308.2</c:v>
                </c:pt>
                <c:pt idx="3">
                  <c:v>315.16000000000003</c:v>
                </c:pt>
                <c:pt idx="4">
                  <c:v>320.16000000000003</c:v>
                </c:pt>
                <c:pt idx="5">
                  <c:v>323.16000000000003</c:v>
                </c:pt>
                <c:pt idx="6">
                  <c:v>323.2</c:v>
                </c:pt>
                <c:pt idx="7">
                  <c:v>324.3</c:v>
                </c:pt>
                <c:pt idx="8">
                  <c:v>328.16</c:v>
                </c:pt>
                <c:pt idx="9">
                  <c:v>331.16</c:v>
                </c:pt>
                <c:pt idx="10">
                  <c:v>331.2</c:v>
                </c:pt>
                <c:pt idx="11">
                  <c:v>333.16</c:v>
                </c:pt>
                <c:pt idx="12">
                  <c:v>334.2</c:v>
                </c:pt>
                <c:pt idx="13">
                  <c:v>337.5</c:v>
                </c:pt>
                <c:pt idx="14">
                  <c:v>338.16</c:v>
                </c:pt>
                <c:pt idx="15">
                  <c:v>341.6</c:v>
                </c:pt>
                <c:pt idx="16">
                  <c:v>343.16</c:v>
                </c:pt>
                <c:pt idx="17">
                  <c:v>343.2</c:v>
                </c:pt>
                <c:pt idx="18">
                  <c:v>344</c:v>
                </c:pt>
                <c:pt idx="19">
                  <c:v>348.16</c:v>
                </c:pt>
                <c:pt idx="20">
                  <c:v>350.9</c:v>
                </c:pt>
              </c:numCache>
            </c:numRef>
          </c:xVal>
          <c:yVal>
            <c:numRef>
              <c:f>'B = B(T)'!$E$21:$E$41</c:f>
              <c:numCache>
                <c:formatCode>General</c:formatCode>
                <c:ptCount val="21"/>
                <c:pt idx="0">
                  <c:v>-1631</c:v>
                </c:pt>
                <c:pt idx="1">
                  <c:v>-1519</c:v>
                </c:pt>
              </c:numCache>
            </c:numRef>
          </c:yVal>
          <c:smooth val="1"/>
        </c:ser>
        <c:ser>
          <c:idx val="3"/>
          <c:order val="3"/>
          <c:tx>
            <c:v>Predicted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 = B(T)'!$B$21:$B$47</c:f>
              <c:numCache>
                <c:formatCode>General</c:formatCode>
                <c:ptCount val="27"/>
                <c:pt idx="0">
                  <c:v>295.2</c:v>
                </c:pt>
                <c:pt idx="1">
                  <c:v>308.2</c:v>
                </c:pt>
                <c:pt idx="2">
                  <c:v>308.2</c:v>
                </c:pt>
                <c:pt idx="3">
                  <c:v>315.16000000000003</c:v>
                </c:pt>
                <c:pt idx="4">
                  <c:v>320.16000000000003</c:v>
                </c:pt>
                <c:pt idx="5">
                  <c:v>323.16000000000003</c:v>
                </c:pt>
                <c:pt idx="6">
                  <c:v>323.2</c:v>
                </c:pt>
                <c:pt idx="7">
                  <c:v>324.3</c:v>
                </c:pt>
                <c:pt idx="8">
                  <c:v>328.16</c:v>
                </c:pt>
                <c:pt idx="9">
                  <c:v>331.16</c:v>
                </c:pt>
                <c:pt idx="10">
                  <c:v>331.2</c:v>
                </c:pt>
                <c:pt idx="11">
                  <c:v>333.16</c:v>
                </c:pt>
                <c:pt idx="12">
                  <c:v>334.2</c:v>
                </c:pt>
                <c:pt idx="13">
                  <c:v>337.5</c:v>
                </c:pt>
                <c:pt idx="14">
                  <c:v>338.16</c:v>
                </c:pt>
                <c:pt idx="15">
                  <c:v>341.6</c:v>
                </c:pt>
                <c:pt idx="16">
                  <c:v>343.16</c:v>
                </c:pt>
                <c:pt idx="17">
                  <c:v>343.2</c:v>
                </c:pt>
                <c:pt idx="18">
                  <c:v>344</c:v>
                </c:pt>
                <c:pt idx="19">
                  <c:v>348.16</c:v>
                </c:pt>
                <c:pt idx="20">
                  <c:v>350.9</c:v>
                </c:pt>
                <c:pt idx="21">
                  <c:v>362.2</c:v>
                </c:pt>
                <c:pt idx="22">
                  <c:v>370.3</c:v>
                </c:pt>
                <c:pt idx="23">
                  <c:v>373.2</c:v>
                </c:pt>
                <c:pt idx="24">
                  <c:v>380.4</c:v>
                </c:pt>
                <c:pt idx="25">
                  <c:v>393.4</c:v>
                </c:pt>
                <c:pt idx="26">
                  <c:v>404.2</c:v>
                </c:pt>
              </c:numCache>
            </c:numRef>
          </c:xVal>
          <c:yVal>
            <c:numRef>
              <c:f>'B = B(T)'!$H$21:$H$47</c:f>
              <c:numCache>
                <c:formatCode>0</c:formatCode>
                <c:ptCount val="27"/>
                <c:pt idx="0">
                  <c:v>-1718.0829945345072</c:v>
                </c:pt>
                <c:pt idx="1">
                  <c:v>-1519.0013391732391</c:v>
                </c:pt>
                <c:pt idx="2">
                  <c:v>-1519.0013391732391</c:v>
                </c:pt>
                <c:pt idx="3">
                  <c:v>-1428.3224593845093</c:v>
                </c:pt>
                <c:pt idx="4">
                  <c:v>-1368.9183822467407</c:v>
                </c:pt>
                <c:pt idx="5">
                  <c:v>-1335.3567550343018</c:v>
                </c:pt>
                <c:pt idx="6">
                  <c:v>-1334.9192583580186</c:v>
                </c:pt>
                <c:pt idx="7">
                  <c:v>-1322.988372483459</c:v>
                </c:pt>
                <c:pt idx="8">
                  <c:v>-1282.604119697987</c:v>
                </c:pt>
                <c:pt idx="9">
                  <c:v>-1252.7314205675225</c:v>
                </c:pt>
                <c:pt idx="10">
                  <c:v>-1252.3416762669467</c:v>
                </c:pt>
                <c:pt idx="11">
                  <c:v>-1233.5115098180111</c:v>
                </c:pt>
                <c:pt idx="12">
                  <c:v>-1223.7287325988309</c:v>
                </c:pt>
                <c:pt idx="13">
                  <c:v>-1193.6086182319484</c:v>
                </c:pt>
                <c:pt idx="14">
                  <c:v>-1187.747617239691</c:v>
                </c:pt>
                <c:pt idx="15">
                  <c:v>-1158.0401141285665</c:v>
                </c:pt>
                <c:pt idx="16">
                  <c:v>-1145.0173929352829</c:v>
                </c:pt>
                <c:pt idx="17" formatCode="0.00">
                  <c:v>-1144.6870525445222</c:v>
                </c:pt>
                <c:pt idx="18" formatCode="0.00">
                  <c:v>-1138.1172511887173</c:v>
                </c:pt>
                <c:pt idx="19" formatCode="0.00">
                  <c:v>-1105.0574469240164</c:v>
                </c:pt>
                <c:pt idx="20" formatCode="0.00">
                  <c:v>-1084.2484883995221</c:v>
                </c:pt>
                <c:pt idx="21">
                  <c:v>-1005.7340460615109</c:v>
                </c:pt>
                <c:pt idx="22">
                  <c:v>-955.84500210175747</c:v>
                </c:pt>
                <c:pt idx="23" formatCode="General">
                  <c:v>-939.12962132560085</c:v>
                </c:pt>
                <c:pt idx="24" formatCode="General">
                  <c:v>-899.99993820628754</c:v>
                </c:pt>
                <c:pt idx="25" formatCode="General">
                  <c:v>-836.95561325539984</c:v>
                </c:pt>
                <c:pt idx="26" formatCode="General">
                  <c:v>-790.95684711917625</c:v>
                </c:pt>
              </c:numCache>
            </c:numRef>
          </c:yVal>
          <c:smooth val="1"/>
        </c:ser>
        <c:ser>
          <c:idx val="5"/>
          <c:order val="4"/>
          <c:tx>
            <c:v>Ref 4</c:v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 = B(T)'!$B$21:$B$47</c:f>
              <c:numCache>
                <c:formatCode>General</c:formatCode>
                <c:ptCount val="27"/>
                <c:pt idx="0">
                  <c:v>295.2</c:v>
                </c:pt>
                <c:pt idx="1">
                  <c:v>308.2</c:v>
                </c:pt>
                <c:pt idx="2">
                  <c:v>308.2</c:v>
                </c:pt>
                <c:pt idx="3">
                  <c:v>315.16000000000003</c:v>
                </c:pt>
                <c:pt idx="4">
                  <c:v>320.16000000000003</c:v>
                </c:pt>
                <c:pt idx="5">
                  <c:v>323.16000000000003</c:v>
                </c:pt>
                <c:pt idx="6">
                  <c:v>323.2</c:v>
                </c:pt>
                <c:pt idx="7">
                  <c:v>324.3</c:v>
                </c:pt>
                <c:pt idx="8">
                  <c:v>328.16</c:v>
                </c:pt>
                <c:pt idx="9">
                  <c:v>331.16</c:v>
                </c:pt>
                <c:pt idx="10">
                  <c:v>331.2</c:v>
                </c:pt>
                <c:pt idx="11">
                  <c:v>333.16</c:v>
                </c:pt>
                <c:pt idx="12">
                  <c:v>334.2</c:v>
                </c:pt>
                <c:pt idx="13">
                  <c:v>337.5</c:v>
                </c:pt>
                <c:pt idx="14">
                  <c:v>338.16</c:v>
                </c:pt>
                <c:pt idx="15">
                  <c:v>341.6</c:v>
                </c:pt>
                <c:pt idx="16">
                  <c:v>343.16</c:v>
                </c:pt>
                <c:pt idx="17">
                  <c:v>343.2</c:v>
                </c:pt>
                <c:pt idx="18">
                  <c:v>344</c:v>
                </c:pt>
                <c:pt idx="19">
                  <c:v>348.16</c:v>
                </c:pt>
                <c:pt idx="20">
                  <c:v>350.9</c:v>
                </c:pt>
                <c:pt idx="21">
                  <c:v>362.2</c:v>
                </c:pt>
                <c:pt idx="22">
                  <c:v>370.3</c:v>
                </c:pt>
                <c:pt idx="23">
                  <c:v>373.2</c:v>
                </c:pt>
                <c:pt idx="24">
                  <c:v>380.4</c:v>
                </c:pt>
                <c:pt idx="25">
                  <c:v>393.4</c:v>
                </c:pt>
                <c:pt idx="26">
                  <c:v>404.2</c:v>
                </c:pt>
              </c:numCache>
            </c:numRef>
          </c:xVal>
          <c:yVal>
            <c:numRef>
              <c:f>'B = B(T)'!$F$21:$F$48</c:f>
              <c:numCache>
                <c:formatCode>General</c:formatCode>
                <c:ptCount val="28"/>
                <c:pt idx="2">
                  <c:v>-1457</c:v>
                </c:pt>
                <c:pt idx="6">
                  <c:v>-1309</c:v>
                </c:pt>
                <c:pt idx="17">
                  <c:v>-1121</c:v>
                </c:pt>
                <c:pt idx="23">
                  <c:v>-910</c:v>
                </c:pt>
              </c:numCache>
            </c:numRef>
          </c:yVal>
          <c:smooth val="1"/>
        </c:ser>
        <c:ser>
          <c:idx val="4"/>
          <c:order val="5"/>
          <c:tx>
            <c:v>Clausius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 = B(T)'!$B$21:$B$37</c:f>
              <c:numCache>
                <c:formatCode>General</c:formatCode>
                <c:ptCount val="17"/>
                <c:pt idx="0">
                  <c:v>295.2</c:v>
                </c:pt>
                <c:pt idx="1">
                  <c:v>308.2</c:v>
                </c:pt>
                <c:pt idx="2">
                  <c:v>308.2</c:v>
                </c:pt>
                <c:pt idx="3">
                  <c:v>315.16000000000003</c:v>
                </c:pt>
                <c:pt idx="4">
                  <c:v>320.16000000000003</c:v>
                </c:pt>
                <c:pt idx="5">
                  <c:v>323.16000000000003</c:v>
                </c:pt>
                <c:pt idx="6">
                  <c:v>323.2</c:v>
                </c:pt>
                <c:pt idx="7">
                  <c:v>324.3</c:v>
                </c:pt>
                <c:pt idx="8">
                  <c:v>328.16</c:v>
                </c:pt>
                <c:pt idx="9">
                  <c:v>331.16</c:v>
                </c:pt>
                <c:pt idx="10">
                  <c:v>331.2</c:v>
                </c:pt>
                <c:pt idx="11">
                  <c:v>333.16</c:v>
                </c:pt>
                <c:pt idx="12">
                  <c:v>334.2</c:v>
                </c:pt>
                <c:pt idx="13">
                  <c:v>337.5</c:v>
                </c:pt>
                <c:pt idx="14">
                  <c:v>338.16</c:v>
                </c:pt>
                <c:pt idx="15">
                  <c:v>341.6</c:v>
                </c:pt>
                <c:pt idx="16">
                  <c:v>343.16</c:v>
                </c:pt>
              </c:numCache>
            </c:numRef>
          </c:xVal>
          <c:yVal>
            <c:numRef>
              <c:f>'B = B(T)'!$M$21:$M$37</c:f>
              <c:numCache>
                <c:formatCode>0.00</c:formatCode>
                <c:ptCount val="17"/>
                <c:pt idx="0">
                  <c:v>-204.49197463225076</c:v>
                </c:pt>
                <c:pt idx="1">
                  <c:v>-189.90896812453377</c:v>
                </c:pt>
                <c:pt idx="2">
                  <c:v>-189.90896812453377</c:v>
                </c:pt>
                <c:pt idx="3">
                  <c:v>-182.59592358874156</c:v>
                </c:pt>
                <c:pt idx="4">
                  <c:v>-177.53855570764276</c:v>
                </c:pt>
                <c:pt idx="5">
                  <c:v>-174.57925369983158</c:v>
                </c:pt>
                <c:pt idx="6">
                  <c:v>-174.54016747331258</c:v>
                </c:pt>
                <c:pt idx="7">
                  <c:v>-173.46907469979485</c:v>
                </c:pt>
                <c:pt idx="8">
                  <c:v>-169.76732186362958</c:v>
                </c:pt>
                <c:pt idx="9">
                  <c:v>-166.94990932796034</c:v>
                </c:pt>
                <c:pt idx="10">
                  <c:v>-166.91268863159542</c:v>
                </c:pt>
                <c:pt idx="11">
                  <c:v>-165.09982308770498</c:v>
                </c:pt>
                <c:pt idx="12">
                  <c:v>-164.14652933890807</c:v>
                </c:pt>
                <c:pt idx="13">
                  <c:v>-161.16055258776174</c:v>
                </c:pt>
                <c:pt idx="14">
                  <c:v>-160.57035065362811</c:v>
                </c:pt>
                <c:pt idx="15">
                  <c:v>-157.53106828576435</c:v>
                </c:pt>
                <c:pt idx="16">
                  <c:v>-156.17287123837858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67968"/>
        <c:axId val="214869888"/>
      </c:scatterChart>
      <c:valAx>
        <c:axId val="214867968"/>
        <c:scaling>
          <c:orientation val="minMax"/>
          <c:max val="430"/>
          <c:min val="290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, K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54285783134363752"/>
              <c:y val="0.919119847004842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869888"/>
        <c:crossesAt val="-2500"/>
        <c:crossBetween val="midCat"/>
        <c:majorUnit val="20"/>
        <c:minorUnit val="10"/>
      </c:valAx>
      <c:valAx>
        <c:axId val="214869888"/>
        <c:scaling>
          <c:orientation val="minMax"/>
          <c:max val="0"/>
          <c:min val="-20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B,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2987029457981759E-2"/>
              <c:y val="0.3946087876474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867968"/>
        <c:crosses val="autoZero"/>
        <c:crossBetween val="midCat"/>
        <c:majorUnit val="500"/>
        <c:minorUnit val="10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60519557274195002"/>
          <c:y val="0.44853048533836298"/>
          <c:w val="0.31948092466635131"/>
          <c:h val="0.3627459662845776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032102758437098"/>
          <c:y val="5.7926915501910703E-2"/>
          <c:w val="0.7230330992522026"/>
          <c:h val="0.7408547614191737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'VL-Rackett'!$D$15</c:f>
              <c:strCache>
                <c:ptCount val="1"/>
                <c:pt idx="0">
                  <c:v>Clausius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'VL-Rackett'!$B$20:$B$41</c:f>
              <c:numCache>
                <c:formatCode>0.0</c:formatCode>
                <c:ptCount val="22"/>
                <c:pt idx="0">
                  <c:v>282.11</c:v>
                </c:pt>
                <c:pt idx="1">
                  <c:v>291.77860134885822</c:v>
                </c:pt>
                <c:pt idx="2">
                  <c:v>301.77856937044379</c:v>
                </c:pt>
                <c:pt idx="3">
                  <c:v>312.12126081304262</c:v>
                </c:pt>
                <c:pt idx="4">
                  <c:v>322.81842164854754</c:v>
                </c:pt>
                <c:pt idx="5">
                  <c:v>333.88220041210576</c:v>
                </c:pt>
                <c:pt idx="6">
                  <c:v>345.32516199894849</c:v>
                </c:pt>
                <c:pt idx="7">
                  <c:v>357.16030193407204</c:v>
                </c:pt>
                <c:pt idx="8">
                  <c:v>369.40106113097517</c:v>
                </c:pt>
                <c:pt idx="9">
                  <c:v>382.06134115621563</c:v>
                </c:pt>
                <c:pt idx="10">
                  <c:v>395.15552001711933</c:v>
                </c:pt>
                <c:pt idx="11">
                  <c:v>408.69846849057387</c:v>
                </c:pt>
                <c:pt idx="12">
                  <c:v>422.70556701144949</c:v>
                </c:pt>
                <c:pt idx="13">
                  <c:v>437.19272313982765</c:v>
                </c:pt>
                <c:pt idx="14">
                  <c:v>452.1763896268742</c:v>
                </c:pt>
                <c:pt idx="15">
                  <c:v>467.6735830998748</c:v>
                </c:pt>
                <c:pt idx="16">
                  <c:v>483.70190338765184</c:v>
                </c:pt>
                <c:pt idx="17">
                  <c:v>500.27955350831081</c:v>
                </c:pt>
                <c:pt idx="18">
                  <c:v>517.42536034201612</c:v>
                </c:pt>
                <c:pt idx="19">
                  <c:v>535.15879601227323</c:v>
                </c:pt>
                <c:pt idx="20">
                  <c:v>551.66587960122718</c:v>
                </c:pt>
                <c:pt idx="21" formatCode="General">
                  <c:v>553.5</c:v>
                </c:pt>
              </c:numCache>
            </c:numRef>
          </c:xVal>
          <c:yVal>
            <c:numRef>
              <c:f>'VL-Rackett'!$D$20:$D$41</c:f>
              <c:numCache>
                <c:formatCode>0.000</c:formatCode>
                <c:ptCount val="22"/>
                <c:pt idx="0">
                  <c:v>0.15886797403654285</c:v>
                </c:pt>
                <c:pt idx="1">
                  <c:v>0.16006508994473784</c:v>
                </c:pt>
                <c:pt idx="2">
                  <c:v>0.16137316940622423</c:v>
                </c:pt>
                <c:pt idx="3">
                  <c:v>0.16280799846947722</c:v>
                </c:pt>
                <c:pt idx="4">
                  <c:v>0.16438841243443053</c:v>
                </c:pt>
                <c:pt idx="5">
                  <c:v>0.1661370398442604</c:v>
                </c:pt>
                <c:pt idx="6">
                  <c:v>0.1680812998912565</c:v>
                </c:pt>
                <c:pt idx="7">
                  <c:v>0.17025474465960611</c:v>
                </c:pt>
                <c:pt idx="8">
                  <c:v>0.17269890421240794</c:v>
                </c:pt>
                <c:pt idx="9">
                  <c:v>0.17548281667760959</c:v>
                </c:pt>
                <c:pt idx="10">
                  <c:v>0.17865537124683364</c:v>
                </c:pt>
                <c:pt idx="11">
                  <c:v>0.18231702957701265</c:v>
                </c:pt>
                <c:pt idx="12">
                  <c:v>0.18659311795897909</c:v>
                </c:pt>
                <c:pt idx="13">
                  <c:v>0.19165988536529444</c:v>
                </c:pt>
                <c:pt idx="14">
                  <c:v>0.19777614662262244</c:v>
                </c:pt>
                <c:pt idx="15">
                  <c:v>0.20534350355114442</c:v>
                </c:pt>
                <c:pt idx="16">
                  <c:v>0.21503402617941178</c:v>
                </c:pt>
                <c:pt idx="17">
                  <c:v>0.22808373551016328</c:v>
                </c:pt>
                <c:pt idx="18">
                  <c:v>0.24715177193429846</c:v>
                </c:pt>
                <c:pt idx="19">
                  <c:v>0.27982847066724797</c:v>
                </c:pt>
                <c:pt idx="20">
                  <c:v>0.36265577097285967</c:v>
                </c:pt>
                <c:pt idx="21">
                  <c:v>0.42371236972133569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'VL-Rackett'!$E$15</c:f>
              <c:strCache>
                <c:ptCount val="1"/>
                <c:pt idx="0">
                  <c:v>Rackett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'VL-Rackett'!$B$20:$B$41</c:f>
              <c:numCache>
                <c:formatCode>0.0</c:formatCode>
                <c:ptCount val="22"/>
                <c:pt idx="0">
                  <c:v>282.11</c:v>
                </c:pt>
                <c:pt idx="1">
                  <c:v>291.77860134885822</c:v>
                </c:pt>
                <c:pt idx="2">
                  <c:v>301.77856937044379</c:v>
                </c:pt>
                <c:pt idx="3">
                  <c:v>312.12126081304262</c:v>
                </c:pt>
                <c:pt idx="4">
                  <c:v>322.81842164854754</c:v>
                </c:pt>
                <c:pt idx="5">
                  <c:v>333.88220041210576</c:v>
                </c:pt>
                <c:pt idx="6">
                  <c:v>345.32516199894849</c:v>
                </c:pt>
                <c:pt idx="7">
                  <c:v>357.16030193407204</c:v>
                </c:pt>
                <c:pt idx="8">
                  <c:v>369.40106113097517</c:v>
                </c:pt>
                <c:pt idx="9">
                  <c:v>382.06134115621563</c:v>
                </c:pt>
                <c:pt idx="10">
                  <c:v>395.15552001711933</c:v>
                </c:pt>
                <c:pt idx="11">
                  <c:v>408.69846849057387</c:v>
                </c:pt>
                <c:pt idx="12">
                  <c:v>422.70556701144949</c:v>
                </c:pt>
                <c:pt idx="13">
                  <c:v>437.19272313982765</c:v>
                </c:pt>
                <c:pt idx="14">
                  <c:v>452.1763896268742</c:v>
                </c:pt>
                <c:pt idx="15">
                  <c:v>467.6735830998748</c:v>
                </c:pt>
                <c:pt idx="16">
                  <c:v>483.70190338765184</c:v>
                </c:pt>
                <c:pt idx="17">
                  <c:v>500.27955350831081</c:v>
                </c:pt>
                <c:pt idx="18">
                  <c:v>517.42536034201612</c:v>
                </c:pt>
                <c:pt idx="19">
                  <c:v>535.15879601227323</c:v>
                </c:pt>
                <c:pt idx="20">
                  <c:v>551.66587960122718</c:v>
                </c:pt>
                <c:pt idx="21" formatCode="General">
                  <c:v>553.5</c:v>
                </c:pt>
              </c:numCache>
            </c:numRef>
          </c:xVal>
          <c:yVal>
            <c:numRef>
              <c:f>'VL-Rackett'!$E$20:$E$41</c:f>
              <c:numCache>
                <c:formatCode>0.000</c:formatCode>
                <c:ptCount val="22"/>
                <c:pt idx="0">
                  <c:v>0.14692920959725828</c:v>
                </c:pt>
                <c:pt idx="1">
                  <c:v>0.14854247225931708</c:v>
                </c:pt>
                <c:pt idx="2">
                  <c:v>0.15027586473089294</c:v>
                </c:pt>
                <c:pt idx="3">
                  <c:v>0.15214344719525133</c:v>
                </c:pt>
                <c:pt idx="4">
                  <c:v>0.15416177896892549</c:v>
                </c:pt>
                <c:pt idx="5">
                  <c:v>0.15635054548648941</c:v>
                </c:pt>
                <c:pt idx="6">
                  <c:v>0.15873339552852953</c:v>
                </c:pt>
                <c:pt idx="7">
                  <c:v>0.16133907970352671</c:v>
                </c:pt>
                <c:pt idx="8">
                  <c:v>0.164203030927948</c:v>
                </c:pt>
                <c:pt idx="9">
                  <c:v>0.16736961120666466</c:v>
                </c:pt>
                <c:pt idx="10">
                  <c:v>0.17089539479467938</c:v>
                </c:pt>
                <c:pt idx="11">
                  <c:v>0.17485412355037927</c:v>
                </c:pt>
                <c:pt idx="12">
                  <c:v>0.17934448035697817</c:v>
                </c:pt>
                <c:pt idx="13">
                  <c:v>0.18450286812023772</c:v>
                </c:pt>
                <c:pt idx="14">
                  <c:v>0.19052567651564883</c:v>
                </c:pt>
                <c:pt idx="15">
                  <c:v>0.19771107899298451</c:v>
                </c:pt>
                <c:pt idx="16">
                  <c:v>0.20654565756250839</c:v>
                </c:pt>
                <c:pt idx="17">
                  <c:v>0.21791079070508987</c:v>
                </c:pt>
                <c:pt idx="18">
                  <c:v>0.23369220363700866</c:v>
                </c:pt>
                <c:pt idx="19">
                  <c:v>0.25945256264767824</c:v>
                </c:pt>
                <c:pt idx="20">
                  <c:v>0.32865320913288915</c:v>
                </c:pt>
                <c:pt idx="21">
                  <c:v>0.42371236972133569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02592"/>
        <c:axId val="197117440"/>
      </c:scatterChart>
      <c:valAx>
        <c:axId val="197102592"/>
        <c:scaling>
          <c:orientation val="minMax"/>
          <c:max val="54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Temperature, K</a:t>
                </a:r>
              </a:p>
            </c:rich>
          </c:tx>
          <c:layout>
            <c:manualLayout>
              <c:xMode val="edge"/>
              <c:yMode val="edge"/>
              <c:x val="0.44606477494188307"/>
              <c:y val="0.8902452277135749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117440"/>
        <c:crosses val="autoZero"/>
        <c:crossBetween val="midCat"/>
        <c:majorUnit val="40"/>
        <c:minorUnit val="20"/>
      </c:valAx>
      <c:valAx>
        <c:axId val="197117440"/>
        <c:scaling>
          <c:orientation val="minMax"/>
          <c:max val="0.16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Liquid molar volume, 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4577280226858924E-2"/>
              <c:y val="0.170731961479315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7102592"/>
        <c:crosses val="autoZero"/>
        <c:crossBetween val="midCat"/>
        <c:majorUnit val="0.04"/>
        <c:minorUnit val="0.0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8571469244643488"/>
          <c:y val="0.10670747592457235"/>
          <c:w val="0.3586010935807295"/>
          <c:h val="0.1493904662944012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511627906976744"/>
          <c:y val="3.343465045592704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05813953488372"/>
          <c:y val="4.5592705167173252E-2"/>
          <c:w val="0.7558139534883721"/>
          <c:h val="0.78115501519756836"/>
        </c:manualLayout>
      </c:layout>
      <c:scatterChart>
        <c:scatterStyle val="smoothMarker"/>
        <c:varyColors val="0"/>
        <c:ser>
          <c:idx val="3"/>
          <c:order val="0"/>
          <c:tx>
            <c:v>C(T)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'VL-Rackett'!$B$20:$B$41</c:f>
              <c:numCache>
                <c:formatCode>0.0</c:formatCode>
                <c:ptCount val="22"/>
                <c:pt idx="0">
                  <c:v>282.11</c:v>
                </c:pt>
                <c:pt idx="1">
                  <c:v>291.77860134885822</c:v>
                </c:pt>
                <c:pt idx="2">
                  <c:v>301.77856937044379</c:v>
                </c:pt>
                <c:pt idx="3">
                  <c:v>312.12126081304262</c:v>
                </c:pt>
                <c:pt idx="4">
                  <c:v>322.81842164854754</c:v>
                </c:pt>
                <c:pt idx="5">
                  <c:v>333.88220041210576</c:v>
                </c:pt>
                <c:pt idx="6">
                  <c:v>345.32516199894849</c:v>
                </c:pt>
                <c:pt idx="7">
                  <c:v>357.16030193407204</c:v>
                </c:pt>
                <c:pt idx="8">
                  <c:v>369.40106113097517</c:v>
                </c:pt>
                <c:pt idx="9">
                  <c:v>382.06134115621563</c:v>
                </c:pt>
                <c:pt idx="10">
                  <c:v>395.15552001711933</c:v>
                </c:pt>
                <c:pt idx="11">
                  <c:v>408.69846849057387</c:v>
                </c:pt>
                <c:pt idx="12">
                  <c:v>422.70556701144949</c:v>
                </c:pt>
                <c:pt idx="13">
                  <c:v>437.19272313982765</c:v>
                </c:pt>
                <c:pt idx="14">
                  <c:v>452.1763896268742</c:v>
                </c:pt>
                <c:pt idx="15">
                  <c:v>467.6735830998748</c:v>
                </c:pt>
                <c:pt idx="16">
                  <c:v>483.70190338765184</c:v>
                </c:pt>
                <c:pt idx="17">
                  <c:v>500.27955350831081</c:v>
                </c:pt>
                <c:pt idx="18">
                  <c:v>517.42536034201612</c:v>
                </c:pt>
                <c:pt idx="19">
                  <c:v>535.15879601227323</c:v>
                </c:pt>
                <c:pt idx="20">
                  <c:v>551.66587960122718</c:v>
                </c:pt>
                <c:pt idx="21" formatCode="General">
                  <c:v>553.5</c:v>
                </c:pt>
              </c:numCache>
            </c:numRef>
          </c:xVal>
          <c:yVal>
            <c:numRef>
              <c:f>'VL-Rackett'!$F$20:$F$41</c:f>
              <c:numCache>
                <c:formatCode>0.000</c:formatCode>
                <c:ptCount val="22"/>
                <c:pt idx="0">
                  <c:v>-1.1938764439284572E-2</c:v>
                </c:pt>
                <c:pt idx="1">
                  <c:v>-1.1522617685420761E-2</c:v>
                </c:pt>
                <c:pt idx="2">
                  <c:v>-1.1097304675331293E-2</c:v>
                </c:pt>
                <c:pt idx="3">
                  <c:v>-1.0664551274225886E-2</c:v>
                </c:pt>
                <c:pt idx="4">
                  <c:v>-1.0226633465505036E-2</c:v>
                </c:pt>
                <c:pt idx="5">
                  <c:v>-9.7864943577709862E-3</c:v>
                </c:pt>
                <c:pt idx="6">
                  <c:v>-9.3479043627269776E-3</c:v>
                </c:pt>
                <c:pt idx="7">
                  <c:v>-8.9156649560793999E-3</c:v>
                </c:pt>
                <c:pt idx="8">
                  <c:v>-8.4958732844599427E-3</c:v>
                </c:pt>
                <c:pt idx="9">
                  <c:v>-8.1132054709449342E-3</c:v>
                </c:pt>
                <c:pt idx="10">
                  <c:v>-7.7599764521542602E-3</c:v>
                </c:pt>
                <c:pt idx="11">
                  <c:v>-7.4629060266333813E-3</c:v>
                </c:pt>
                <c:pt idx="12">
                  <c:v>-7.2486376020009236E-3</c:v>
                </c:pt>
                <c:pt idx="13">
                  <c:v>-7.1570172450567127E-3</c:v>
                </c:pt>
                <c:pt idx="14">
                  <c:v>-7.2504701069736055E-3</c:v>
                </c:pt>
                <c:pt idx="15">
                  <c:v>-7.6324245581599059E-3</c:v>
                </c:pt>
                <c:pt idx="16">
                  <c:v>-8.4883686169033856E-3</c:v>
                </c:pt>
                <c:pt idx="17">
                  <c:v>-1.0172944805073414E-2</c:v>
                </c:pt>
                <c:pt idx="18">
                  <c:v>-1.3459568297289809E-2</c:v>
                </c:pt>
                <c:pt idx="19">
                  <c:v>-2.0375908019569733E-2</c:v>
                </c:pt>
                <c:pt idx="20">
                  <c:v>-3.4002561839970524E-2</c:v>
                </c:pt>
                <c:pt idx="2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13376"/>
        <c:axId val="197815680"/>
      </c:scatterChart>
      <c:valAx>
        <c:axId val="197813376"/>
        <c:scaling>
          <c:orientation val="minMax"/>
          <c:max val="6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Temperature, K</a:t>
                </a:r>
              </a:p>
            </c:rich>
          </c:tx>
          <c:layout>
            <c:manualLayout>
              <c:xMode val="edge"/>
              <c:yMode val="edge"/>
              <c:x val="0.45348837209302323"/>
              <c:y val="0.9088145896656535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815680"/>
        <c:crossesAt val="-1"/>
        <c:crossBetween val="midCat"/>
        <c:majorUnit val="40"/>
        <c:minorUnit val="20"/>
      </c:valAx>
      <c:valAx>
        <c:axId val="1978156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(</a:t>
                </a:r>
                <a:r>
                  <a:rPr lang="en-GB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), 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4534883720930232E-2"/>
              <c:y val="0.313069908814589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813376"/>
        <c:crosses val="autoZero"/>
        <c:crossBetween val="midCat"/>
        <c:minorUnit val="0.0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8837209302325579"/>
          <c:y val="0.50759878419452886"/>
          <c:w val="0.17151162790697674"/>
          <c:h val="6.079027355623100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GB"/>
              <a:t>Isotherms</a:t>
            </a:r>
          </a:p>
        </c:rich>
      </c:tx>
      <c:layout>
        <c:manualLayout>
          <c:xMode val="edge"/>
          <c:yMode val="edge"/>
          <c:x val="0.66666837544182522"/>
          <c:y val="0.1450621656242935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94755769038532"/>
          <c:y val="5.8642152060884634E-2"/>
          <c:w val="0.75328277067639304"/>
          <c:h val="0.71296511189812373"/>
        </c:manualLayout>
      </c:layout>
      <c:scatterChart>
        <c:scatterStyle val="lineMarker"/>
        <c:varyColors val="0"/>
        <c:ser>
          <c:idx val="4"/>
          <c:order val="0"/>
          <c:tx>
            <c:strRef>
              <c:f>Isotherms!$E$22</c:f>
              <c:strCache>
                <c:ptCount val="1"/>
                <c:pt idx="0">
                  <c:v>0.904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Isotherms!$E$25:$E$89</c:f>
              <c:numCache>
                <c:formatCode>General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Isotherms!$F$25:$F$89</c:f>
              <c:numCache>
                <c:formatCode>General</c:formatCode>
                <c:ptCount val="65"/>
                <c:pt idx="0">
                  <c:v>41594597.08260154</c:v>
                </c:pt>
                <c:pt idx="1">
                  <c:v>858.3229659672636</c:v>
                </c:pt>
                <c:pt idx="2">
                  <c:v>159.85397407940604</c:v>
                </c:pt>
                <c:pt idx="3">
                  <c:v>23.112781646317888</c:v>
                </c:pt>
                <c:pt idx="4">
                  <c:v>-3.7138947331730741</c:v>
                </c:pt>
                <c:pt idx="5">
                  <c:v>-1.9246475681345327</c:v>
                </c:pt>
                <c:pt idx="6">
                  <c:v>6.3379987558070567</c:v>
                </c:pt>
                <c:pt idx="7">
                  <c:v>14.336125534912645</c:v>
                </c:pt>
                <c:pt idx="8">
                  <c:v>20.234461362675592</c:v>
                </c:pt>
                <c:pt idx="9">
                  <c:v>23.863021372942331</c:v>
                </c:pt>
                <c:pt idx="10">
                  <c:v>25.582230322790828</c:v>
                </c:pt>
                <c:pt idx="11">
                  <c:v>25.864703652654736</c:v>
                </c:pt>
                <c:pt idx="12">
                  <c:v>25.145709615196115</c:v>
                </c:pt>
                <c:pt idx="13">
                  <c:v>23.778899741210331</c:v>
                </c:pt>
                <c:pt idx="14">
                  <c:v>22.032940774543221</c:v>
                </c:pt>
                <c:pt idx="15">
                  <c:v>20.102628251648706</c:v>
                </c:pt>
                <c:pt idx="16">
                  <c:v>18.123581280365837</c:v>
                </c:pt>
                <c:pt idx="17">
                  <c:v>16.186219816156978</c:v>
                </c:pt>
                <c:pt idx="18">
                  <c:v>14.347572104344554</c:v>
                </c:pt>
                <c:pt idx="19">
                  <c:v>12.640663893865394</c:v>
                </c:pt>
                <c:pt idx="20">
                  <c:v>11.081713198167233</c:v>
                </c:pt>
                <c:pt idx="21">
                  <c:v>9.6755018382215408</c:v>
                </c:pt>
                <c:pt idx="22">
                  <c:v>8.4193036717629539</c:v>
                </c:pt>
                <c:pt idx="23">
                  <c:v>7.3057046453183627</c:v>
                </c:pt>
                <c:pt idx="24">
                  <c:v>6.3245901379705263</c:v>
                </c:pt>
                <c:pt idx="25">
                  <c:v>5.464517002273344</c:v>
                </c:pt>
                <c:pt idx="26">
                  <c:v>4.7136374296335148</c:v>
                </c:pt>
                <c:pt idx="27">
                  <c:v>4.0603007464283554</c:v>
                </c:pt>
                <c:pt idx="28">
                  <c:v>3.4934269443663823</c:v>
                </c:pt>
                <c:pt idx="29">
                  <c:v>3.0027208979240414</c:v>
                </c:pt>
                <c:pt idx="30">
                  <c:v>2.5787774184744152</c:v>
                </c:pt>
                <c:pt idx="31">
                  <c:v>2.2131132456559421</c:v>
                </c:pt>
                <c:pt idx="32">
                  <c:v>1.8981516864810049</c:v>
                </c:pt>
                <c:pt idx="33">
                  <c:v>1.6271779964974151</c:v>
                </c:pt>
                <c:pt idx="34">
                  <c:v>1.3942780600397855</c:v>
                </c:pt>
                <c:pt idx="35">
                  <c:v>1.1942689332312422</c:v>
                </c:pt>
                <c:pt idx="36">
                  <c:v>1.0226269577891689</c:v>
                </c:pt>
                <c:pt idx="37">
                  <c:v>0.87541713080709105</c:v>
                </c:pt>
                <c:pt idx="38">
                  <c:v>0.7492259983180477</c:v>
                </c:pt>
                <c:pt idx="39">
                  <c:v>0.6410993605244738</c:v>
                </c:pt>
                <c:pt idx="40">
                  <c:v>0.54848541052958144</c:v>
                </c:pt>
                <c:pt idx="41">
                  <c:v>0.46918348585996517</c:v>
                </c:pt>
                <c:pt idx="42">
                  <c:v>0.40129832729510378</c:v>
                </c:pt>
                <c:pt idx="43">
                  <c:v>0.34319956495375337</c:v>
                </c:pt>
                <c:pt idx="44">
                  <c:v>0.29348605300712693</c:v>
                </c:pt>
                <c:pt idx="45">
                  <c:v>0.25095462732160168</c:v>
                </c:pt>
                <c:pt idx="46">
                  <c:v>0.21457284740256063</c:v>
                </c:pt>
                <c:pt idx="47">
                  <c:v>0.18345529298015559</c:v>
                </c:pt>
                <c:pt idx="48">
                  <c:v>0.15684300791963579</c:v>
                </c:pt>
                <c:pt idx="49">
                  <c:v>0.13408571398641711</c:v>
                </c:pt>
                <c:pt idx="50">
                  <c:v>0.11462645038049132</c:v>
                </c:pt>
                <c:pt idx="51">
                  <c:v>9.798832925230487E-2</c:v>
                </c:pt>
                <c:pt idx="52">
                  <c:v>8.3763130944385061E-2</c:v>
                </c:pt>
                <c:pt idx="53">
                  <c:v>7.1601494448911451E-2</c:v>
                </c:pt>
                <c:pt idx="54">
                  <c:v>6.120448796192389E-2</c:v>
                </c:pt>
                <c:pt idx="55">
                  <c:v>5.2316371185679451E-2</c:v>
                </c:pt>
                <c:pt idx="56">
                  <c:v>4.4718385118723371E-2</c:v>
                </c:pt>
                <c:pt idx="57">
                  <c:v>3.8223426543755962E-2</c:v>
                </c:pt>
                <c:pt idx="58">
                  <c:v>3.2671483419315986E-2</c:v>
                </c:pt>
                <c:pt idx="59">
                  <c:v>2.7925724088649982E-2</c:v>
                </c:pt>
                <c:pt idx="60">
                  <c:v>2.3869147843531339E-2</c:v>
                </c:pt>
                <c:pt idx="61">
                  <c:v>2.0401717132124988E-2</c:v>
                </c:pt>
                <c:pt idx="62">
                  <c:v>1.7437902782610936E-2</c:v>
                </c:pt>
                <c:pt idx="63">
                  <c:v>1.4904583221091861E-2</c:v>
                </c:pt>
                <c:pt idx="64">
                  <c:v>1.2739246971530971E-2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Isotherms!$I$22</c:f>
              <c:strCache>
                <c:ptCount val="1"/>
                <c:pt idx="0">
                  <c:v>0.738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Isotherms!$I$25:$I$89</c:f>
              <c:numCache>
                <c:formatCode>General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Isotherms!$J$25:$J$89</c:f>
              <c:numCache>
                <c:formatCode>General</c:formatCode>
                <c:ptCount val="65"/>
                <c:pt idx="0">
                  <c:v>33979903.477606289</c:v>
                </c:pt>
                <c:pt idx="1">
                  <c:v>413.26671409591739</c:v>
                </c:pt>
                <c:pt idx="2">
                  <c:v>-79.746950393042937</c:v>
                </c:pt>
                <c:pt idx="3">
                  <c:v>-134.77306120870387</c:v>
                </c:pt>
                <c:pt idx="4">
                  <c:v>-115.28095890405861</c:v>
                </c:pt>
                <c:pt idx="5">
                  <c:v>-83.570224679119562</c:v>
                </c:pt>
                <c:pt idx="6">
                  <c:v>-54.722813269062641</c:v>
                </c:pt>
                <c:pt idx="7">
                  <c:v>-32.046427781778803</c:v>
                </c:pt>
                <c:pt idx="8">
                  <c:v>-15.435602425366124</c:v>
                </c:pt>
                <c:pt idx="9">
                  <c:v>-3.8568964303835673</c:v>
                </c:pt>
                <c:pt idx="10">
                  <c:v>3.8405227219014524</c:v>
                </c:pt>
                <c:pt idx="11">
                  <c:v>8.6683559214668371</c:v>
                </c:pt>
                <c:pt idx="12">
                  <c:v>11.439202285026949</c:v>
                </c:pt>
                <c:pt idx="13">
                  <c:v>12.775826680457353</c:v>
                </c:pt>
                <c:pt idx="14">
                  <c:v>13.141597703778572</c:v>
                </c:pt>
                <c:pt idx="15">
                  <c:v>12.873812177149555</c:v>
                </c:pt>
                <c:pt idx="16">
                  <c:v>12.213411474186428</c:v>
                </c:pt>
                <c:pt idx="17">
                  <c:v>11.329338660496067</c:v>
                </c:pt>
                <c:pt idx="18">
                  <c:v>10.337636247900209</c:v>
                </c:pt>
                <c:pt idx="19">
                  <c:v>9.3160212739550623</c:v>
                </c:pt>
                <c:pt idx="20">
                  <c:v>8.314806934192978</c:v>
                </c:pt>
                <c:pt idx="21">
                  <c:v>7.3649754801356213</c:v>
                </c:pt>
                <c:pt idx="22">
                  <c:v>6.4840790480103507</c:v>
                </c:pt>
                <c:pt idx="23">
                  <c:v>5.6805097961905702</c:v>
                </c:pt>
                <c:pt idx="24">
                  <c:v>4.9565598722236972</c:v>
                </c:pt>
                <c:pt idx="25">
                  <c:v>4.3105916168824203</c:v>
                </c:pt>
                <c:pt idx="26">
                  <c:v>3.7385588557499627</c:v>
                </c:pt>
                <c:pt idx="27">
                  <c:v>3.2350585049597114</c:v>
                </c:pt>
                <c:pt idx="28">
                  <c:v>2.7940447919775022</c:v>
                </c:pt>
                <c:pt idx="29">
                  <c:v>2.4093030887509217</c:v>
                </c:pt>
                <c:pt idx="30">
                  <c:v>2.0747540342448572</c:v>
                </c:pt>
                <c:pt idx="31">
                  <c:v>1.7846391402896244</c:v>
                </c:pt>
                <c:pt idx="32">
                  <c:v>1.5336247382419004</c:v>
                </c:pt>
                <c:pt idx="33">
                  <c:v>1.3168506296701243</c:v>
                </c:pt>
                <c:pt idx="34">
                  <c:v>1.1299421596654178</c:v>
                </c:pt>
                <c:pt idx="35">
                  <c:v>0.96899888910577814</c:v>
                </c:pt>
                <c:pt idx="36">
                  <c:v>0.83056904382637764</c:v>
                </c:pt>
                <c:pt idx="37">
                  <c:v>0.71161604939423773</c:v>
                </c:pt>
                <c:pt idx="38">
                  <c:v>0.60948141347952278</c:v>
                </c:pt>
                <c:pt idx="39">
                  <c:v>0.52184676799736618</c:v>
                </c:pt>
                <c:pt idx="40">
                  <c:v>0.44669686476178233</c:v>
                </c:pt>
                <c:pt idx="41">
                  <c:v>0.38228461037082506</c:v>
                </c:pt>
                <c:pt idx="42">
                  <c:v>0.32709874028358388</c:v>
                </c:pt>
                <c:pt idx="43">
                  <c:v>0.27983440453582437</c:v>
                </c:pt>
                <c:pt idx="44">
                  <c:v>0.23936672193208783</c:v>
                </c:pt>
                <c:pt idx="45">
                  <c:v>0.20472722242695351</c:v>
                </c:pt>
                <c:pt idx="46">
                  <c:v>0.17508301476145177</c:v>
                </c:pt>
                <c:pt idx="47">
                  <c:v>0.14971847109048103</c:v>
                </c:pt>
                <c:pt idx="48">
                  <c:v>0.12801920012207879</c:v>
                </c:pt>
                <c:pt idx="49">
                  <c:v>0.10945807657240998</c:v>
                </c:pt>
                <c:pt idx="50">
                  <c:v>9.3583101485516296E-2</c:v>
                </c:pt>
                <c:pt idx="51">
                  <c:v>8.0006880989995768E-2</c:v>
                </c:pt>
                <c:pt idx="52">
                  <c:v>6.8397527503828937E-2</c:v>
                </c:pt>
                <c:pt idx="53">
                  <c:v>5.8470805330518072E-2</c:v>
                </c:pt>
                <c:pt idx="54">
                  <c:v>4.9983360754000249E-2</c:v>
                </c:pt>
                <c:pt idx="55">
                  <c:v>4.2726894339383176E-2</c:v>
                </c:pt>
                <c:pt idx="56">
                  <c:v>3.6523149705342262E-2</c:v>
                </c:pt>
                <c:pt idx="57">
                  <c:v>3.1219608295155851E-2</c:v>
                </c:pt>
                <c:pt idx="58">
                  <c:v>2.6685793527067951E-2</c:v>
                </c:pt>
                <c:pt idx="59">
                  <c:v>2.2810100137389214E-2</c:v>
                </c:pt>
                <c:pt idx="60">
                  <c:v>1.949707558856479E-2</c:v>
                </c:pt>
                <c:pt idx="61">
                  <c:v>1.6665090182496366E-2</c:v>
                </c:pt>
                <c:pt idx="62">
                  <c:v>1.4244341099126557E-2</c:v>
                </c:pt>
                <c:pt idx="63">
                  <c:v>1.2175143082136811E-2</c:v>
                </c:pt>
                <c:pt idx="64">
                  <c:v>1.0406465028735112E-2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Isotherms!$K$22</c:f>
              <c:strCache>
                <c:ptCount val="1"/>
                <c:pt idx="0">
                  <c:v>0.603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Isotherms!$K$25:$K$89</c:f>
              <c:numCache>
                <c:formatCode>General</c:formatCode>
                <c:ptCount val="65"/>
                <c:pt idx="0">
                  <c:v>0.14123845657377856</c:v>
                </c:pt>
                <c:pt idx="1">
                  <c:v>0.16524899419132091</c:v>
                </c:pt>
                <c:pt idx="2">
                  <c:v>0.19334132320384545</c:v>
                </c:pt>
                <c:pt idx="3">
                  <c:v>0.22620934814849916</c:v>
                </c:pt>
                <c:pt idx="4">
                  <c:v>0.26466493733374402</c:v>
                </c:pt>
                <c:pt idx="5">
                  <c:v>0.30965797668048051</c:v>
                </c:pt>
                <c:pt idx="6">
                  <c:v>0.36229983271616217</c:v>
                </c:pt>
                <c:pt idx="7">
                  <c:v>0.42389080427790971</c:v>
                </c:pt>
                <c:pt idx="8">
                  <c:v>0.49595224100515434</c:v>
                </c:pt>
                <c:pt idx="9">
                  <c:v>0.5802641219760305</c:v>
                </c:pt>
                <c:pt idx="10">
                  <c:v>0.67890902271195563</c:v>
                </c:pt>
                <c:pt idx="11">
                  <c:v>0.79432355657298803</c:v>
                </c:pt>
                <c:pt idx="12">
                  <c:v>0.92935856119039595</c:v>
                </c:pt>
                <c:pt idx="13">
                  <c:v>1.0873495165927631</c:v>
                </c:pt>
                <c:pt idx="14">
                  <c:v>1.2721989344135327</c:v>
                </c:pt>
                <c:pt idx="15">
                  <c:v>1.4884727532638331</c:v>
                </c:pt>
                <c:pt idx="16">
                  <c:v>1.7415131213186845</c:v>
                </c:pt>
                <c:pt idx="17">
                  <c:v>2.0375703519428607</c:v>
                </c:pt>
                <c:pt idx="18">
                  <c:v>2.383957311773147</c:v>
                </c:pt>
                <c:pt idx="19">
                  <c:v>2.7892300547745816</c:v>
                </c:pt>
                <c:pt idx="20">
                  <c:v>3.2633991640862603</c:v>
                </c:pt>
                <c:pt idx="21">
                  <c:v>3.8181770219809241</c:v>
                </c:pt>
                <c:pt idx="22">
                  <c:v>4.4672671157176813</c:v>
                </c:pt>
                <c:pt idx="23">
                  <c:v>5.2267025253896868</c:v>
                </c:pt>
                <c:pt idx="24">
                  <c:v>6.1152419547059331</c:v>
                </c:pt>
                <c:pt idx="25">
                  <c:v>7.1548330870059411</c:v>
                </c:pt>
                <c:pt idx="26">
                  <c:v>8.3711547117969509</c:v>
                </c:pt>
                <c:pt idx="27">
                  <c:v>9.794251012802432</c:v>
                </c:pt>
                <c:pt idx="28">
                  <c:v>11.459273684978845</c:v>
                </c:pt>
                <c:pt idx="29">
                  <c:v>13.407350211425248</c:v>
                </c:pt>
                <c:pt idx="30">
                  <c:v>15.68659974736754</c:v>
                </c:pt>
                <c:pt idx="31">
                  <c:v>18.353321704420019</c:v>
                </c:pt>
                <c:pt idx="32">
                  <c:v>21.47338639417142</c:v>
                </c:pt>
                <c:pt idx="33">
                  <c:v>25.123862081180562</c:v>
                </c:pt>
                <c:pt idx="34">
                  <c:v>29.394918634981256</c:v>
                </c:pt>
                <c:pt idx="35">
                  <c:v>34.392054802928065</c:v>
                </c:pt>
                <c:pt idx="36">
                  <c:v>40.238704119425833</c:v>
                </c:pt>
                <c:pt idx="37">
                  <c:v>47.079283819728225</c:v>
                </c:pt>
                <c:pt idx="38">
                  <c:v>55.082762069082023</c:v>
                </c:pt>
                <c:pt idx="39">
                  <c:v>64.446831620825961</c:v>
                </c:pt>
                <c:pt idx="40">
                  <c:v>75.402792996366372</c:v>
                </c:pt>
                <c:pt idx="41">
                  <c:v>88.221267805748653</c:v>
                </c:pt>
                <c:pt idx="42">
                  <c:v>103.21888333272592</c:v>
                </c:pt>
                <c:pt idx="43">
                  <c:v>120.76609349928933</c:v>
                </c:pt>
                <c:pt idx="44">
                  <c:v>141.29632939416851</c:v>
                </c:pt>
                <c:pt idx="45">
                  <c:v>165.31670539117715</c:v>
                </c:pt>
                <c:pt idx="46">
                  <c:v>193.42054530767726</c:v>
                </c:pt>
                <c:pt idx="47">
                  <c:v>226.30203800998237</c:v>
                </c:pt>
                <c:pt idx="48">
                  <c:v>264.77338447167938</c:v>
                </c:pt>
                <c:pt idx="49">
                  <c:v>309.78485983186488</c:v>
                </c:pt>
                <c:pt idx="50">
                  <c:v>362.44828600328191</c:v>
                </c:pt>
                <c:pt idx="51">
                  <c:v>424.06449462383978</c:v>
                </c:pt>
                <c:pt idx="52">
                  <c:v>496.15545870989251</c:v>
                </c:pt>
                <c:pt idx="53">
                  <c:v>580.50188669057422</c:v>
                </c:pt>
                <c:pt idx="54">
                  <c:v>679.18720742797177</c:v>
                </c:pt>
                <c:pt idx="55">
                  <c:v>794.64903269072693</c:v>
                </c:pt>
                <c:pt idx="56">
                  <c:v>929.73936824815041</c:v>
                </c:pt>
                <c:pt idx="57">
                  <c:v>1087.7950608503359</c:v>
                </c:pt>
                <c:pt idx="58">
                  <c:v>1272.7202211948929</c:v>
                </c:pt>
                <c:pt idx="59">
                  <c:v>1489.0826587980246</c:v>
                </c:pt>
                <c:pt idx="60">
                  <c:v>1742.2267107936887</c:v>
                </c:pt>
                <c:pt idx="61">
                  <c:v>2038.4052516286156</c:v>
                </c:pt>
                <c:pt idx="62">
                  <c:v>2384.9341444054803</c:v>
                </c:pt>
                <c:pt idx="63">
                  <c:v>2790.3729489544116</c:v>
                </c:pt>
                <c:pt idx="64">
                  <c:v>3264.7363502766616</c:v>
                </c:pt>
              </c:numCache>
            </c:numRef>
          </c:xVal>
          <c:yVal>
            <c:numRef>
              <c:f>Isotherms!$L$25:$L$89</c:f>
              <c:numCache>
                <c:formatCode>General</c:formatCode>
                <c:ptCount val="65"/>
                <c:pt idx="0">
                  <c:v>27759127.036917463</c:v>
                </c:pt>
                <c:pt idx="1">
                  <c:v>29.75658356615866</c:v>
                </c:pt>
                <c:pt idx="2">
                  <c:v>-290.04263676478456</c:v>
                </c:pt>
                <c:pt idx="3">
                  <c:v>-274.38975209553217</c:v>
                </c:pt>
                <c:pt idx="4">
                  <c:v>-214.19242064836689</c:v>
                </c:pt>
                <c:pt idx="5">
                  <c:v>-155.94429263344799</c:v>
                </c:pt>
                <c:pt idx="6">
                  <c:v>-108.75115449879929</c:v>
                </c:pt>
                <c:pt idx="7">
                  <c:v>-72.966404703740466</c:v>
                </c:pt>
                <c:pt idx="8">
                  <c:v>-46.788055885587575</c:v>
                </c:pt>
                <c:pt idx="9">
                  <c:v>-28.118413063492973</c:v>
                </c:pt>
                <c:pt idx="10">
                  <c:v>-15.101663153641157</c:v>
                </c:pt>
                <c:pt idx="11">
                  <c:v>-6.2424110310349628</c:v>
                </c:pt>
                <c:pt idx="12">
                  <c:v>-0.38817422174412514</c:v>
                </c:pt>
                <c:pt idx="13">
                  <c:v>3.3267653096701313</c:v>
                </c:pt>
                <c:pt idx="14">
                  <c:v>5.5417134690592027</c:v>
                </c:pt>
                <c:pt idx="15">
                  <c:v>6.7227113789343802</c:v>
                </c:pt>
                <c:pt idx="16">
                  <c:v>7.2057491056667287</c:v>
                </c:pt>
                <c:pt idx="17">
                  <c:v>7.2304979164546799</c:v>
                </c:pt>
                <c:pt idx="18">
                  <c:v>6.9660178755694577</c:v>
                </c:pt>
                <c:pt idx="19">
                  <c:v>6.5300472899575652</c:v>
                </c:pt>
                <c:pt idx="20">
                  <c:v>6.0033180293159809</c:v>
                </c:pt>
                <c:pt idx="21">
                  <c:v>5.4400902603307362</c:v>
                </c:pt>
                <c:pt idx="22">
                  <c:v>4.875851045389143</c:v>
                </c:pt>
                <c:pt idx="23">
                  <c:v>4.3329051889018357</c:v>
                </c:pt>
                <c:pt idx="24">
                  <c:v>3.8244108786220519</c:v>
                </c:pt>
                <c:pt idx="25">
                  <c:v>3.3572745581140198</c:v>
                </c:pt>
                <c:pt idx="26">
                  <c:v>2.9342133274242683</c:v>
                </c:pt>
                <c:pt idx="27">
                  <c:v>2.555212768376792</c:v>
                </c:pt>
                <c:pt idx="28">
                  <c:v>2.2185477979124655</c:v>
                </c:pt>
                <c:pt idx="29">
                  <c:v>1.9214892717531027</c:v>
                </c:pt>
                <c:pt idx="30">
                  <c:v>1.6607858409430796</c:v>
                </c:pt>
                <c:pt idx="31">
                  <c:v>1.4329860874250713</c:v>
                </c:pt>
                <c:pt idx="32">
                  <c:v>1.234647999699404</c:v>
                </c:pt>
                <c:pt idx="33">
                  <c:v>1.0624697084328252</c:v>
                </c:pt>
                <c:pt idx="34">
                  <c:v>0.91336581972341435</c:v>
                </c:pt>
                <c:pt idx="35">
                  <c:v>0.78450671832107755</c:v>
                </c:pt>
                <c:pt idx="36">
                  <c:v>0.6733331658959909</c:v>
                </c:pt>
                <c:pt idx="37">
                  <c:v>0.57755487455850241</c:v>
                </c:pt>
                <c:pt idx="38">
                  <c:v>0.49513911348748452</c:v>
                </c:pt>
                <c:pt idx="39">
                  <c:v>0.42429352789487462</c:v>
                </c:pt>
                <c:pt idx="40">
                  <c:v>0.36344601042278207</c:v>
                </c:pt>
                <c:pt idx="41">
                  <c:v>0.31122351619004179</c:v>
                </c:pt>
                <c:pt idx="42">
                  <c:v>0.26643104523783284</c:v>
                </c:pt>
                <c:pt idx="43">
                  <c:v>0.22803155086477753</c:v>
                </c:pt>
                <c:pt idx="44">
                  <c:v>0.19512721177973863</c:v>
                </c:pt>
                <c:pt idx="45">
                  <c:v>0.16694228847489076</c:v>
                </c:pt>
                <c:pt idx="46">
                  <c:v>0.14280763963311258</c:v>
                </c:pt>
                <c:pt idx="47">
                  <c:v>0.12214688105026117</c:v>
                </c:pt>
                <c:pt idx="48">
                  <c:v>0.10446411190943866</c:v>
                </c:pt>
                <c:pt idx="49">
                  <c:v>8.9333100162519774E-2</c:v>
                </c:pt>
                <c:pt idx="50">
                  <c:v>7.6387802336124272E-2</c:v>
                </c:pt>
                <c:pt idx="51">
                  <c:v>6.5314087684664526E-2</c:v>
                </c:pt>
                <c:pt idx="52">
                  <c:v>5.5842538330001058E-2</c:v>
                </c:pt>
                <c:pt idx="53">
                  <c:v>4.7742203120202886E-2</c:v>
                </c:pt>
                <c:pt idx="54">
                  <c:v>4.0815191528505733E-2</c:v>
                </c:pt>
                <c:pt idx="55">
                  <c:v>3.4892003725266817E-2</c:v>
                </c:pt>
                <c:pt idx="56">
                  <c:v>2.9827503147651892E-2</c:v>
                </c:pt>
                <c:pt idx="57">
                  <c:v>2.5497447922524584E-2</c:v>
                </c:pt>
                <c:pt idx="58">
                  <c:v>2.1795507035617598E-2</c:v>
                </c:pt>
                <c:pt idx="59">
                  <c:v>1.8630695996508694E-2</c:v>
                </c:pt>
                <c:pt idx="60">
                  <c:v>1.5925174833395637E-2</c:v>
                </c:pt>
                <c:pt idx="61">
                  <c:v>1.3612358537654348E-2</c:v>
                </c:pt>
                <c:pt idx="62">
                  <c:v>1.1635296580357517E-2</c:v>
                </c:pt>
                <c:pt idx="63">
                  <c:v>9.9452838811722438E-3</c:v>
                </c:pt>
                <c:pt idx="64">
                  <c:v>8.5006706783407691E-3</c:v>
                </c:pt>
              </c:numCache>
            </c:numRef>
          </c:yVal>
          <c:smooth val="1"/>
        </c:ser>
        <c:ser>
          <c:idx val="10"/>
          <c:order val="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Isotherms!$O$2:$O$47</c:f>
              <c:numCache>
                <c:formatCode>General</c:formatCode>
                <c:ptCount val="46"/>
                <c:pt idx="0">
                  <c:v>0.15886797403654285</c:v>
                </c:pt>
                <c:pt idx="1">
                  <c:v>0.16006508994473784</c:v>
                </c:pt>
                <c:pt idx="2">
                  <c:v>0.16137316940622423</c:v>
                </c:pt>
                <c:pt idx="3">
                  <c:v>0.16280799846947722</c:v>
                </c:pt>
                <c:pt idx="4">
                  <c:v>0.16438841243443053</c:v>
                </c:pt>
                <c:pt idx="5">
                  <c:v>0.1661370398442604</c:v>
                </c:pt>
                <c:pt idx="6">
                  <c:v>0.1680812998912565</c:v>
                </c:pt>
                <c:pt idx="7">
                  <c:v>0.17025474465960611</c:v>
                </c:pt>
                <c:pt idx="8">
                  <c:v>0.17269890421240794</c:v>
                </c:pt>
                <c:pt idx="9">
                  <c:v>0.17548281667760959</c:v>
                </c:pt>
                <c:pt idx="10">
                  <c:v>0.17865537124683364</c:v>
                </c:pt>
                <c:pt idx="11">
                  <c:v>0.18231702957701265</c:v>
                </c:pt>
                <c:pt idx="12">
                  <c:v>0.18659311795897909</c:v>
                </c:pt>
                <c:pt idx="13">
                  <c:v>0.19165988536529444</c:v>
                </c:pt>
                <c:pt idx="14">
                  <c:v>0.19777614662262244</c:v>
                </c:pt>
                <c:pt idx="15">
                  <c:v>0.20534350355114442</c:v>
                </c:pt>
                <c:pt idx="16">
                  <c:v>0.21503402617941178</c:v>
                </c:pt>
                <c:pt idx="17">
                  <c:v>0.22808373551016328</c:v>
                </c:pt>
                <c:pt idx="18">
                  <c:v>0.24715177193429846</c:v>
                </c:pt>
                <c:pt idx="19">
                  <c:v>0.27982847066724797</c:v>
                </c:pt>
                <c:pt idx="20">
                  <c:v>0.36265577097285967</c:v>
                </c:pt>
                <c:pt idx="21">
                  <c:v>0.42371236972133569</c:v>
                </c:pt>
                <c:pt idx="25">
                  <c:v>0.50612978356822524</c:v>
                </c:pt>
                <c:pt idx="26">
                  <c:v>0.78999812734424524</c:v>
                </c:pt>
                <c:pt idx="27">
                  <c:v>1.103150988067654</c:v>
                </c:pt>
                <c:pt idx="28">
                  <c:v>1.4791099686377305</c:v>
                </c:pt>
                <c:pt idx="29">
                  <c:v>1.9495534084274722</c:v>
                </c:pt>
                <c:pt idx="30">
                  <c:v>2.5512223061319816</c:v>
                </c:pt>
                <c:pt idx="31">
                  <c:v>3.3331985696224531</c:v>
                </c:pt>
                <c:pt idx="32">
                  <c:v>4.3635892010039035</c:v>
                </c:pt>
                <c:pt idx="33">
                  <c:v>5.738842149331612</c:v>
                </c:pt>
                <c:pt idx="34">
                  <c:v>7.5976665488940327</c:v>
                </c:pt>
                <c:pt idx="35">
                  <c:v>10.142480102312053</c:v>
                </c:pt>
                <c:pt idx="36">
                  <c:v>13.672999001867636</c:v>
                </c:pt>
                <c:pt idx="37">
                  <c:v>18.658308586849238</c:v>
                </c:pt>
                <c:pt idx="38">
                  <c:v>25.743992092727716</c:v>
                </c:pt>
                <c:pt idx="39">
                  <c:v>36.02109683451485</c:v>
                </c:pt>
                <c:pt idx="40">
                  <c:v>51.174238674517106</c:v>
                </c:pt>
                <c:pt idx="41">
                  <c:v>73.91113677217723</c:v>
                </c:pt>
                <c:pt idx="42">
                  <c:v>108.6680719854226</c:v>
                </c:pt>
                <c:pt idx="43">
                  <c:v>162.86212507583846</c:v>
                </c:pt>
                <c:pt idx="44">
                  <c:v>249.16307186809024</c:v>
                </c:pt>
                <c:pt idx="45">
                  <c:v>389.71158286511047</c:v>
                </c:pt>
              </c:numCache>
            </c:numRef>
          </c:xVal>
          <c:yVal>
            <c:numRef>
              <c:f>Isotherms!$N$2:$N$47</c:f>
              <c:numCache>
                <c:formatCode>General</c:formatCode>
                <c:ptCount val="46"/>
                <c:pt idx="0">
                  <c:v>5.9989002783289953E-2</c:v>
                </c:pt>
                <c:pt idx="1">
                  <c:v>9.6889293865363255E-2</c:v>
                </c:pt>
                <c:pt idx="2">
                  <c:v>0.15297578457613945</c:v>
                </c:pt>
                <c:pt idx="3">
                  <c:v>0.23642385647017744</c:v>
                </c:pt>
                <c:pt idx="4">
                  <c:v>0.35811104041134006</c:v>
                </c:pt>
                <c:pt idx="5">
                  <c:v>0.5322296394350029</c:v>
                </c:pt>
                <c:pt idx="6">
                  <c:v>0.77695697672529052</c:v>
                </c:pt>
                <c:pt idx="7">
                  <c:v>1.1151690481244323</c:v>
                </c:pt>
                <c:pt idx="8">
                  <c:v>1.5751790376191113</c:v>
                </c:pt>
                <c:pt idx="9">
                  <c:v>2.1951194728688952</c:v>
                </c:pt>
                <c:pt idx="10">
                  <c:v>3.0136125409209025</c:v>
                </c:pt>
                <c:pt idx="11">
                  <c:v>4.0833336596706147</c:v>
                </c:pt>
                <c:pt idx="12">
                  <c:v>5.4653241467681433</c:v>
                </c:pt>
                <c:pt idx="13">
                  <c:v>7.2322144341739794</c:v>
                </c:pt>
                <c:pt idx="14">
                  <c:v>9.4706375657707227</c:v>
                </c:pt>
                <c:pt idx="15">
                  <c:v>12.284868054237537</c:v>
                </c:pt>
                <c:pt idx="16">
                  <c:v>15.802389576581332</c:v>
                </c:pt>
                <c:pt idx="17">
                  <c:v>20.181889915626428</c:v>
                </c:pt>
                <c:pt idx="18">
                  <c:v>25.622303004294665</c:v>
                </c:pt>
                <c:pt idx="19">
                  <c:v>32.364085574389165</c:v>
                </c:pt>
                <c:pt idx="20">
                  <c:v>39.760579372391426</c:v>
                </c:pt>
                <c:pt idx="21">
                  <c:v>40.650133425732548</c:v>
                </c:pt>
                <c:pt idx="25">
                  <c:v>39.760579372391426</c:v>
                </c:pt>
                <c:pt idx="26">
                  <c:v>32.364085574389165</c:v>
                </c:pt>
                <c:pt idx="27">
                  <c:v>25.622303004294665</c:v>
                </c:pt>
                <c:pt idx="28">
                  <c:v>20.181889915626428</c:v>
                </c:pt>
                <c:pt idx="29">
                  <c:v>15.802389576581332</c:v>
                </c:pt>
                <c:pt idx="30">
                  <c:v>12.284868054237537</c:v>
                </c:pt>
                <c:pt idx="31">
                  <c:v>9.4706375657707227</c:v>
                </c:pt>
                <c:pt idx="32">
                  <c:v>7.2322144341739794</c:v>
                </c:pt>
                <c:pt idx="33">
                  <c:v>5.4653241467681433</c:v>
                </c:pt>
                <c:pt idx="34">
                  <c:v>4.0833336596706147</c:v>
                </c:pt>
                <c:pt idx="35">
                  <c:v>3.0136125409209025</c:v>
                </c:pt>
                <c:pt idx="36">
                  <c:v>2.1951194728688952</c:v>
                </c:pt>
                <c:pt idx="37">
                  <c:v>1.5751790376191113</c:v>
                </c:pt>
                <c:pt idx="38">
                  <c:v>1.1151690481244323</c:v>
                </c:pt>
                <c:pt idx="39">
                  <c:v>0.77695697672529052</c:v>
                </c:pt>
                <c:pt idx="40">
                  <c:v>0.5322296394350029</c:v>
                </c:pt>
                <c:pt idx="41">
                  <c:v>0.35811104041134006</c:v>
                </c:pt>
                <c:pt idx="42">
                  <c:v>0.23642385647017744</c:v>
                </c:pt>
                <c:pt idx="43">
                  <c:v>0.15297578457613945</c:v>
                </c:pt>
                <c:pt idx="44">
                  <c:v>9.6889293865363255E-2</c:v>
                </c:pt>
                <c:pt idx="45">
                  <c:v>5.9989002783289953E-2</c:v>
                </c:pt>
              </c:numCache>
            </c:numRef>
          </c:yVal>
          <c:smooth val="1"/>
        </c:ser>
        <c:ser>
          <c:idx val="0"/>
          <c:order val="4"/>
          <c:tx>
            <c:v>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Isotherms!$C$25:$C$107</c:f>
              <c:numCache>
                <c:formatCode>General</c:formatCode>
                <c:ptCount val="83"/>
                <c:pt idx="0">
                  <c:v>0.2</c:v>
                </c:pt>
                <c:pt idx="1">
                  <c:v>0.20600000000000002</c:v>
                </c:pt>
                <c:pt idx="2">
                  <c:v>0.21218000000000004</c:v>
                </c:pt>
                <c:pt idx="3">
                  <c:v>0.21854540000000003</c:v>
                </c:pt>
                <c:pt idx="4">
                  <c:v>0.22510176200000004</c:v>
                </c:pt>
                <c:pt idx="5">
                  <c:v>0.23185481486000004</c:v>
                </c:pt>
                <c:pt idx="6">
                  <c:v>0.23881045930580005</c:v>
                </c:pt>
                <c:pt idx="7">
                  <c:v>0.24597477308497406</c:v>
                </c:pt>
                <c:pt idx="8">
                  <c:v>0.2533540162775233</c:v>
                </c:pt>
                <c:pt idx="9">
                  <c:v>0.26095463676584901</c:v>
                </c:pt>
                <c:pt idx="10">
                  <c:v>0.2687832758688245</c:v>
                </c:pt>
                <c:pt idx="11">
                  <c:v>0.27684677414488923</c:v>
                </c:pt>
                <c:pt idx="12">
                  <c:v>0.28515217736923593</c:v>
                </c:pt>
                <c:pt idx="13">
                  <c:v>0.29370674269031299</c:v>
                </c:pt>
                <c:pt idx="14">
                  <c:v>0.30251794497102241</c:v>
                </c:pt>
                <c:pt idx="15">
                  <c:v>0.31159348332015308</c:v>
                </c:pt>
                <c:pt idx="16">
                  <c:v>0.32094128781975767</c:v>
                </c:pt>
                <c:pt idx="17">
                  <c:v>0.33056952645435039</c:v>
                </c:pt>
                <c:pt idx="18">
                  <c:v>0.34048661224798094</c:v>
                </c:pt>
                <c:pt idx="19">
                  <c:v>0.35070121061542037</c:v>
                </c:pt>
                <c:pt idx="20">
                  <c:v>0.361222246933883</c:v>
                </c:pt>
                <c:pt idx="21">
                  <c:v>0.37205891434189947</c:v>
                </c:pt>
                <c:pt idx="22">
                  <c:v>0.38322068177215646</c:v>
                </c:pt>
                <c:pt idx="23">
                  <c:v>0.39471730222532114</c:v>
                </c:pt>
                <c:pt idx="24">
                  <c:v>0.40655882129208076</c:v>
                </c:pt>
                <c:pt idx="25">
                  <c:v>0.41875558593084322</c:v>
                </c:pt>
                <c:pt idx="26">
                  <c:v>0.43131825350876851</c:v>
                </c:pt>
                <c:pt idx="27">
                  <c:v>0.44425780111403157</c:v>
                </c:pt>
                <c:pt idx="28">
                  <c:v>0.45758553514745254</c:v>
                </c:pt>
                <c:pt idx="29">
                  <c:v>0.47131310120187614</c:v>
                </c:pt>
                <c:pt idx="30">
                  <c:v>0.48545249423793241</c:v>
                </c:pt>
                <c:pt idx="31">
                  <c:v>0.50001606906507035</c:v>
                </c:pt>
                <c:pt idx="32">
                  <c:v>0.51501655113702249</c:v>
                </c:pt>
                <c:pt idx="33">
                  <c:v>0.53046704767113317</c:v>
                </c:pt>
                <c:pt idx="34">
                  <c:v>0.54638105910126722</c:v>
                </c:pt>
                <c:pt idx="35">
                  <c:v>0.56277249087430525</c:v>
                </c:pt>
                <c:pt idx="36">
                  <c:v>0.57965566560053439</c:v>
                </c:pt>
                <c:pt idx="37">
                  <c:v>0.59704533556855044</c:v>
                </c:pt>
                <c:pt idx="38">
                  <c:v>0.61495669563560695</c:v>
                </c:pt>
                <c:pt idx="39">
                  <c:v>0.6334053965046752</c:v>
                </c:pt>
                <c:pt idx="40">
                  <c:v>0.65240755839981546</c:v>
                </c:pt>
                <c:pt idx="41">
                  <c:v>0.67197978515180989</c:v>
                </c:pt>
                <c:pt idx="42">
                  <c:v>0.69213917870636421</c:v>
                </c:pt>
                <c:pt idx="43">
                  <c:v>0.71290335406755512</c:v>
                </c:pt>
                <c:pt idx="44">
                  <c:v>0.73429045468958176</c:v>
                </c:pt>
                <c:pt idx="45">
                  <c:v>0.75631916833026924</c:v>
                </c:pt>
                <c:pt idx="46">
                  <c:v>0.77900874338017734</c:v>
                </c:pt>
                <c:pt idx="47">
                  <c:v>0.80237900568158271</c:v>
                </c:pt>
                <c:pt idx="48">
                  <c:v>0.82645037585203018</c:v>
                </c:pt>
                <c:pt idx="49">
                  <c:v>0.85124388712759114</c:v>
                </c:pt>
                <c:pt idx="50">
                  <c:v>0.87678120374141888</c:v>
                </c:pt>
                <c:pt idx="51">
                  <c:v>0.9030846398536615</c:v>
                </c:pt>
                <c:pt idx="52">
                  <c:v>0.93017717904927133</c:v>
                </c:pt>
                <c:pt idx="53">
                  <c:v>0.95808249442074944</c:v>
                </c:pt>
                <c:pt idx="54">
                  <c:v>0.98682496925337193</c:v>
                </c:pt>
                <c:pt idx="55">
                  <c:v>1.0164297183309732</c:v>
                </c:pt>
                <c:pt idx="56">
                  <c:v>1.0469226098809024</c:v>
                </c:pt>
                <c:pt idx="57">
                  <c:v>1.0783302881773293</c:v>
                </c:pt>
                <c:pt idx="58">
                  <c:v>1.1106801968226492</c:v>
                </c:pt>
                <c:pt idx="59">
                  <c:v>1.1440006027273286</c:v>
                </c:pt>
                <c:pt idx="60">
                  <c:v>1.1783206208091486</c:v>
                </c:pt>
                <c:pt idx="61">
                  <c:v>1.2136702394334231</c:v>
                </c:pt>
                <c:pt idx="62">
                  <c:v>1.2500803466164259</c:v>
                </c:pt>
                <c:pt idx="63">
                  <c:v>1.2875827570149188</c:v>
                </c:pt>
                <c:pt idx="64">
                  <c:v>1.3262102397253663</c:v>
                </c:pt>
                <c:pt idx="65">
                  <c:v>1.3659965469171274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xVal>
          <c:yVal>
            <c:numRef>
              <c:f>Isotherms!$D$25:$D$107</c:f>
              <c:numCache>
                <c:formatCode>General</c:formatCode>
                <c:ptCount val="83"/>
                <c:pt idx="0">
                  <c:v>234.7398715769466</c:v>
                </c:pt>
                <c:pt idx="1">
                  <c:v>193.66447189375313</c:v>
                </c:pt>
                <c:pt idx="2">
                  <c:v>161.43611420118796</c:v>
                </c:pt>
                <c:pt idx="3">
                  <c:v>135.99410299620089</c:v>
                </c:pt>
                <c:pt idx="4">
                  <c:v>115.82080973663025</c:v>
                </c:pt>
                <c:pt idx="5">
                  <c:v>99.778312434202746</c:v>
                </c:pt>
                <c:pt idx="6">
                  <c:v>87.00029272481035</c:v>
                </c:pt>
                <c:pt idx="7">
                  <c:v>76.818575547056312</c:v>
                </c:pt>
                <c:pt idx="8">
                  <c:v>68.712039291537295</c:v>
                </c:pt>
                <c:pt idx="9">
                  <c:v>62.270351750562369</c:v>
                </c:pt>
                <c:pt idx="10">
                  <c:v>57.167760149239442</c:v>
                </c:pt>
                <c:pt idx="11">
                  <c:v>53.143840389929245</c:v>
                </c:pt>
                <c:pt idx="12">
                  <c:v>49.989152542909544</c:v>
                </c:pt>
                <c:pt idx="13">
                  <c:v>47.534412917489206</c:v>
                </c:pt>
                <c:pt idx="14">
                  <c:v>45.642224671778784</c:v>
                </c:pt>
                <c:pt idx="15">
                  <c:v>44.200695413930916</c:v>
                </c:pt>
                <c:pt idx="16">
                  <c:v>43.118463876970857</c:v>
                </c:pt>
                <c:pt idx="17">
                  <c:v>42.32079079379222</c:v>
                </c:pt>
                <c:pt idx="18">
                  <c:v>41.746461910869151</c:v>
                </c:pt>
                <c:pt idx="19">
                  <c:v>41.345316735004893</c:v>
                </c:pt>
                <c:pt idx="20">
                  <c:v>41.076263655574728</c:v>
                </c:pt>
                <c:pt idx="21">
                  <c:v>40.905676204151824</c:v>
                </c:pt>
                <c:pt idx="22">
                  <c:v>40.806090233141276</c:v>
                </c:pt>
                <c:pt idx="23">
                  <c:v>40.755140332686388</c:v>
                </c:pt>
                <c:pt idx="24">
                  <c:v>40.73468767322251</c:v>
                </c:pt>
                <c:pt idx="25">
                  <c:v>40.730101929935969</c:v>
                </c:pt>
                <c:pt idx="26">
                  <c:v>40.7296679153432</c:v>
                </c:pt>
                <c:pt idx="27">
                  <c:v>40.724093662078864</c:v>
                </c:pt>
                <c:pt idx="28">
                  <c:v>40.706101426238746</c:v>
                </c:pt>
                <c:pt idx="29">
                  <c:v>40.670086762844875</c:v>
                </c:pt>
                <c:pt idx="30">
                  <c:v>40.611833710074954</c:v>
                </c:pt>
                <c:pt idx="31">
                  <c:v>40.528276394159782</c:v>
                </c:pt>
                <c:pt idx="32">
                  <c:v>40.417299171801915</c:v>
                </c:pt>
                <c:pt idx="33">
                  <c:v>40.27756886681955</c:v>
                </c:pt>
                <c:pt idx="34">
                  <c:v>40.108393812381543</c:v>
                </c:pt>
                <c:pt idx="35">
                  <c:v>39.909605340788964</c:v>
                </c:pt>
                <c:pt idx="36">
                  <c:v>39.681458116299375</c:v>
                </c:pt>
                <c:pt idx="37">
                  <c:v>39.424546319401173</c:v>
                </c:pt>
                <c:pt idx="38">
                  <c:v>39.139733191580859</c:v>
                </c:pt>
                <c:pt idx="39">
                  <c:v>38.828091860199287</c:v>
                </c:pt>
                <c:pt idx="40">
                  <c:v>38.490855701080029</c:v>
                </c:pt>
                <c:pt idx="41">
                  <c:v>38.129376775655643</c:v>
                </c:pt>
                <c:pt idx="42">
                  <c:v>37.745091111004861</c:v>
                </c:pt>
                <c:pt idx="43">
                  <c:v>37.339489783637973</c:v>
                </c:pt>
                <c:pt idx="44">
                  <c:v>36.914094928492084</c:v>
                </c:pt>
                <c:pt idx="45">
                  <c:v>36.470439928962151</c:v>
                </c:pt>
                <c:pt idx="46">
                  <c:v>36.010053156510956</c:v>
                </c:pt>
                <c:pt idx="47">
                  <c:v>35.534444723202604</c:v>
                </c:pt>
                <c:pt idx="48">
                  <c:v>35.04509579042854</c:v>
                </c:pt>
                <c:pt idx="49">
                  <c:v>34.543450044632685</c:v>
                </c:pt>
                <c:pt idx="50">
                  <c:v>34.03090700803245</c:v>
                </c:pt>
                <c:pt idx="51">
                  <c:v>33.508816900859529</c:v>
                </c:pt>
                <c:pt idx="52">
                  <c:v>32.978476812895195</c:v>
                </c:pt>
                <c:pt idx="53">
                  <c:v>32.441127977203408</c:v>
                </c:pt>
                <c:pt idx="54">
                  <c:v>31.897953968927357</c:v>
                </c:pt>
                <c:pt idx="55">
                  <c:v>31.350079677607859</c:v>
                </c:pt>
                <c:pt idx="56">
                  <c:v>30.798570923374555</c:v>
                </c:pt>
                <c:pt idx="57">
                  <c:v>30.244434606108562</c:v>
                </c:pt>
                <c:pt idx="58">
                  <c:v>29.6886192927502</c:v>
                </c:pt>
                <c:pt idx="59">
                  <c:v>29.132016161720529</c:v>
                </c:pt>
                <c:pt idx="60">
                  <c:v>28.575460235275251</c:v>
                </c:pt>
                <c:pt idx="61">
                  <c:v>28.019731840795814</c:v>
                </c:pt>
                <c:pt idx="62">
                  <c:v>27.465558250783499</c:v>
                </c:pt>
                <c:pt idx="63">
                  <c:v>26.91361545886231</c:v>
                </c:pt>
                <c:pt idx="64">
                  <c:v>26.364530055586084</c:v>
                </c:pt>
                <c:pt idx="65">
                  <c:v>25.818881173433947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11232"/>
        <c:axId val="214917504"/>
      </c:scatterChart>
      <c:valAx>
        <c:axId val="214911232"/>
        <c:scaling>
          <c:logBase val="10"/>
          <c:orientation val="minMax"/>
          <c:max val="1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GB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41994858295548043"/>
              <c:y val="0.870372993745761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917504"/>
        <c:crossesAt val="-1000000"/>
        <c:crossBetween val="midCat"/>
        <c:minorUnit val="10"/>
      </c:valAx>
      <c:valAx>
        <c:axId val="214917504"/>
        <c:scaling>
          <c:orientation val="minMax"/>
          <c:max val="200"/>
          <c:min val="-350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GB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GB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837275050430227E-2"/>
              <c:y val="0.243827895411046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4911232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5853212796333647"/>
          <c:y val="0.46605078743124106"/>
          <c:w val="0.17060411182566393"/>
          <c:h val="0.2376550372993745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11</xdr:col>
          <xdr:colOff>66675</xdr:colOff>
          <xdr:row>4</xdr:row>
          <xdr:rowOff>28575</xdr:rowOff>
        </xdr:to>
        <xdr:sp macro="" textlink="">
          <xdr:nvSpPr>
            <xdr:cNvPr id="188417" name="Object 1" hidden="1">
              <a:extLst>
                <a:ext uri="{63B3BB69-23CF-44E3-9099-C40C66FF867C}">
                  <a14:compatExt spid="_x0000_s188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800100</xdr:colOff>
      <xdr:row>12</xdr:row>
      <xdr:rowOff>152400</xdr:rowOff>
    </xdr:from>
    <xdr:to>
      <xdr:col>11</xdr:col>
      <xdr:colOff>533400</xdr:colOff>
      <xdr:row>38</xdr:row>
      <xdr:rowOff>57150</xdr:rowOff>
    </xdr:to>
    <xdr:graphicFrame macro="">
      <xdr:nvGraphicFramePr>
        <xdr:cNvPr id="419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21</xdr:row>
          <xdr:rowOff>9525</xdr:rowOff>
        </xdr:from>
        <xdr:to>
          <xdr:col>5</xdr:col>
          <xdr:colOff>352425</xdr:colOff>
          <xdr:row>23</xdr:row>
          <xdr:rowOff>104775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SOLVE ALL SHEETS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0.51862</cdr:x>
      <cdr:y>0.44037</cdr:y>
    </cdr:from>
    <cdr:to>
      <cdr:x>0.7249</cdr:x>
      <cdr:y>0.53681</cdr:y>
    </cdr:to>
    <cdr:sp macro="" textlink="">
      <cdr:nvSpPr>
        <cdr:cNvPr id="1740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68159" y="2276612"/>
          <a:ext cx="980451" cy="4978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 = T</a:t>
          </a:r>
          <a:r>
            <a:rPr lang="en-GB" sz="12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b</a:t>
          </a:r>
          <a:endParaRPr lang="en-GB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6</xdr:row>
      <xdr:rowOff>28575</xdr:rowOff>
    </xdr:from>
    <xdr:to>
      <xdr:col>12</xdr:col>
      <xdr:colOff>723900</xdr:colOff>
      <xdr:row>21</xdr:row>
      <xdr:rowOff>133350</xdr:rowOff>
    </xdr:to>
    <xdr:graphicFrame macro="">
      <xdr:nvGraphicFramePr>
        <xdr:cNvPr id="430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19</xdr:row>
      <xdr:rowOff>0</xdr:rowOff>
    </xdr:from>
    <xdr:to>
      <xdr:col>12</xdr:col>
      <xdr:colOff>542925</xdr:colOff>
      <xdr:row>37</xdr:row>
      <xdr:rowOff>85725</xdr:rowOff>
    </xdr:to>
    <xdr:graphicFrame macro="">
      <xdr:nvGraphicFramePr>
        <xdr:cNvPr id="440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8</xdr:row>
      <xdr:rowOff>19050</xdr:rowOff>
    </xdr:from>
    <xdr:to>
      <xdr:col>12</xdr:col>
      <xdr:colOff>447675</xdr:colOff>
      <xdr:row>26</xdr:row>
      <xdr:rowOff>28575</xdr:rowOff>
    </xdr:to>
    <xdr:graphicFrame macro="">
      <xdr:nvGraphicFramePr>
        <xdr:cNvPr id="450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3</xdr:row>
      <xdr:rowOff>9525</xdr:rowOff>
    </xdr:from>
    <xdr:to>
      <xdr:col>14</xdr:col>
      <xdr:colOff>476250</xdr:colOff>
      <xdr:row>20</xdr:row>
      <xdr:rowOff>47625</xdr:rowOff>
    </xdr:to>
    <xdr:graphicFrame macro="">
      <xdr:nvGraphicFramePr>
        <xdr:cNvPr id="460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3</xdr:row>
      <xdr:rowOff>190500</xdr:rowOff>
    </xdr:from>
    <xdr:to>
      <xdr:col>15</xdr:col>
      <xdr:colOff>95250</xdr:colOff>
      <xdr:row>21</xdr:row>
      <xdr:rowOff>47625</xdr:rowOff>
    </xdr:to>
    <xdr:graphicFrame macro="">
      <xdr:nvGraphicFramePr>
        <xdr:cNvPr id="47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9</xdr:row>
      <xdr:rowOff>38100</xdr:rowOff>
    </xdr:from>
    <xdr:to>
      <xdr:col>15</xdr:col>
      <xdr:colOff>371475</xdr:colOff>
      <xdr:row>27</xdr:row>
      <xdr:rowOff>47625</xdr:rowOff>
    </xdr:to>
    <xdr:graphicFrame macro="">
      <xdr:nvGraphicFramePr>
        <xdr:cNvPr id="4812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6</xdr:row>
      <xdr:rowOff>57150</xdr:rowOff>
    </xdr:from>
    <xdr:to>
      <xdr:col>13</xdr:col>
      <xdr:colOff>152400</xdr:colOff>
      <xdr:row>23</xdr:row>
      <xdr:rowOff>19050</xdr:rowOff>
    </xdr:to>
    <xdr:graphicFrame macro="">
      <xdr:nvGraphicFramePr>
        <xdr:cNvPr id="491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7</xdr:row>
      <xdr:rowOff>85725</xdr:rowOff>
    </xdr:from>
    <xdr:to>
      <xdr:col>13</xdr:col>
      <xdr:colOff>104775</xdr:colOff>
      <xdr:row>25</xdr:row>
      <xdr:rowOff>28575</xdr:rowOff>
    </xdr:to>
    <xdr:graphicFrame macro="">
      <xdr:nvGraphicFramePr>
        <xdr:cNvPr id="5017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11</xdr:col>
      <xdr:colOff>104775</xdr:colOff>
      <xdr:row>21</xdr:row>
      <xdr:rowOff>161925</xdr:rowOff>
    </xdr:to>
    <xdr:graphicFrame macro="">
      <xdr:nvGraphicFramePr>
        <xdr:cNvPr id="5120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142875</xdr:rowOff>
    </xdr:from>
    <xdr:to>
      <xdr:col>11</xdr:col>
      <xdr:colOff>304800</xdr:colOff>
      <xdr:row>24</xdr:row>
      <xdr:rowOff>161925</xdr:rowOff>
    </xdr:to>
    <xdr:graphicFrame macro="">
      <xdr:nvGraphicFramePr>
        <xdr:cNvPr id="522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5</xdr:row>
      <xdr:rowOff>57150</xdr:rowOff>
    </xdr:from>
    <xdr:to>
      <xdr:col>13</xdr:col>
      <xdr:colOff>447675</xdr:colOff>
      <xdr:row>23</xdr:row>
      <xdr:rowOff>152400</xdr:rowOff>
    </xdr:to>
    <xdr:graphicFrame macro="">
      <xdr:nvGraphicFramePr>
        <xdr:cNvPr id="532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6</xdr:row>
      <xdr:rowOff>133350</xdr:rowOff>
    </xdr:from>
    <xdr:to>
      <xdr:col>10</xdr:col>
      <xdr:colOff>571500</xdr:colOff>
      <xdr:row>24</xdr:row>
      <xdr:rowOff>190500</xdr:rowOff>
    </xdr:to>
    <xdr:graphicFrame macro="">
      <xdr:nvGraphicFramePr>
        <xdr:cNvPr id="542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11</xdr:row>
      <xdr:rowOff>228600</xdr:rowOff>
    </xdr:from>
    <xdr:to>
      <xdr:col>14</xdr:col>
      <xdr:colOff>590550</xdr:colOff>
      <xdr:row>29</xdr:row>
      <xdr:rowOff>142875</xdr:rowOff>
    </xdr:to>
    <xdr:graphicFrame macro="">
      <xdr:nvGraphicFramePr>
        <xdr:cNvPr id="552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10</xdr:row>
      <xdr:rowOff>95250</xdr:rowOff>
    </xdr:from>
    <xdr:to>
      <xdr:col>11</xdr:col>
      <xdr:colOff>104775</xdr:colOff>
      <xdr:row>28</xdr:row>
      <xdr:rowOff>47625</xdr:rowOff>
    </xdr:to>
    <xdr:graphicFrame macro="">
      <xdr:nvGraphicFramePr>
        <xdr:cNvPr id="563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552450</xdr:colOff>
      <xdr:row>5</xdr:row>
      <xdr:rowOff>142875</xdr:rowOff>
    </xdr:from>
    <xdr:to>
      <xdr:col>18</xdr:col>
      <xdr:colOff>152400</xdr:colOff>
      <xdr:row>19</xdr:row>
      <xdr:rowOff>171450</xdr:rowOff>
    </xdr:to>
    <xdr:graphicFrame macro="">
      <xdr:nvGraphicFramePr>
        <xdr:cNvPr id="573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7</xdr:row>
      <xdr:rowOff>142875</xdr:rowOff>
    </xdr:from>
    <xdr:to>
      <xdr:col>11</xdr:col>
      <xdr:colOff>9525</xdr:colOff>
      <xdr:row>25</xdr:row>
      <xdr:rowOff>47625</xdr:rowOff>
    </xdr:to>
    <xdr:graphicFrame macro="">
      <xdr:nvGraphicFramePr>
        <xdr:cNvPr id="583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7</xdr:row>
      <xdr:rowOff>47625</xdr:rowOff>
    </xdr:from>
    <xdr:to>
      <xdr:col>11</xdr:col>
      <xdr:colOff>400050</xdr:colOff>
      <xdr:row>25</xdr:row>
      <xdr:rowOff>104775</xdr:rowOff>
    </xdr:to>
    <xdr:graphicFrame macro="">
      <xdr:nvGraphicFramePr>
        <xdr:cNvPr id="593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4</xdr:row>
      <xdr:rowOff>66675</xdr:rowOff>
    </xdr:from>
    <xdr:to>
      <xdr:col>13</xdr:col>
      <xdr:colOff>447675</xdr:colOff>
      <xdr:row>20</xdr:row>
      <xdr:rowOff>95250</xdr:rowOff>
    </xdr:to>
    <xdr:graphicFrame macro="">
      <xdr:nvGraphicFramePr>
        <xdr:cNvPr id="604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6</xdr:row>
      <xdr:rowOff>66675</xdr:rowOff>
    </xdr:from>
    <xdr:to>
      <xdr:col>10</xdr:col>
      <xdr:colOff>200025</xdr:colOff>
      <xdr:row>22</xdr:row>
      <xdr:rowOff>104775</xdr:rowOff>
    </xdr:to>
    <xdr:graphicFrame macro="">
      <xdr:nvGraphicFramePr>
        <xdr:cNvPr id="614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10</xdr:row>
      <xdr:rowOff>76200</xdr:rowOff>
    </xdr:from>
    <xdr:to>
      <xdr:col>11</xdr:col>
      <xdr:colOff>66675</xdr:colOff>
      <xdr:row>25</xdr:row>
      <xdr:rowOff>28575</xdr:rowOff>
    </xdr:to>
    <xdr:graphicFrame macro="">
      <xdr:nvGraphicFramePr>
        <xdr:cNvPr id="624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15</xdr:row>
      <xdr:rowOff>171450</xdr:rowOff>
    </xdr:from>
    <xdr:to>
      <xdr:col>12</xdr:col>
      <xdr:colOff>104775</xdr:colOff>
      <xdr:row>31</xdr:row>
      <xdr:rowOff>47625</xdr:rowOff>
    </xdr:to>
    <xdr:graphicFrame macro="">
      <xdr:nvGraphicFramePr>
        <xdr:cNvPr id="634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228600</xdr:colOff>
      <xdr:row>5</xdr:row>
      <xdr:rowOff>28575</xdr:rowOff>
    </xdr:from>
    <xdr:to>
      <xdr:col>18</xdr:col>
      <xdr:colOff>228600</xdr:colOff>
      <xdr:row>26</xdr:row>
      <xdr:rowOff>190500</xdr:rowOff>
    </xdr:to>
    <xdr:graphicFrame macro="">
      <xdr:nvGraphicFramePr>
        <xdr:cNvPr id="645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6</xdr:row>
      <xdr:rowOff>161925</xdr:rowOff>
    </xdr:from>
    <xdr:to>
      <xdr:col>12</xdr:col>
      <xdr:colOff>523875</xdr:colOff>
      <xdr:row>28</xdr:row>
      <xdr:rowOff>47625</xdr:rowOff>
    </xdr:to>
    <xdr:graphicFrame macro="">
      <xdr:nvGraphicFramePr>
        <xdr:cNvPr id="655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49</xdr:row>
      <xdr:rowOff>142875</xdr:rowOff>
    </xdr:from>
    <xdr:to>
      <xdr:col>14</xdr:col>
      <xdr:colOff>0</xdr:colOff>
      <xdr:row>69</xdr:row>
      <xdr:rowOff>95250</xdr:rowOff>
    </xdr:to>
    <xdr:graphicFrame macro="">
      <xdr:nvGraphicFramePr>
        <xdr:cNvPr id="665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104775</xdr:colOff>
      <xdr:row>0</xdr:row>
      <xdr:rowOff>190500</xdr:rowOff>
    </xdr:from>
    <xdr:to>
      <xdr:col>13</xdr:col>
      <xdr:colOff>514350</xdr:colOff>
      <xdr:row>18</xdr:row>
      <xdr:rowOff>114300</xdr:rowOff>
    </xdr:to>
    <xdr:graphicFrame macro="">
      <xdr:nvGraphicFramePr>
        <xdr:cNvPr id="6656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76200</xdr:colOff>
      <xdr:row>0</xdr:row>
      <xdr:rowOff>0</xdr:rowOff>
    </xdr:from>
    <xdr:to>
      <xdr:col>20</xdr:col>
      <xdr:colOff>314325</xdr:colOff>
      <xdr:row>18</xdr:row>
      <xdr:rowOff>142875</xdr:rowOff>
    </xdr:to>
    <xdr:graphicFrame macro="">
      <xdr:nvGraphicFramePr>
        <xdr:cNvPr id="6656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200025</xdr:colOff>
      <xdr:row>0</xdr:row>
      <xdr:rowOff>142875</xdr:rowOff>
    </xdr:from>
    <xdr:to>
      <xdr:col>27</xdr:col>
      <xdr:colOff>190500</xdr:colOff>
      <xdr:row>19</xdr:row>
      <xdr:rowOff>285750</xdr:rowOff>
    </xdr:to>
    <xdr:graphicFrame macro="">
      <xdr:nvGraphicFramePr>
        <xdr:cNvPr id="6656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0.69056</cdr:x>
      <cdr:y>0.49563</cdr:y>
    </cdr:from>
    <cdr:to>
      <cdr:x>0.85458</cdr:x>
      <cdr:y>0.59533</cdr:y>
    </cdr:to>
    <cdr:sp macro="" textlink="">
      <cdr:nvSpPr>
        <cdr:cNvPr id="675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9648" y="1589402"/>
          <a:ext cx="120296" cy="3190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18288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250" b="0" i="0" u="none" strike="noStrike" baseline="0">
              <a:solidFill>
                <a:srgbClr val="000000"/>
              </a:solidFill>
              <a:latin typeface="Arial"/>
              <a:cs typeface="Arial"/>
            </a:rPr>
            <a:t>Acetone</a:t>
          </a:r>
          <a:endParaRPr lang="en-GB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0.43207</cdr:x>
      <cdr:y>0.07103</cdr:y>
    </cdr:from>
    <cdr:to>
      <cdr:x>0.72279</cdr:x>
      <cdr:y>0.15965</cdr:y>
    </cdr:to>
    <cdr:sp macro="" textlink="">
      <cdr:nvSpPr>
        <cdr:cNvPr id="1546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83501" y="261626"/>
          <a:ext cx="1063362" cy="3224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175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cyclohexane</a:t>
          </a:r>
          <a:endParaRPr lang="en-GB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771525</xdr:colOff>
      <xdr:row>0</xdr:row>
      <xdr:rowOff>0</xdr:rowOff>
    </xdr:from>
    <xdr:to>
      <xdr:col>14</xdr:col>
      <xdr:colOff>190500</xdr:colOff>
      <xdr:row>17</xdr:row>
      <xdr:rowOff>142875</xdr:rowOff>
    </xdr:to>
    <xdr:graphicFrame macro="">
      <xdr:nvGraphicFramePr>
        <xdr:cNvPr id="706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219075</xdr:colOff>
      <xdr:row>0</xdr:row>
      <xdr:rowOff>190500</xdr:rowOff>
    </xdr:from>
    <xdr:to>
      <xdr:col>8</xdr:col>
      <xdr:colOff>742950</xdr:colOff>
      <xdr:row>18</xdr:row>
      <xdr:rowOff>57150</xdr:rowOff>
    </xdr:to>
    <xdr:graphicFrame macro="">
      <xdr:nvGraphicFramePr>
        <xdr:cNvPr id="7065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0.49367</cdr:x>
      <cdr:y>0.09698</cdr:y>
    </cdr:from>
    <cdr:to>
      <cdr:x>0.88246</cdr:x>
      <cdr:y>0.18727</cdr:y>
    </cdr:to>
    <cdr:sp macro="" textlink="">
      <cdr:nvSpPr>
        <cdr:cNvPr id="716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57113" y="351428"/>
          <a:ext cx="1381301" cy="324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cyclohexane</a:t>
          </a:r>
          <a:endParaRPr lang="en-GB"/>
        </a:p>
      </cdr:txBody>
    </cdr:sp>
  </cdr:relSizeAnchor>
</c:userShapes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2</xdr:row>
      <xdr:rowOff>142875</xdr:rowOff>
    </xdr:from>
    <xdr:to>
      <xdr:col>11</xdr:col>
      <xdr:colOff>152400</xdr:colOff>
      <xdr:row>20</xdr:row>
      <xdr:rowOff>57150</xdr:rowOff>
    </xdr:to>
    <xdr:graphicFrame macro="">
      <xdr:nvGraphicFramePr>
        <xdr:cNvPr id="7372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2</xdr:row>
      <xdr:rowOff>28575</xdr:rowOff>
    </xdr:from>
    <xdr:to>
      <xdr:col>19</xdr:col>
      <xdr:colOff>247650</xdr:colOff>
      <xdr:row>22</xdr:row>
      <xdr:rowOff>95250</xdr:rowOff>
    </xdr:to>
    <xdr:graphicFrame macro="">
      <xdr:nvGraphicFramePr>
        <xdr:cNvPr id="757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0.34293</cdr:x>
      <cdr:y>0.23977</cdr:y>
    </cdr:from>
    <cdr:to>
      <cdr:x>0.58134</cdr:x>
      <cdr:y>0.32172</cdr:y>
    </cdr:to>
    <cdr:sp macro="" textlink="">
      <cdr:nvSpPr>
        <cdr:cNvPr id="768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63999" y="937261"/>
          <a:ext cx="876548" cy="3192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Cyclohexane</a:t>
          </a:r>
          <a:endParaRPr lang="en-GB"/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19050</xdr:rowOff>
        </xdr:from>
        <xdr:to>
          <xdr:col>7</xdr:col>
          <xdr:colOff>371475</xdr:colOff>
          <xdr:row>3</xdr:row>
          <xdr:rowOff>171450</xdr:rowOff>
        </xdr:to>
        <xdr:sp macro="" textlink="">
          <xdr:nvSpPr>
            <xdr:cNvPr id="80897" name="Object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238125</xdr:colOff>
      <xdr:row>5</xdr:row>
      <xdr:rowOff>161925</xdr:rowOff>
    </xdr:from>
    <xdr:to>
      <xdr:col>13</xdr:col>
      <xdr:colOff>457200</xdr:colOff>
      <xdr:row>24</xdr:row>
      <xdr:rowOff>19050</xdr:rowOff>
    </xdr:to>
    <xdr:graphicFrame macro="">
      <xdr:nvGraphicFramePr>
        <xdr:cNvPr id="8089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25</xdr:row>
      <xdr:rowOff>0</xdr:rowOff>
    </xdr:from>
    <xdr:to>
      <xdr:col>13</xdr:col>
      <xdr:colOff>342900</xdr:colOff>
      <xdr:row>44</xdr:row>
      <xdr:rowOff>57150</xdr:rowOff>
    </xdr:to>
    <xdr:graphicFrame macro="">
      <xdr:nvGraphicFramePr>
        <xdr:cNvPr id="8089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133350</xdr:rowOff>
    </xdr:from>
    <xdr:to>
      <xdr:col>8</xdr:col>
      <xdr:colOff>47625</xdr:colOff>
      <xdr:row>20</xdr:row>
      <xdr:rowOff>142875</xdr:rowOff>
    </xdr:to>
    <xdr:graphicFrame macro="">
      <xdr:nvGraphicFramePr>
        <xdr:cNvPr id="819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0.82234</cdr:x>
      <cdr:y>0.34638</cdr:y>
    </cdr:from>
    <cdr:to>
      <cdr:x>0.91631</cdr:x>
      <cdr:y>0.43022</cdr:y>
    </cdr:to>
    <cdr:sp macro="" textlink="">
      <cdr:nvSpPr>
        <cdr:cNvPr id="829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95282" y="1075428"/>
          <a:ext cx="341929" cy="2595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2004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</a:t>
          </a:r>
          <a:r>
            <a:rPr lang="en-GB" sz="14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R</a:t>
          </a:r>
          <a:endParaRPr lang="en-GB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Thermodynamics/EOS%20a%20parameter%20T%20dependence/Pyridine%20(Clausius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T = Tb"/>
      <sheetName val="Tmin"/>
      <sheetName val="T2"/>
      <sheetName val="T3"/>
      <sheetName val="T4"/>
      <sheetName val="T5"/>
      <sheetName val="T6"/>
      <sheetName val="T7"/>
      <sheetName val="T8"/>
      <sheetName val="T9"/>
      <sheetName val="T10"/>
      <sheetName val="T11"/>
      <sheetName val="T12"/>
      <sheetName val="T13"/>
      <sheetName val="T14"/>
      <sheetName val="T15"/>
      <sheetName val="T16"/>
      <sheetName val="T17"/>
      <sheetName val="T18"/>
      <sheetName val="T19"/>
      <sheetName val="T20"/>
      <sheetName val="T21"/>
      <sheetName val="Tc"/>
      <sheetName val="1.5 Tc"/>
      <sheetName val="a = a(T)"/>
      <sheetName val="Pvap"/>
      <sheetName val="Phase diagram"/>
      <sheetName val="B = B(T)"/>
      <sheetName val="VL-Rackett"/>
      <sheetName val="Isotherms"/>
      <sheetName val="C vs VDW vs Rackett"/>
      <sheetName val="B = B(T) VDW vs Clausius  "/>
    </sheetNames>
    <sheetDataSet>
      <sheetData sheetId="0"/>
      <sheetData sheetId="1">
        <row r="13">
          <cell r="B13">
            <v>2997.7826494595834</v>
          </cell>
        </row>
      </sheetData>
      <sheetData sheetId="2">
        <row r="13">
          <cell r="B13">
            <v>2949.5510179907387</v>
          </cell>
        </row>
      </sheetData>
      <sheetData sheetId="3">
        <row r="13">
          <cell r="B13">
            <v>2901.2148970394792</v>
          </cell>
        </row>
      </sheetData>
      <sheetData sheetId="4">
        <row r="13">
          <cell r="B13">
            <v>2852.7642657649799</v>
          </cell>
        </row>
      </sheetData>
      <sheetData sheetId="5">
        <row r="13">
          <cell r="B13">
            <v>2804.1925602377291</v>
          </cell>
        </row>
      </sheetData>
      <sheetData sheetId="6">
        <row r="13">
          <cell r="B13">
            <v>2755.5090527231714</v>
          </cell>
        </row>
      </sheetData>
      <sheetData sheetId="7">
        <row r="13">
          <cell r="B13">
            <v>2706.6876159359672</v>
          </cell>
        </row>
      </sheetData>
      <sheetData sheetId="8">
        <row r="13">
          <cell r="B13">
            <v>2657.742605235363</v>
          </cell>
        </row>
      </sheetData>
      <sheetData sheetId="9">
        <row r="13">
          <cell r="B13">
            <v>2608.6756092619103</v>
          </cell>
        </row>
      </sheetData>
      <sheetData sheetId="10">
        <row r="13">
          <cell r="B13">
            <v>2559.4863572115314</v>
          </cell>
        </row>
      </sheetData>
      <sheetData sheetId="11">
        <row r="13">
          <cell r="B13">
            <v>2510.1699846282795</v>
          </cell>
        </row>
      </sheetData>
      <sheetData sheetId="12">
        <row r="13">
          <cell r="B13">
            <v>2460.7135856545074</v>
          </cell>
        </row>
      </sheetData>
      <sheetData sheetId="13">
        <row r="13">
          <cell r="B13">
            <v>2411.0919145212806</v>
          </cell>
        </row>
      </sheetData>
      <sheetData sheetId="14">
        <row r="13">
          <cell r="B13">
            <v>2361.2620010163641</v>
          </cell>
        </row>
      </sheetData>
      <sheetData sheetId="15">
        <row r="13">
          <cell r="B13">
            <v>2311.1562525596523</v>
          </cell>
        </row>
      </sheetData>
      <sheetData sheetId="16">
        <row r="13">
          <cell r="B13">
            <v>2260.6732091358817</v>
          </cell>
        </row>
      </sheetData>
      <sheetData sheetId="17">
        <row r="13">
          <cell r="B13">
            <v>2209.6641429863635</v>
          </cell>
        </row>
      </sheetData>
      <sheetData sheetId="18">
        <row r="13">
          <cell r="B13">
            <v>2157.9113977474185</v>
          </cell>
        </row>
      </sheetData>
      <sheetData sheetId="19">
        <row r="13">
          <cell r="B13">
            <v>2105.0870048995707</v>
          </cell>
        </row>
      </sheetData>
      <sheetData sheetId="20">
        <row r="13">
          <cell r="B13">
            <v>2050.6460722230845</v>
          </cell>
        </row>
      </sheetData>
      <sheetData sheetId="21">
        <row r="13">
          <cell r="B13">
            <v>1999.151723425158</v>
          </cell>
        </row>
      </sheetData>
      <sheetData sheetId="22">
        <row r="13">
          <cell r="B13">
            <v>2037.2958292909491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2.wmf"/><Relationship Id="rId4" Type="http://schemas.openxmlformats.org/officeDocument/2006/relationships/oleObject" Target="../embeddings/oleObject2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D27"/>
  <sheetViews>
    <sheetView workbookViewId="0">
      <selection activeCell="F35" sqref="F35"/>
    </sheetView>
  </sheetViews>
  <sheetFormatPr defaultRowHeight="15.75" x14ac:dyDescent="0.25"/>
  <sheetData>
    <row r="3" spans="1:3" x14ac:dyDescent="0.25">
      <c r="B3" t="s">
        <v>194</v>
      </c>
    </row>
    <row r="6" spans="1:3" x14ac:dyDescent="0.25">
      <c r="B6" t="s">
        <v>173</v>
      </c>
    </row>
    <row r="7" spans="1:3" x14ac:dyDescent="0.25">
      <c r="A7">
        <v>1</v>
      </c>
      <c r="B7" t="s">
        <v>174</v>
      </c>
    </row>
    <row r="8" spans="1:3" x14ac:dyDescent="0.25">
      <c r="A8">
        <v>2</v>
      </c>
      <c r="B8" t="s">
        <v>175</v>
      </c>
    </row>
    <row r="9" spans="1:3" ht="18.75" x14ac:dyDescent="0.25">
      <c r="C9" s="271" t="s">
        <v>195</v>
      </c>
    </row>
    <row r="10" spans="1:3" x14ac:dyDescent="0.25">
      <c r="A10">
        <v>3</v>
      </c>
      <c r="B10" t="s">
        <v>176</v>
      </c>
    </row>
    <row r="11" spans="1:3" x14ac:dyDescent="0.25">
      <c r="A11">
        <v>4</v>
      </c>
      <c r="B11" t="s">
        <v>177</v>
      </c>
    </row>
    <row r="12" spans="1:3" x14ac:dyDescent="0.25">
      <c r="A12">
        <v>5</v>
      </c>
      <c r="B12" t="s">
        <v>178</v>
      </c>
    </row>
    <row r="13" spans="1:3" x14ac:dyDescent="0.25">
      <c r="A13">
        <v>6</v>
      </c>
      <c r="B13" t="s">
        <v>179</v>
      </c>
    </row>
    <row r="14" spans="1:3" x14ac:dyDescent="0.25">
      <c r="A14">
        <v>7</v>
      </c>
      <c r="B14" t="s">
        <v>180</v>
      </c>
    </row>
    <row r="15" spans="1:3" x14ac:dyDescent="0.25">
      <c r="A15">
        <v>8</v>
      </c>
      <c r="B15" t="s">
        <v>181</v>
      </c>
    </row>
    <row r="16" spans="1:3" x14ac:dyDescent="0.25">
      <c r="A16">
        <v>9</v>
      </c>
      <c r="B16" t="s">
        <v>182</v>
      </c>
    </row>
    <row r="17" spans="1:4" x14ac:dyDescent="0.25">
      <c r="D17" t="s">
        <v>183</v>
      </c>
    </row>
    <row r="18" spans="1:4" x14ac:dyDescent="0.25">
      <c r="D18" t="s">
        <v>184</v>
      </c>
    </row>
    <row r="19" spans="1:4" x14ac:dyDescent="0.25">
      <c r="C19" t="s">
        <v>185</v>
      </c>
    </row>
    <row r="20" spans="1:4" x14ac:dyDescent="0.25">
      <c r="C20" t="s">
        <v>186</v>
      </c>
    </row>
    <row r="21" spans="1:4" x14ac:dyDescent="0.25">
      <c r="A21">
        <v>10</v>
      </c>
      <c r="B21" t="s">
        <v>187</v>
      </c>
    </row>
    <row r="22" spans="1:4" x14ac:dyDescent="0.25">
      <c r="A22">
        <v>11</v>
      </c>
      <c r="B22" t="s">
        <v>188</v>
      </c>
    </row>
    <row r="23" spans="1:4" x14ac:dyDescent="0.25">
      <c r="C23" t="s">
        <v>189</v>
      </c>
    </row>
    <row r="24" spans="1:4" x14ac:dyDescent="0.25">
      <c r="A24">
        <v>14</v>
      </c>
      <c r="B24" t="s">
        <v>190</v>
      </c>
    </row>
    <row r="25" spans="1:4" x14ac:dyDescent="0.25">
      <c r="C25" t="s">
        <v>191</v>
      </c>
    </row>
    <row r="26" spans="1:4" x14ac:dyDescent="0.25">
      <c r="C26" t="s">
        <v>192</v>
      </c>
    </row>
    <row r="27" spans="1:4" x14ac:dyDescent="0.25">
      <c r="C27" t="s">
        <v>193</v>
      </c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188417" r:id="rId4">
          <objectPr defaultSize="0" autoPict="0" r:id="rId5">
            <anchor moveWithCells="1" sizeWithCells="1">
              <from>
                <xdr:col>8</xdr:col>
                <xdr:colOff>0</xdr:colOff>
                <xdr:row>2</xdr:row>
                <xdr:rowOff>0</xdr:rowOff>
              </from>
              <to>
                <xdr:col>11</xdr:col>
                <xdr:colOff>66675</xdr:colOff>
                <xdr:row>4</xdr:row>
                <xdr:rowOff>28575</xdr:rowOff>
              </to>
            </anchor>
          </objectPr>
        </oleObject>
      </mc:Choice>
      <mc:Fallback>
        <oleObject progId="Equation.DSMT4" shapeId="188417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Q104"/>
  <sheetViews>
    <sheetView zoomScale="75" workbookViewId="0"/>
  </sheetViews>
  <sheetFormatPr defaultColWidth="8" defaultRowHeight="12.75" x14ac:dyDescent="0.2"/>
  <cols>
    <col min="1" max="1" width="8" style="112" customWidth="1"/>
    <col min="2" max="2" width="10.5" style="112" bestFit="1" customWidth="1"/>
    <col min="3" max="3" width="8" style="112" customWidth="1"/>
    <col min="4" max="4" width="12.125" style="112" customWidth="1"/>
    <col min="5" max="5" width="12.25" style="112" customWidth="1"/>
    <col min="6" max="6" width="12" style="112" customWidth="1"/>
    <col min="7" max="7" width="9.5" style="112" bestFit="1" customWidth="1"/>
    <col min="8" max="16384" width="8" style="112"/>
  </cols>
  <sheetData>
    <row r="1" spans="1:17" ht="18" x14ac:dyDescent="0.25">
      <c r="A1" s="252" t="s">
        <v>198</v>
      </c>
      <c r="B1"/>
      <c r="C1"/>
      <c r="D1"/>
      <c r="E1" t="s">
        <v>0</v>
      </c>
      <c r="F1" s="253">
        <v>1</v>
      </c>
      <c r="H1" s="113" t="s">
        <v>1</v>
      </c>
      <c r="I1" s="114">
        <f>F8</f>
        <v>353.93</v>
      </c>
      <c r="J1" s="112" t="s">
        <v>2</v>
      </c>
    </row>
    <row r="2" spans="1:17" ht="21.75" x14ac:dyDescent="0.4">
      <c r="A2" s="217" t="s">
        <v>163</v>
      </c>
      <c r="B2" s="254">
        <v>84.161000000000001</v>
      </c>
      <c r="C2" t="s">
        <v>3</v>
      </c>
      <c r="D2"/>
      <c r="E2" s="217" t="s">
        <v>4</v>
      </c>
      <c r="F2" s="255">
        <v>3.9300199999999998</v>
      </c>
      <c r="H2" s="113" t="s">
        <v>16</v>
      </c>
      <c r="I2" s="112">
        <f>1-I1/B3</f>
        <v>0.36056007226738929</v>
      </c>
      <c r="M2" s="116" t="s">
        <v>101</v>
      </c>
    </row>
    <row r="3" spans="1:17" ht="16.5" x14ac:dyDescent="0.3">
      <c r="A3" s="217" t="s">
        <v>164</v>
      </c>
      <c r="B3" s="254">
        <v>553.5</v>
      </c>
      <c r="C3" t="s">
        <v>2</v>
      </c>
      <c r="D3"/>
      <c r="E3" s="217" t="s">
        <v>5</v>
      </c>
      <c r="F3" s="256">
        <v>1182.7739999999999</v>
      </c>
      <c r="H3" s="113" t="s">
        <v>6</v>
      </c>
      <c r="I3" s="144">
        <f>10^(F2-F3/(I1+F4-273.15))</f>
        <v>1.0132747124684822</v>
      </c>
      <c r="J3" s="112" t="s">
        <v>7</v>
      </c>
      <c r="M3" s="115"/>
      <c r="O3" s="117" t="s">
        <v>129</v>
      </c>
      <c r="P3" s="118">
        <f>LN(B13/B12)/I2</f>
        <v>0.84814109747023103</v>
      </c>
    </row>
    <row r="4" spans="1:17" ht="16.5" x14ac:dyDescent="0.3">
      <c r="A4" s="217" t="s">
        <v>165</v>
      </c>
      <c r="B4" s="254">
        <v>40.729999999999997</v>
      </c>
      <c r="C4" t="s">
        <v>7</v>
      </c>
      <c r="D4"/>
      <c r="E4" s="217" t="s">
        <v>8</v>
      </c>
      <c r="F4" s="255">
        <v>220.61799999999999</v>
      </c>
      <c r="H4" s="113" t="s">
        <v>6</v>
      </c>
      <c r="I4" s="144">
        <f>I3*100</f>
        <v>101.32747124684822</v>
      </c>
      <c r="J4" s="112" t="s">
        <v>9</v>
      </c>
      <c r="M4" s="115"/>
      <c r="N4" s="119" t="s">
        <v>125</v>
      </c>
      <c r="O4" s="119"/>
    </row>
    <row r="5" spans="1:17" ht="16.5" x14ac:dyDescent="0.3">
      <c r="A5" s="217" t="s">
        <v>165</v>
      </c>
      <c r="B5" s="254">
        <f>B4*100</f>
        <v>4072.9999999999995</v>
      </c>
      <c r="C5" t="s">
        <v>9</v>
      </c>
      <c r="D5"/>
      <c r="E5" s="217" t="s">
        <v>10</v>
      </c>
      <c r="F5" s="255"/>
      <c r="H5" s="115"/>
      <c r="M5" s="115"/>
      <c r="N5" s="120" t="s">
        <v>113</v>
      </c>
      <c r="O5" s="120" t="s">
        <v>126</v>
      </c>
      <c r="P5" s="121" t="s">
        <v>130</v>
      </c>
    </row>
    <row r="6" spans="1:17" ht="16.5" x14ac:dyDescent="0.3">
      <c r="A6" s="217" t="s">
        <v>166</v>
      </c>
      <c r="B6" s="254">
        <v>308</v>
      </c>
      <c r="C6" t="s">
        <v>167</v>
      </c>
      <c r="D6"/>
      <c r="E6" s="217" t="s">
        <v>168</v>
      </c>
      <c r="F6" s="253">
        <v>282.11</v>
      </c>
      <c r="G6" s="122">
        <f>F6/B3</f>
        <v>0.5096838301716351</v>
      </c>
      <c r="H6" s="112" t="s">
        <v>22</v>
      </c>
      <c r="I6" s="112">
        <v>2.5712194055283128E-3</v>
      </c>
      <c r="K6" s="112" t="s">
        <v>127</v>
      </c>
      <c r="M6" s="112">
        <f>EXP(LN(F7/F6)/20)</f>
        <v>1.0342724516991888</v>
      </c>
      <c r="N6" s="122">
        <f>G6</f>
        <v>0.5096838301716351</v>
      </c>
      <c r="O6" s="123">
        <f t="shared" ref="O6:O25" si="0">N6*$B$3</f>
        <v>282.11</v>
      </c>
      <c r="P6" s="124">
        <f t="shared" ref="P6:P28" si="1">$B$12*EXP($P$3*(1-N6))</f>
        <v>3324.9297871013982</v>
      </c>
      <c r="Q6" s="112" t="s">
        <v>128</v>
      </c>
    </row>
    <row r="7" spans="1:17" ht="16.5" x14ac:dyDescent="0.3">
      <c r="A7" s="217" t="s">
        <v>166</v>
      </c>
      <c r="B7" s="254">
        <f>B6/1000</f>
        <v>0.308</v>
      </c>
      <c r="C7" s="257" t="s">
        <v>23</v>
      </c>
      <c r="D7"/>
      <c r="E7" s="217" t="s">
        <v>169</v>
      </c>
      <c r="F7" s="253">
        <v>553.5</v>
      </c>
      <c r="G7" s="122">
        <f>F7/B3</f>
        <v>1</v>
      </c>
      <c r="H7" s="112" t="s">
        <v>25</v>
      </c>
      <c r="I7" s="112">
        <f>I6/I3</f>
        <v>2.5375343664349962E-3</v>
      </c>
      <c r="N7" s="122">
        <f>N6*$M$6</f>
        <v>0.52715194462305004</v>
      </c>
      <c r="O7" s="123">
        <f t="shared" si="0"/>
        <v>291.77860134885822</v>
      </c>
      <c r="P7" s="124">
        <f t="shared" si="1"/>
        <v>3276.0326470464615</v>
      </c>
      <c r="Q7" s="112" t="s">
        <v>53</v>
      </c>
    </row>
    <row r="8" spans="1:17" ht="16.5" x14ac:dyDescent="0.3">
      <c r="A8" s="217" t="s">
        <v>170</v>
      </c>
      <c r="B8" s="258">
        <v>0.27300000000000002</v>
      </c>
      <c r="C8"/>
      <c r="D8"/>
      <c r="E8" s="217" t="s">
        <v>171</v>
      </c>
      <c r="F8" s="259">
        <v>353.93</v>
      </c>
      <c r="G8" s="122">
        <f>F8/B3</f>
        <v>0.63943992773261071</v>
      </c>
      <c r="H8" s="112" t="s">
        <v>28</v>
      </c>
      <c r="N8" s="122">
        <f t="shared" ref="N8:N25" si="2">N7*$M$6</f>
        <v>0.54521873418327693</v>
      </c>
      <c r="O8" s="123">
        <f t="shared" si="0"/>
        <v>301.77856937044379</v>
      </c>
      <c r="P8" s="124">
        <f t="shared" si="1"/>
        <v>3226.2160364319939</v>
      </c>
      <c r="Q8" s="112" t="s">
        <v>54</v>
      </c>
    </row>
    <row r="9" spans="1:17" ht="16.5" thickBot="1" x14ac:dyDescent="0.3">
      <c r="A9" s="260" t="s">
        <v>172</v>
      </c>
      <c r="B9" s="254">
        <v>0.21099999999999999</v>
      </c>
      <c r="C9"/>
      <c r="D9"/>
      <c r="E9" s="217"/>
      <c r="F9" s="253">
        <v>101.325</v>
      </c>
      <c r="K9" s="115"/>
      <c r="N9" s="122">
        <f t="shared" si="2"/>
        <v>0.56390471691606614</v>
      </c>
      <c r="O9" s="123">
        <f t="shared" si="0"/>
        <v>312.12126081304262</v>
      </c>
      <c r="P9" s="124">
        <f t="shared" si="1"/>
        <v>3175.4888685376618</v>
      </c>
      <c r="Q9" s="112" t="s">
        <v>55</v>
      </c>
    </row>
    <row r="10" spans="1:17" ht="23.25" thickTop="1" x14ac:dyDescent="0.35">
      <c r="A10" s="112" t="s">
        <v>11</v>
      </c>
      <c r="B10" s="112">
        <v>8.3145100000000003</v>
      </c>
      <c r="C10" s="112" t="s">
        <v>12</v>
      </c>
      <c r="G10" s="275"/>
      <c r="H10" s="276" t="s">
        <v>30</v>
      </c>
      <c r="I10" s="277"/>
      <c r="J10" s="277"/>
      <c r="K10" s="278"/>
      <c r="N10" s="122">
        <f t="shared" si="2"/>
        <v>0.58323111408951678</v>
      </c>
      <c r="O10" s="123">
        <f t="shared" si="0"/>
        <v>322.81842164854754</v>
      </c>
      <c r="P10" s="124">
        <f t="shared" si="1"/>
        <v>3123.8620820312021</v>
      </c>
      <c r="Q10" s="112" t="s">
        <v>56</v>
      </c>
    </row>
    <row r="11" spans="1:17" x14ac:dyDescent="0.2">
      <c r="A11" s="126" t="s">
        <v>13</v>
      </c>
      <c r="B11" s="127"/>
      <c r="G11" s="283">
        <f>B16^3</f>
        <v>22292.631813393615</v>
      </c>
      <c r="H11" s="34"/>
      <c r="I11" s="34"/>
      <c r="J11" s="34"/>
      <c r="K11" s="279"/>
      <c r="M11" s="124"/>
      <c r="N11" s="122">
        <f t="shared" si="2"/>
        <v>0.60321987427661383</v>
      </c>
      <c r="O11" s="123">
        <f t="shared" si="0"/>
        <v>333.88220041210576</v>
      </c>
      <c r="P11" s="124">
        <f t="shared" si="1"/>
        <v>3071.3487400331546</v>
      </c>
      <c r="Q11" s="112" t="s">
        <v>57</v>
      </c>
    </row>
    <row r="12" spans="1:17" ht="18.75" x14ac:dyDescent="0.3">
      <c r="A12" s="128" t="s">
        <v>31</v>
      </c>
      <c r="B12" s="129">
        <f>27/64*(B10*B3)^2/B5</f>
        <v>2193.7036127822548</v>
      </c>
      <c r="C12" s="130"/>
      <c r="E12" s="131" t="s">
        <v>14</v>
      </c>
      <c r="G12" s="284">
        <f>I12*B16^2</f>
        <v>-23115.750954004932</v>
      </c>
      <c r="H12" s="31" t="s">
        <v>32</v>
      </c>
      <c r="I12" s="221">
        <f>(2*B19)-B14-(B10*I1/I4)</f>
        <v>-29.183258224377497</v>
      </c>
      <c r="J12" s="32">
        <f>-(B18+B15+B16)</f>
        <v>-29.183258224377497</v>
      </c>
      <c r="K12" s="280"/>
      <c r="N12" s="122">
        <f t="shared" si="2"/>
        <v>0.62389369828174979</v>
      </c>
      <c r="O12" s="123">
        <f t="shared" si="0"/>
        <v>345.32516199894849</v>
      </c>
      <c r="P12" s="124">
        <f t="shared" si="1"/>
        <v>3017.9641282565062</v>
      </c>
      <c r="Q12" s="112" t="s">
        <v>58</v>
      </c>
    </row>
    <row r="13" spans="1:17" ht="18.75" x14ac:dyDescent="0.3">
      <c r="A13" s="128" t="s">
        <v>33</v>
      </c>
      <c r="B13" s="133">
        <v>2978.4322701214965</v>
      </c>
      <c r="E13" s="145">
        <f>ABS(B10*I1*LN((B16-B14)/(B15-B14))+B13*(1/(B16+B19)-1/(B15+B19))-I4*(B16-B15))</f>
        <v>1.7657789612712804E-6</v>
      </c>
      <c r="F13" s="134">
        <f>E13+E15+E16</f>
        <v>2.3319502870933206E-6</v>
      </c>
      <c r="G13" s="284">
        <f>I13*B16</f>
        <v>827.27069186570543</v>
      </c>
      <c r="H13" s="31" t="s">
        <v>34</v>
      </c>
      <c r="I13" s="221">
        <f>(B19^2)-(2*B19*B14)-(2*B10*I1*B19/I4)+(B13/I4)</f>
        <v>29.394124154797165</v>
      </c>
      <c r="J13" s="32">
        <f>B15*B16+B15*B18+B18*B16</f>
        <v>29.394124157637251</v>
      </c>
      <c r="K13" s="280"/>
      <c r="L13" s="132">
        <f>B13/B12</f>
        <v>1.357718632894066</v>
      </c>
      <c r="N13" s="122">
        <f t="shared" si="2"/>
        <v>0.64527606492153933</v>
      </c>
      <c r="O13" s="123">
        <f t="shared" si="0"/>
        <v>357.16030193407204</v>
      </c>
      <c r="P13" s="124">
        <f t="shared" si="1"/>
        <v>2963.7258515728045</v>
      </c>
      <c r="Q13" s="112" t="s">
        <v>59</v>
      </c>
    </row>
    <row r="14" spans="1:17" ht="15.75" x14ac:dyDescent="0.3">
      <c r="A14" s="146" t="s">
        <v>35</v>
      </c>
      <c r="B14" s="324">
        <f>B10*B3/8/B5</f>
        <v>0.14123745657377856</v>
      </c>
      <c r="C14" s="125"/>
      <c r="G14" s="285">
        <f>+I14</f>
        <v>-4.1515513338374204</v>
      </c>
      <c r="H14" s="31" t="s">
        <v>36</v>
      </c>
      <c r="I14" s="221">
        <f>(-B14*(B19^2))-(B10*I1*(B19^2)/I4)-(B13*B14/I4)</f>
        <v>-4.1515513338374204</v>
      </c>
      <c r="J14" s="32">
        <f>-(B18*B15*B16)</f>
        <v>-4.151551334319711</v>
      </c>
      <c r="K14" s="280"/>
      <c r="L14" s="132">
        <f>B15/B14</f>
        <v>1.2011260805807114</v>
      </c>
      <c r="N14" s="122">
        <f t="shared" si="2"/>
        <v>0.66739125768920537</v>
      </c>
      <c r="O14" s="123">
        <f t="shared" si="0"/>
        <v>369.40106113097517</v>
      </c>
      <c r="P14" s="124">
        <f t="shared" si="1"/>
        <v>2908.6539282946437</v>
      </c>
      <c r="Q14" s="112" t="s">
        <v>60</v>
      </c>
    </row>
    <row r="15" spans="1:17" ht="17.25" thickBot="1" x14ac:dyDescent="0.35">
      <c r="A15" s="135" t="s">
        <v>37</v>
      </c>
      <c r="B15" s="136">
        <v>0.16964399264565108</v>
      </c>
      <c r="C15" s="136">
        <v>4.028183493018276E-2</v>
      </c>
      <c r="D15" s="115" t="s">
        <v>131</v>
      </c>
      <c r="E15" s="137">
        <f>1000000*ABS(B15^3+I12*B15^2+I13*B15+I14)</f>
        <v>4.8672177399566863E-7</v>
      </c>
      <c r="G15" s="286">
        <f>SUM(G11:G14)</f>
        <v>-7.9449551826371589E-8</v>
      </c>
      <c r="H15" s="281"/>
      <c r="I15" s="281"/>
      <c r="J15" s="281"/>
      <c r="K15" s="282"/>
      <c r="L15" s="136"/>
      <c r="N15" s="122">
        <f t="shared" si="2"/>
        <v>0.69026439233281955</v>
      </c>
      <c r="O15" s="123">
        <f t="shared" si="0"/>
        <v>382.06134115621563</v>
      </c>
      <c r="P15" s="124">
        <f t="shared" si="1"/>
        <v>2852.770881401359</v>
      </c>
      <c r="Q15" s="112" t="s">
        <v>61</v>
      </c>
    </row>
    <row r="16" spans="1:17" ht="17.25" thickTop="1" x14ac:dyDescent="0.3">
      <c r="A16" s="135" t="s">
        <v>39</v>
      </c>
      <c r="B16" s="137">
        <v>28.144083746434529</v>
      </c>
      <c r="C16" s="125">
        <f>B16-2*$B$14</f>
        <v>27.861608833286972</v>
      </c>
      <c r="D16" s="115" t="s">
        <v>132</v>
      </c>
      <c r="E16" s="137">
        <f>ABS(B16^3+I12*B16^2+I13*B16+I14)</f>
        <v>7.9449551826371589E-8</v>
      </c>
      <c r="L16" s="138"/>
      <c r="N16" s="122">
        <f t="shared" si="2"/>
        <v>0.71392144537871605</v>
      </c>
      <c r="O16" s="123">
        <f t="shared" si="0"/>
        <v>395.15552001711933</v>
      </c>
      <c r="P16" s="124">
        <f t="shared" si="1"/>
        <v>2796.1018258708873</v>
      </c>
      <c r="Q16" s="112" t="s">
        <v>62</v>
      </c>
    </row>
    <row r="17" spans="1:17" ht="16.5" x14ac:dyDescent="0.3">
      <c r="A17" s="139" t="s">
        <v>41</v>
      </c>
      <c r="B17" s="147">
        <f>B10*I1/I4</f>
        <v>29.042020767803717</v>
      </c>
      <c r="C17" s="125"/>
      <c r="D17" s="115" t="s">
        <v>133</v>
      </c>
      <c r="E17" s="140">
        <f>1000*ABS(B18^3+I12*B18^2+I13*B18+I14)</f>
        <v>1.9872521406227861E-6</v>
      </c>
      <c r="H17" s="124"/>
      <c r="J17" s="132"/>
      <c r="L17" s="137"/>
      <c r="N17" s="122">
        <f t="shared" si="2"/>
        <v>0.73838928363247314</v>
      </c>
      <c r="O17" s="123">
        <f t="shared" si="0"/>
        <v>408.69846849057387</v>
      </c>
      <c r="P17" s="124">
        <f t="shared" si="1"/>
        <v>2738.6745512165721</v>
      </c>
      <c r="Q17" s="112" t="s">
        <v>63</v>
      </c>
    </row>
    <row r="18" spans="1:17" ht="15.75" x14ac:dyDescent="0.25">
      <c r="A18" s="135" t="s">
        <v>43</v>
      </c>
      <c r="B18" s="138">
        <f>-I12-B15-B16</f>
        <v>0.86953048529731802</v>
      </c>
      <c r="C18" s="125">
        <f>B18-2*$B$14</f>
        <v>0.5870555721497609</v>
      </c>
      <c r="H18" s="124"/>
      <c r="I18" s="115"/>
      <c r="J18" s="132"/>
      <c r="L18" s="137"/>
      <c r="N18" s="122">
        <f t="shared" si="2"/>
        <v>0.76369569469096565</v>
      </c>
      <c r="O18" s="123">
        <f t="shared" si="0"/>
        <v>422.70556701144949</v>
      </c>
      <c r="P18" s="124">
        <f t="shared" si="1"/>
        <v>2680.5195982640239</v>
      </c>
      <c r="Q18" s="112" t="s">
        <v>64</v>
      </c>
    </row>
    <row r="19" spans="1:17" x14ac:dyDescent="0.2">
      <c r="A19" s="148" t="s">
        <v>135</v>
      </c>
      <c r="B19" s="264">
        <v>0</v>
      </c>
      <c r="C19" s="263">
        <v>1.17</v>
      </c>
      <c r="E19" s="115"/>
      <c r="G19" s="115"/>
      <c r="H19" s="124"/>
      <c r="I19" s="115"/>
      <c r="J19" s="132"/>
      <c r="L19" s="113"/>
      <c r="N19" s="122">
        <f t="shared" si="2"/>
        <v>0.78986941850014025</v>
      </c>
      <c r="O19" s="123">
        <f t="shared" si="0"/>
        <v>437.19272313982765</v>
      </c>
      <c r="P19" s="124">
        <f t="shared" si="1"/>
        <v>2621.6703291407352</v>
      </c>
      <c r="Q19" s="112" t="s">
        <v>65</v>
      </c>
    </row>
    <row r="20" spans="1:17" ht="15.75" x14ac:dyDescent="0.25">
      <c r="A20" s="261" t="s">
        <v>44</v>
      </c>
      <c r="B20" s="261" t="s">
        <v>45</v>
      </c>
      <c r="C20" s="261"/>
      <c r="E20" s="115"/>
      <c r="I20" s="115"/>
      <c r="J20" s="132"/>
      <c r="K20" s="134"/>
      <c r="N20" s="122">
        <f t="shared" si="2"/>
        <v>0.81694017999435264</v>
      </c>
      <c r="O20" s="123">
        <f t="shared" si="0"/>
        <v>452.1763896268742</v>
      </c>
      <c r="P20" s="124">
        <f t="shared" si="1"/>
        <v>2562.1629893910299</v>
      </c>
      <c r="Q20" s="112" t="s">
        <v>66</v>
      </c>
    </row>
    <row r="21" spans="1:17" ht="15.75" x14ac:dyDescent="0.25">
      <c r="A21" s="262">
        <f>B14+0.000001</f>
        <v>0.14123845657377856</v>
      </c>
      <c r="B21">
        <f>($B$10*$I$1/(A21-$B$14)-$B$13/(A21+$B$19)^2)/100</f>
        <v>29426052.167355638</v>
      </c>
      <c r="C21" s="262"/>
      <c r="D21" s="21"/>
      <c r="E21" s="115"/>
      <c r="N21" s="122">
        <f t="shared" si="2"/>
        <v>0.84493872285433569</v>
      </c>
      <c r="O21" s="123">
        <f t="shared" si="0"/>
        <v>467.6735830998748</v>
      </c>
      <c r="P21" s="124">
        <f t="shared" si="1"/>
        <v>2502.0367610720259</v>
      </c>
      <c r="Q21" s="112" t="s">
        <v>67</v>
      </c>
    </row>
    <row r="22" spans="1:17" ht="15.75" x14ac:dyDescent="0.25">
      <c r="A22" s="262">
        <f>A21*$C$19</f>
        <v>0.16524899419132091</v>
      </c>
      <c r="B22">
        <f t="shared" ref="B22:B85" si="3">($B$10*$I$1/(A22-$B$14)-$B$13/(A22+$B$19)^2)/100</f>
        <v>134.84658129902149</v>
      </c>
      <c r="C22" s="262"/>
      <c r="D22" s="2"/>
      <c r="E22" s="144"/>
      <c r="N22" s="122">
        <f t="shared" si="2"/>
        <v>0.87389684442213522</v>
      </c>
      <c r="O22" s="123">
        <f t="shared" si="0"/>
        <v>483.70190338765184</v>
      </c>
      <c r="P22" s="124">
        <f t="shared" si="1"/>
        <v>2441.3338056339926</v>
      </c>
      <c r="Q22" s="112" t="s">
        <v>68</v>
      </c>
    </row>
    <row r="23" spans="1:17" ht="15.75" x14ac:dyDescent="0.25">
      <c r="A23" s="262">
        <f t="shared" ref="A23:A86" si="4">A22*$C$19</f>
        <v>0.19334132320384545</v>
      </c>
      <c r="B23">
        <f t="shared" si="3"/>
        <v>-231.99366617727733</v>
      </c>
      <c r="C23" s="262"/>
      <c r="D23" s="2"/>
      <c r="N23" s="122">
        <f t="shared" si="2"/>
        <v>0.90384743181266636</v>
      </c>
      <c r="O23" s="123">
        <f t="shared" si="0"/>
        <v>500.27955350831081</v>
      </c>
      <c r="P23" s="124">
        <f t="shared" si="1"/>
        <v>2380.0992953418813</v>
      </c>
      <c r="Q23" s="112" t="s">
        <v>69</v>
      </c>
    </row>
    <row r="24" spans="1:17" ht="15.75" x14ac:dyDescent="0.25">
      <c r="A24" s="262">
        <f t="shared" si="4"/>
        <v>0.22620934814849916</v>
      </c>
      <c r="B24">
        <f t="shared" si="3"/>
        <v>-235.73755650834187</v>
      </c>
      <c r="C24" s="262"/>
      <c r="D24" s="2"/>
      <c r="N24" s="122">
        <f t="shared" si="2"/>
        <v>0.93482449926290179</v>
      </c>
      <c r="O24" s="123">
        <f t="shared" si="0"/>
        <v>517.42536034201612</v>
      </c>
      <c r="P24" s="124">
        <f t="shared" si="1"/>
        <v>2318.381431955544</v>
      </c>
      <c r="Q24" s="112" t="s">
        <v>70</v>
      </c>
    </row>
    <row r="25" spans="1:17" ht="15.75" x14ac:dyDescent="0.25">
      <c r="A25" s="262">
        <f t="shared" si="4"/>
        <v>0.26466493733374402</v>
      </c>
      <c r="B25">
        <f t="shared" si="3"/>
        <v>-186.78189944849208</v>
      </c>
      <c r="C25" s="262"/>
      <c r="D25" s="2"/>
      <c r="J25" s="132"/>
      <c r="K25" s="132"/>
      <c r="N25" s="122">
        <f t="shared" si="2"/>
        <v>0.96686322676110792</v>
      </c>
      <c r="O25" s="123">
        <f t="shared" si="0"/>
        <v>535.15879601227323</v>
      </c>
      <c r="P25" s="124">
        <f t="shared" si="1"/>
        <v>2256.2314513556394</v>
      </c>
      <c r="Q25" s="112" t="s">
        <v>71</v>
      </c>
    </row>
    <row r="26" spans="1:17" ht="15.75" x14ac:dyDescent="0.25">
      <c r="A26" s="262">
        <f t="shared" si="4"/>
        <v>0.30965797668048051</v>
      </c>
      <c r="B26">
        <f t="shared" si="3"/>
        <v>-135.88894163544555</v>
      </c>
      <c r="C26" s="262"/>
      <c r="J26" s="141"/>
      <c r="K26" s="132"/>
      <c r="N26" s="122">
        <f>0.9*(N27-N25)+N25</f>
        <v>0.99668632267611057</v>
      </c>
      <c r="O26" s="122">
        <f>N26*$B$3</f>
        <v>551.66587960122718</v>
      </c>
      <c r="P26" s="124">
        <f>$B$12*EXP($P$3*(1-N26))</f>
        <v>2199.8776138752141</v>
      </c>
      <c r="Q26" s="112" t="s">
        <v>72</v>
      </c>
    </row>
    <row r="27" spans="1:17" ht="15.75" x14ac:dyDescent="0.25">
      <c r="A27" s="262">
        <f t="shared" si="4"/>
        <v>0.36229983271616217</v>
      </c>
      <c r="B27">
        <f t="shared" si="3"/>
        <v>-93.790122816111293</v>
      </c>
      <c r="C27" s="262"/>
      <c r="J27" s="132"/>
      <c r="K27" s="132"/>
      <c r="N27" s="122">
        <f>N25*$M$6</f>
        <v>0.99999999999999978</v>
      </c>
      <c r="O27" s="123">
        <f>N27*$B$3</f>
        <v>553.49999999999989</v>
      </c>
      <c r="P27" s="124">
        <f>$B$12*EXP($P$3*(1-N27))</f>
        <v>2193.7036127822553</v>
      </c>
      <c r="Q27" s="150" t="s">
        <v>97</v>
      </c>
    </row>
    <row r="28" spans="1:17" ht="15.75" x14ac:dyDescent="0.25">
      <c r="A28" s="262">
        <f t="shared" si="4"/>
        <v>0.42389080427790971</v>
      </c>
      <c r="B28">
        <f t="shared" si="3"/>
        <v>-61.648212629585615</v>
      </c>
      <c r="C28" s="262"/>
      <c r="D28" s="209" t="s">
        <v>147</v>
      </c>
      <c r="E28" s="210"/>
      <c r="F28" s="211"/>
      <c r="J28" s="132"/>
      <c r="K28" s="132"/>
      <c r="N28" s="122">
        <v>1.5</v>
      </c>
      <c r="O28" s="122">
        <v>887</v>
      </c>
      <c r="P28" s="124">
        <f t="shared" si="1"/>
        <v>1435.5107569938584</v>
      </c>
      <c r="Q28" s="150" t="s">
        <v>153</v>
      </c>
    </row>
    <row r="29" spans="1:17" ht="15.75" x14ac:dyDescent="0.25">
      <c r="A29" s="262">
        <f t="shared" si="4"/>
        <v>0.49595224100515434</v>
      </c>
      <c r="B29">
        <f t="shared" si="3"/>
        <v>-38.128779607090003</v>
      </c>
      <c r="C29" s="262"/>
      <c r="D29" s="206" t="s">
        <v>136</v>
      </c>
      <c r="E29" s="207" t="s">
        <v>137</v>
      </c>
      <c r="F29" s="208" t="s">
        <v>138</v>
      </c>
    </row>
    <row r="30" spans="1:17" ht="15.75" x14ac:dyDescent="0.25">
      <c r="A30" s="262">
        <f t="shared" si="4"/>
        <v>0.5802641219760305</v>
      </c>
      <c r="B30">
        <f t="shared" si="3"/>
        <v>-21.428770764887567</v>
      </c>
      <c r="C30" s="262"/>
      <c r="D30" s="201">
        <f>MAX($E$13)</f>
        <v>1.7657789612712804E-6</v>
      </c>
      <c r="E30" s="196">
        <f>MAX($E$15)</f>
        <v>4.8672177399566863E-7</v>
      </c>
      <c r="F30" s="202">
        <f>MAX($E$16)</f>
        <v>7.9449551826371589E-8</v>
      </c>
    </row>
    <row r="31" spans="1:17" ht="15.75" x14ac:dyDescent="0.25">
      <c r="A31" s="262">
        <f t="shared" si="4"/>
        <v>0.67890902271195563</v>
      </c>
      <c r="B31">
        <f t="shared" si="3"/>
        <v>-9.8881934806704983</v>
      </c>
      <c r="C31" s="262"/>
      <c r="D31" s="61">
        <f>COUNT($B$13)</f>
        <v>1</v>
      </c>
      <c r="E31" s="197">
        <f>COUNT($B$15)</f>
        <v>1</v>
      </c>
      <c r="F31" s="203">
        <f>COUNT($B$16)</f>
        <v>1</v>
      </c>
      <c r="J31" s="115"/>
      <c r="K31" s="114"/>
    </row>
    <row r="32" spans="1:17" ht="15.75" x14ac:dyDescent="0.25">
      <c r="A32" s="262">
        <f t="shared" si="4"/>
        <v>0.79432355657298803</v>
      </c>
      <c r="B32">
        <f t="shared" si="3"/>
        <v>-2.146313998308615</v>
      </c>
      <c r="C32" s="262"/>
      <c r="D32" s="198" t="s">
        <v>141</v>
      </c>
      <c r="E32" s="199" t="s">
        <v>141</v>
      </c>
      <c r="F32" s="200" t="s">
        <v>141</v>
      </c>
      <c r="J32" s="115"/>
      <c r="K32" s="114"/>
    </row>
    <row r="33" spans="1:11" ht="15.75" x14ac:dyDescent="0.25">
      <c r="A33" s="262">
        <f t="shared" si="4"/>
        <v>0.92935856119039595</v>
      </c>
      <c r="B33">
        <f t="shared" si="3"/>
        <v>2.854585440779533</v>
      </c>
      <c r="C33" s="262"/>
      <c r="D33" s="204" t="s">
        <v>151</v>
      </c>
      <c r="E33" s="195" t="s">
        <v>151</v>
      </c>
      <c r="F33" s="205" t="s">
        <v>151</v>
      </c>
      <c r="J33" s="115"/>
      <c r="K33" s="142"/>
    </row>
    <row r="34" spans="1:11" ht="15.75" x14ac:dyDescent="0.25">
      <c r="A34" s="262">
        <f t="shared" si="4"/>
        <v>1.0873495165927631</v>
      </c>
      <c r="B34">
        <f t="shared" si="3"/>
        <v>5.9124258619870265</v>
      </c>
      <c r="C34" s="262"/>
      <c r="D34" s="204" t="s">
        <v>142</v>
      </c>
      <c r="E34" s="195" t="s">
        <v>142</v>
      </c>
      <c r="F34" s="205" t="s">
        <v>142</v>
      </c>
      <c r="J34" s="115"/>
      <c r="K34" s="114"/>
    </row>
    <row r="35" spans="1:11" ht="15.75" x14ac:dyDescent="0.25">
      <c r="A35" s="262">
        <f t="shared" si="4"/>
        <v>1.2721989344135327</v>
      </c>
      <c r="B35">
        <f t="shared" si="3"/>
        <v>7.6174000722639699</v>
      </c>
      <c r="C35" s="262"/>
      <c r="D35" s="204" t="s">
        <v>143</v>
      </c>
      <c r="E35" s="195" t="s">
        <v>143</v>
      </c>
      <c r="F35" s="205" t="s">
        <v>143</v>
      </c>
    </row>
    <row r="36" spans="1:11" ht="15.75" x14ac:dyDescent="0.25">
      <c r="A36" s="262">
        <f t="shared" si="4"/>
        <v>1.4884727532638331</v>
      </c>
      <c r="B36">
        <f t="shared" si="3"/>
        <v>8.3996125358822482</v>
      </c>
      <c r="C36" s="262"/>
      <c r="D36" s="204" t="s">
        <v>144</v>
      </c>
      <c r="E36" s="195" t="s">
        <v>144</v>
      </c>
      <c r="F36" s="205" t="s">
        <v>144</v>
      </c>
    </row>
    <row r="37" spans="1:11" ht="15.75" x14ac:dyDescent="0.25">
      <c r="A37" s="262">
        <f t="shared" si="4"/>
        <v>1.7415131213186845</v>
      </c>
      <c r="B37">
        <f t="shared" si="3"/>
        <v>8.5685333474835659</v>
      </c>
      <c r="C37" s="262"/>
      <c r="D37" s="204" t="s">
        <v>145</v>
      </c>
      <c r="E37" s="195" t="s">
        <v>145</v>
      </c>
      <c r="F37" s="205" t="s">
        <v>145</v>
      </c>
    </row>
    <row r="38" spans="1:11" ht="15.75" x14ac:dyDescent="0.25">
      <c r="A38" s="262">
        <f t="shared" si="4"/>
        <v>2.0375703519428607</v>
      </c>
      <c r="B38">
        <f t="shared" si="3"/>
        <v>8.3441138766735996</v>
      </c>
      <c r="C38" s="262"/>
      <c r="D38" s="212" t="s">
        <v>146</v>
      </c>
      <c r="E38" s="213" t="s">
        <v>146</v>
      </c>
      <c r="F38" s="214" t="s">
        <v>146</v>
      </c>
    </row>
    <row r="39" spans="1:11" ht="15.75" x14ac:dyDescent="0.25">
      <c r="A39" s="262">
        <f t="shared" si="4"/>
        <v>2.383957311773147</v>
      </c>
      <c r="B39">
        <f t="shared" si="3"/>
        <v>7.8806468844523305</v>
      </c>
      <c r="C39" s="262"/>
      <c r="D39" s="78">
        <f>{100,5000,0.000000000001,0.05,FALSE,FALSE,TRUE,1,2,2,0.0001,FALSE}</f>
        <v>100</v>
      </c>
      <c r="E39" s="79">
        <f>{100,5000,0.000000000001,0.05,FALSE,FALSE,TRUE,1,2,2,0.0001,FALSE}</f>
        <v>100</v>
      </c>
      <c r="F39" s="162">
        <f>{100,5000,0.000000000001,0.05,FALSE,FALSE,TRUE,1,2,2,0.0001,FALSE}</f>
        <v>100</v>
      </c>
    </row>
    <row r="40" spans="1:11" ht="15.75" x14ac:dyDescent="0.25">
      <c r="A40" s="262">
        <f t="shared" si="4"/>
        <v>2.7892300547745816</v>
      </c>
      <c r="B40">
        <f t="shared" si="3"/>
        <v>7.2847369643637592</v>
      </c>
      <c r="C40" s="262"/>
    </row>
    <row r="41" spans="1:11" ht="15.75" x14ac:dyDescent="0.25">
      <c r="A41" s="262">
        <f t="shared" si="4"/>
        <v>3.2633991640862603</v>
      </c>
      <c r="B41">
        <f t="shared" si="3"/>
        <v>6.6286657690445825</v>
      </c>
      <c r="C41" s="262"/>
      <c r="D41" s="150"/>
      <c r="E41" s="150"/>
      <c r="F41" s="150"/>
    </row>
    <row r="42" spans="1:11" ht="15.75" x14ac:dyDescent="0.25">
      <c r="A42" s="262">
        <f t="shared" si="4"/>
        <v>3.8181770219809241</v>
      </c>
      <c r="B42">
        <f t="shared" si="3"/>
        <v>5.9602373236407269</v>
      </c>
      <c r="C42" s="262"/>
    </row>
    <row r="43" spans="1:11" ht="15.75" x14ac:dyDescent="0.25">
      <c r="A43" s="262">
        <f t="shared" si="4"/>
        <v>4.4672671157176813</v>
      </c>
      <c r="B43">
        <f t="shared" si="3"/>
        <v>5.3099731633484994</v>
      </c>
      <c r="C43" s="262"/>
    </row>
    <row r="44" spans="1:11" ht="15.75" x14ac:dyDescent="0.25">
      <c r="A44" s="262">
        <f t="shared" si="4"/>
        <v>5.2267025253896868</v>
      </c>
      <c r="B44">
        <f t="shared" si="3"/>
        <v>4.6963334079938628</v>
      </c>
      <c r="C44" s="262"/>
    </row>
    <row r="45" spans="1:11" ht="15.75" x14ac:dyDescent="0.25">
      <c r="A45" s="262">
        <f t="shared" si="4"/>
        <v>6.1152419547059331</v>
      </c>
      <c r="B45">
        <f t="shared" si="3"/>
        <v>4.1294793650601846</v>
      </c>
      <c r="C45" s="262"/>
    </row>
    <row r="46" spans="1:11" ht="15.75" x14ac:dyDescent="0.25">
      <c r="A46" s="262">
        <f t="shared" si="4"/>
        <v>7.1548330870059411</v>
      </c>
      <c r="B46">
        <f t="shared" si="3"/>
        <v>3.6139657485228098</v>
      </c>
      <c r="C46" s="262"/>
    </row>
    <row r="47" spans="1:11" ht="15.75" x14ac:dyDescent="0.25">
      <c r="A47" s="262">
        <f t="shared" si="4"/>
        <v>8.3711547117969509</v>
      </c>
      <c r="B47">
        <f t="shared" si="3"/>
        <v>3.1506518953901685</v>
      </c>
      <c r="C47" s="262"/>
    </row>
    <row r="48" spans="1:11" ht="15.75" x14ac:dyDescent="0.25">
      <c r="A48" s="262">
        <f t="shared" si="4"/>
        <v>9.794251012802432</v>
      </c>
      <c r="B48">
        <f t="shared" si="3"/>
        <v>2.7380462195901512</v>
      </c>
      <c r="C48" s="262"/>
    </row>
    <row r="49" spans="1:3" ht="15.75" x14ac:dyDescent="0.25">
      <c r="A49" s="262">
        <f t="shared" si="4"/>
        <v>11.459273684978845</v>
      </c>
      <c r="B49">
        <f t="shared" si="3"/>
        <v>2.3732415975273686</v>
      </c>
      <c r="C49" s="262"/>
    </row>
    <row r="50" spans="1:3" ht="15.75" x14ac:dyDescent="0.25">
      <c r="A50" s="262">
        <f t="shared" si="4"/>
        <v>13.407350211425248</v>
      </c>
      <c r="B50">
        <f t="shared" si="3"/>
        <v>2.0525571860191132</v>
      </c>
      <c r="C50" s="262"/>
    </row>
    <row r="51" spans="1:3" ht="15.75" x14ac:dyDescent="0.25">
      <c r="A51" s="262">
        <f t="shared" si="4"/>
        <v>15.68659974736754</v>
      </c>
      <c r="B51">
        <f t="shared" si="3"/>
        <v>1.7719708908355023</v>
      </c>
      <c r="C51" s="262"/>
    </row>
    <row r="52" spans="1:3" ht="15.75" x14ac:dyDescent="0.25">
      <c r="A52" s="262">
        <f t="shared" si="4"/>
        <v>18.353321704420019</v>
      </c>
      <c r="B52">
        <f t="shared" si="3"/>
        <v>1.5274036303114735</v>
      </c>
      <c r="C52" s="262"/>
    </row>
    <row r="53" spans="1:3" ht="15.75" x14ac:dyDescent="0.25">
      <c r="A53" s="262">
        <f t="shared" si="4"/>
        <v>21.47338639417142</v>
      </c>
      <c r="B53">
        <f t="shared" si="3"/>
        <v>1.3148995929477405</v>
      </c>
      <c r="C53" s="262"/>
    </row>
    <row r="54" spans="1:3" ht="15.75" x14ac:dyDescent="0.25">
      <c r="A54" s="262">
        <f t="shared" si="4"/>
        <v>25.123862081180562</v>
      </c>
      <c r="B54">
        <f t="shared" si="3"/>
        <v>1.1307342904875168</v>
      </c>
      <c r="C54" s="262"/>
    </row>
    <row r="55" spans="1:3" ht="15.75" x14ac:dyDescent="0.25">
      <c r="A55" s="262">
        <f t="shared" si="4"/>
        <v>29.394918634981256</v>
      </c>
      <c r="B55">
        <f t="shared" si="3"/>
        <v>0.97147317017858159</v>
      </c>
      <c r="C55" s="262"/>
    </row>
    <row r="56" spans="1:3" ht="15.75" x14ac:dyDescent="0.25">
      <c r="A56" s="262">
        <f t="shared" si="4"/>
        <v>34.392054802928065</v>
      </c>
      <c r="B56">
        <f t="shared" si="3"/>
        <v>0.83399698427231372</v>
      </c>
      <c r="C56" s="262"/>
    </row>
    <row r="57" spans="1:3" ht="15.75" x14ac:dyDescent="0.25">
      <c r="A57" s="262">
        <f t="shared" si="4"/>
        <v>40.238704119425833</v>
      </c>
      <c r="B57">
        <f t="shared" si="3"/>
        <v>0.71550536209532878</v>
      </c>
      <c r="C57" s="262"/>
    </row>
    <row r="58" spans="1:3" ht="15.75" x14ac:dyDescent="0.25">
      <c r="A58" s="262">
        <f t="shared" si="4"/>
        <v>47.079283819728225</v>
      </c>
      <c r="B58">
        <f t="shared" si="3"/>
        <v>0.61350660280202485</v>
      </c>
      <c r="C58" s="262"/>
    </row>
    <row r="59" spans="1:3" ht="15.75" x14ac:dyDescent="0.25">
      <c r="A59" s="262">
        <f t="shared" si="4"/>
        <v>55.082762069082023</v>
      </c>
      <c r="B59">
        <f t="shared" si="3"/>
        <v>0.52579924599394101</v>
      </c>
      <c r="C59" s="262"/>
    </row>
    <row r="60" spans="1:3" ht="15.75" x14ac:dyDescent="0.25">
      <c r="A60" s="262">
        <f t="shared" si="4"/>
        <v>64.446831620825961</v>
      </c>
      <c r="B60">
        <f t="shared" si="3"/>
        <v>0.45044921890855283</v>
      </c>
      <c r="C60" s="262"/>
    </row>
    <row r="61" spans="1:3" ht="15.75" x14ac:dyDescent="0.25">
      <c r="A61" s="262">
        <f t="shared" si="4"/>
        <v>75.402792996366372</v>
      </c>
      <c r="B61">
        <f t="shared" si="3"/>
        <v>0.38576510951249604</v>
      </c>
      <c r="C61" s="262"/>
    </row>
    <row r="62" spans="1:3" ht="15.75" x14ac:dyDescent="0.25">
      <c r="A62" s="262">
        <f t="shared" si="4"/>
        <v>88.221267805748653</v>
      </c>
      <c r="B62">
        <f t="shared" si="3"/>
        <v>0.33027323329205927</v>
      </c>
      <c r="C62" s="262"/>
    </row>
    <row r="63" spans="1:3" ht="15.75" x14ac:dyDescent="0.25">
      <c r="A63" s="262">
        <f t="shared" si="4"/>
        <v>103.21888333272592</v>
      </c>
      <c r="B63">
        <f t="shared" si="3"/>
        <v>0.282693544800664</v>
      </c>
      <c r="C63" s="262"/>
    </row>
    <row r="64" spans="1:3" ht="15.75" x14ac:dyDescent="0.25">
      <c r="A64" s="262">
        <f t="shared" si="4"/>
        <v>120.76609349928933</v>
      </c>
      <c r="B64">
        <f t="shared" si="3"/>
        <v>0.24191701816687877</v>
      </c>
      <c r="C64" s="262"/>
    </row>
    <row r="65" spans="1:3" ht="15.75" x14ac:dyDescent="0.25">
      <c r="A65" s="262">
        <f t="shared" si="4"/>
        <v>141.29632939416851</v>
      </c>
      <c r="B65">
        <f t="shared" si="3"/>
        <v>0.20698482941808247</v>
      </c>
      <c r="C65" s="262"/>
    </row>
    <row r="66" spans="1:3" ht="15.75" x14ac:dyDescent="0.25">
      <c r="A66" s="262">
        <f t="shared" si="4"/>
        <v>165.31670539117715</v>
      </c>
      <c r="B66">
        <f t="shared" si="3"/>
        <v>0.17706947828999581</v>
      </c>
      <c r="C66" s="262"/>
    </row>
    <row r="67" spans="1:3" ht="15.75" x14ac:dyDescent="0.25">
      <c r="A67" s="262">
        <f t="shared" si="4"/>
        <v>193.42054530767726</v>
      </c>
      <c r="B67">
        <f t="shared" si="3"/>
        <v>0.15145785978364978</v>
      </c>
      <c r="C67" s="262"/>
    </row>
    <row r="68" spans="1:3" ht="15.75" x14ac:dyDescent="0.25">
      <c r="A68" s="262">
        <f t="shared" si="4"/>
        <v>226.30203800998237</v>
      </c>
      <c r="B68">
        <f t="shared" si="3"/>
        <v>0.12953621568597154</v>
      </c>
      <c r="C68" s="262"/>
    </row>
    <row r="69" spans="1:3" ht="15.75" x14ac:dyDescent="0.25">
      <c r="A69" s="262">
        <f t="shared" si="4"/>
        <v>264.77338447167938</v>
      </c>
      <c r="B69">
        <f t="shared" si="3"/>
        <v>0.11077684896660206</v>
      </c>
      <c r="C69" s="262"/>
    </row>
    <row r="70" spans="1:3" ht="15.75" x14ac:dyDescent="0.25">
      <c r="A70" s="262">
        <f t="shared" si="4"/>
        <v>309.78485983186488</v>
      </c>
      <c r="B70">
        <f t="shared" si="3"/>
        <v>9.4726458977192229E-2</v>
      </c>
      <c r="C70" s="262"/>
    </row>
    <row r="71" spans="1:3" ht="15.75" x14ac:dyDescent="0.25">
      <c r="A71" s="262">
        <f t="shared" si="4"/>
        <v>362.44828600328191</v>
      </c>
      <c r="B71">
        <f t="shared" si="3"/>
        <v>8.0995945319259202E-2</v>
      </c>
      <c r="C71" s="262"/>
    </row>
    <row r="72" spans="1:3" ht="15.75" x14ac:dyDescent="0.25">
      <c r="A72" s="262">
        <f t="shared" si="4"/>
        <v>424.06449462383978</v>
      </c>
      <c r="B72">
        <f t="shared" si="3"/>
        <v>6.9251527908398502E-2</v>
      </c>
      <c r="C72" s="262"/>
    </row>
    <row r="73" spans="1:3" ht="15.75" x14ac:dyDescent="0.25">
      <c r="A73" s="262">
        <f t="shared" si="4"/>
        <v>496.15545870989251</v>
      </c>
      <c r="B73">
        <f t="shared" si="3"/>
        <v>5.920703651294227E-2</v>
      </c>
      <c r="C73" s="262"/>
    </row>
    <row r="74" spans="1:3" ht="15.75" x14ac:dyDescent="0.25">
      <c r="A74" s="262">
        <f t="shared" si="4"/>
        <v>580.50188669057422</v>
      </c>
      <c r="B74">
        <f t="shared" si="3"/>
        <v>5.061723237509972E-2</v>
      </c>
      <c r="C74" s="262"/>
    </row>
    <row r="75" spans="1:3" ht="15.75" x14ac:dyDescent="0.25">
      <c r="A75" s="262">
        <f t="shared" si="4"/>
        <v>679.18720742797177</v>
      </c>
      <c r="B75">
        <f t="shared" si="3"/>
        <v>4.3272035724315858E-2</v>
      </c>
      <c r="C75" s="262"/>
    </row>
    <row r="76" spans="1:3" ht="15.75" x14ac:dyDescent="0.25">
      <c r="A76" s="262">
        <f t="shared" si="4"/>
        <v>794.64903269072693</v>
      </c>
      <c r="B76">
        <f t="shared" si="3"/>
        <v>3.6991544925610055E-2</v>
      </c>
      <c r="C76" s="262"/>
    </row>
    <row r="77" spans="1:3" ht="15.75" x14ac:dyDescent="0.25">
      <c r="A77" s="262">
        <f t="shared" si="4"/>
        <v>929.73936824815041</v>
      </c>
      <c r="B77">
        <f t="shared" si="3"/>
        <v>3.1621744928843218E-2</v>
      </c>
      <c r="C77" s="262"/>
    </row>
    <row r="78" spans="1:3" ht="15.75" x14ac:dyDescent="0.25">
      <c r="A78" s="262">
        <f t="shared" si="4"/>
        <v>1087.7950608503359</v>
      </c>
      <c r="B78">
        <f t="shared" si="3"/>
        <v>2.7030814135535618E-2</v>
      </c>
      <c r="C78" s="262"/>
    </row>
    <row r="79" spans="1:3" ht="15.75" x14ac:dyDescent="0.25">
      <c r="A79" s="262">
        <f t="shared" si="4"/>
        <v>1272.7202211948929</v>
      </c>
      <c r="B79">
        <f t="shared" si="3"/>
        <v>2.3105949507452584E-2</v>
      </c>
      <c r="C79" s="262"/>
    </row>
    <row r="80" spans="1:3" ht="15.75" x14ac:dyDescent="0.25">
      <c r="A80" s="262">
        <f t="shared" si="4"/>
        <v>1489.0826587980246</v>
      </c>
      <c r="B80">
        <f t="shared" si="3"/>
        <v>1.9750639565737117E-2</v>
      </c>
      <c r="C80" s="262"/>
    </row>
    <row r="81" spans="1:3" ht="15.75" x14ac:dyDescent="0.25">
      <c r="A81" s="262">
        <f t="shared" si="4"/>
        <v>1742.2267107936887</v>
      </c>
      <c r="B81">
        <f t="shared" si="3"/>
        <v>1.688232381801975E-2</v>
      </c>
      <c r="C81" s="262"/>
    </row>
    <row r="82" spans="1:3" ht="15.75" x14ac:dyDescent="0.25">
      <c r="A82" s="262">
        <f t="shared" si="4"/>
        <v>2038.4052516286156</v>
      </c>
      <c r="B82">
        <f t="shared" si="3"/>
        <v>1.4430385107261459E-2</v>
      </c>
      <c r="C82" s="262"/>
    </row>
    <row r="83" spans="1:3" ht="15.75" x14ac:dyDescent="0.25">
      <c r="A83" s="262">
        <f t="shared" si="4"/>
        <v>2384.9341444054803</v>
      </c>
      <c r="B83">
        <f t="shared" si="3"/>
        <v>1.2334428438801247E-2</v>
      </c>
      <c r="C83" s="262"/>
    </row>
    <row r="84" spans="1:3" ht="15.75" x14ac:dyDescent="0.25">
      <c r="A84" s="262">
        <f t="shared" si="4"/>
        <v>2790.3729489544116</v>
      </c>
      <c r="B84">
        <f t="shared" si="3"/>
        <v>1.0542806070333682E-2</v>
      </c>
      <c r="C84" s="262"/>
    </row>
    <row r="85" spans="1:3" ht="15.75" x14ac:dyDescent="0.25">
      <c r="A85" s="262">
        <f t="shared" si="4"/>
        <v>3264.7363502766616</v>
      </c>
      <c r="B85">
        <f t="shared" si="3"/>
        <v>9.0113541129246775E-3</v>
      </c>
      <c r="C85" s="262"/>
    </row>
    <row r="86" spans="1:3" ht="15.75" x14ac:dyDescent="0.25">
      <c r="A86" s="262">
        <f t="shared" si="4"/>
        <v>3819.7415298236938</v>
      </c>
      <c r="B86">
        <f>($B$10*$I$1/(A86-$B$14)-$B$13/(A86+$B$19)^2)/100</f>
        <v>7.7023106630808276E-3</v>
      </c>
      <c r="C86" s="26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ALL">
                <anchor moveWithCells="1" sizeWithCells="1">
                  <from>
                    <xdr:col>3</xdr:col>
                    <xdr:colOff>561975</xdr:colOff>
                    <xdr:row>21</xdr:row>
                    <xdr:rowOff>9525</xdr:rowOff>
                  </from>
                  <to>
                    <xdr:col>5</xdr:col>
                    <xdr:colOff>352425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7"/>
  <sheetViews>
    <sheetView workbookViewId="0"/>
  </sheetViews>
  <sheetFormatPr defaultColWidth="8" defaultRowHeight="12.75" x14ac:dyDescent="0.2"/>
  <cols>
    <col min="1" max="1" width="8" style="2" customWidth="1"/>
    <col min="2" max="2" width="10.125" style="2" bestFit="1" customWidth="1"/>
    <col min="3" max="4" width="8" style="2" customWidth="1"/>
    <col min="5" max="5" width="12.5" style="2" customWidth="1"/>
    <col min="6" max="6" width="8.375" style="2" customWidth="1"/>
    <col min="7" max="11" width="8" style="2" customWidth="1"/>
    <col min="12" max="12" width="9.25" style="2" bestFit="1" customWidth="1"/>
    <col min="13" max="13" width="11.5" style="2" bestFit="1" customWidth="1"/>
    <col min="14" max="16" width="8" style="2" customWidth="1"/>
    <col min="17" max="17" width="9.625" style="2" bestFit="1" customWidth="1"/>
    <col min="18" max="16384" width="8" style="2"/>
  </cols>
  <sheetData>
    <row r="1" spans="1:16" ht="18" x14ac:dyDescent="0.25">
      <c r="A1" s="1" t="str">
        <f>' T = Tb'!A1</f>
        <v>Cyclohexane</v>
      </c>
      <c r="E1" s="2" t="s">
        <v>0</v>
      </c>
      <c r="F1" s="2">
        <v>1</v>
      </c>
      <c r="H1" s="3" t="s">
        <v>1</v>
      </c>
      <c r="I1" s="2">
        <f>' T = Tb'!O6</f>
        <v>282.11</v>
      </c>
      <c r="J1" s="2" t="s">
        <v>2</v>
      </c>
    </row>
    <row r="2" spans="1:16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 T = Tb'!F2</f>
        <v>3.9300199999999998</v>
      </c>
      <c r="H2" s="3" t="s">
        <v>16</v>
      </c>
      <c r="I2" s="2">
        <f>1-I1/B3</f>
        <v>0.4903161698283649</v>
      </c>
      <c r="M2" s="4"/>
    </row>
    <row r="3" spans="1:16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 T = Tb'!F3</f>
        <v>1182.7739999999999</v>
      </c>
      <c r="H3" s="3" t="s">
        <v>6</v>
      </c>
      <c r="I3" s="144">
        <f>10^(F2-F3/(I1+F4-273.15))</f>
        <v>5.9989002783289953E-2</v>
      </c>
      <c r="J3" s="2" t="s">
        <v>7</v>
      </c>
      <c r="M3" s="4"/>
    </row>
    <row r="4" spans="1:16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 T = Tb'!F4</f>
        <v>220.61799999999999</v>
      </c>
      <c r="H4" s="3" t="s">
        <v>6</v>
      </c>
      <c r="I4" s="2">
        <f>I3*100</f>
        <v>5.9989002783289953</v>
      </c>
      <c r="J4" s="2" t="s">
        <v>9</v>
      </c>
      <c r="M4" s="4"/>
      <c r="N4" s="6"/>
    </row>
    <row r="5" spans="1:16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 T = Tb'!F5</f>
        <v>0</v>
      </c>
      <c r="H5" s="4"/>
      <c r="M5" s="4"/>
      <c r="N5" s="6"/>
    </row>
    <row r="6" spans="1:16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6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4.2861512714535914E-2</v>
      </c>
    </row>
    <row r="8" spans="1:16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6" ht="13.5" thickBot="1" x14ac:dyDescent="0.25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6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6" x14ac:dyDescent="0.2">
      <c r="A11" s="10" t="s">
        <v>13</v>
      </c>
      <c r="G11" s="283">
        <f>B16^3</f>
        <v>59187492.563157216</v>
      </c>
      <c r="H11" s="34"/>
      <c r="I11" s="34"/>
      <c r="J11" s="34"/>
      <c r="K11" s="279"/>
      <c r="M11" s="12"/>
    </row>
    <row r="12" spans="1:16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-59405543.251439281</v>
      </c>
      <c r="H12" s="31" t="s">
        <v>32</v>
      </c>
      <c r="I12" s="221">
        <f>(2*B19)-B14-(B10*I1/I4)</f>
        <v>-391.14730644783452</v>
      </c>
      <c r="J12" s="32">
        <f>-(B18+B15+B16)</f>
        <v>-391.14730644783452</v>
      </c>
      <c r="K12" s="280"/>
      <c r="N12" s="4"/>
      <c r="O12" s="18"/>
      <c r="P12" s="15"/>
    </row>
    <row r="13" spans="1:16" ht="18.75" x14ac:dyDescent="0.3">
      <c r="A13" s="13" t="s">
        <v>33</v>
      </c>
      <c r="B13" s="19">
        <v>3357.7102261096311</v>
      </c>
      <c r="C13" s="151">
        <f>' T = Tb'!P6</f>
        <v>3324.9297871013982</v>
      </c>
      <c r="E13" s="192">
        <f>ABS(B10*I1*LN((B16-B14)/(B15-B14))+B13*(1/(B16+B19)-1/(B15+B19))-I4*(B16-B15))</f>
        <v>1.1218464624107582E-4</v>
      </c>
      <c r="F13" s="21">
        <f>E13+E15+E16</f>
        <v>34.302854370944715</v>
      </c>
      <c r="G13" s="284">
        <f>I13*B16</f>
        <v>218129.74150389581</v>
      </c>
      <c r="H13" s="31" t="s">
        <v>34</v>
      </c>
      <c r="I13" s="221">
        <f>(B19^2)-(2*B19*B14)-(2*B10*I1*B19/I4)+(B13/I4)</f>
        <v>559.72096056327973</v>
      </c>
      <c r="J13" s="32">
        <f>B15*B16+B15*B18+B18*B16</f>
        <v>559.72096144385387</v>
      </c>
      <c r="K13" s="280"/>
      <c r="L13" s="17">
        <f>B13/B12</f>
        <v>1.5306125251127598</v>
      </c>
      <c r="N13" s="4"/>
      <c r="O13" s="18"/>
      <c r="P13" s="15"/>
    </row>
    <row r="14" spans="1:16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-79.053564860989837</v>
      </c>
      <c r="H14" s="31" t="s">
        <v>36</v>
      </c>
      <c r="I14" s="221">
        <f>(-B14*(B19^2))-(B10*I1*(B19^2)/I4)-(B13*B14/I4)</f>
        <v>-79.053564860989837</v>
      </c>
      <c r="J14" s="32">
        <f>-(B18*B15*B16)</f>
        <v>-79.053565000894338</v>
      </c>
      <c r="K14" s="280"/>
      <c r="L14" s="17">
        <f>B15/B14</f>
        <v>1.1248289079289289</v>
      </c>
      <c r="N14" s="4"/>
      <c r="O14" s="18"/>
    </row>
    <row r="15" spans="1:16" ht="17.25" thickBot="1" x14ac:dyDescent="0.35">
      <c r="A15" s="135" t="s">
        <v>37</v>
      </c>
      <c r="B15" s="136">
        <v>0.15886797403654285</v>
      </c>
      <c r="C15" s="136">
        <v>1.2491135870918697</v>
      </c>
      <c r="D15" s="24" t="s">
        <v>38</v>
      </c>
      <c r="E15" s="25">
        <f>1000000*ABS(B15^3+I12*B15^2+I13*B15+I14)</f>
        <v>9.4928509497549385E-6</v>
      </c>
      <c r="G15" s="286">
        <f>SUM(G11:G14)</f>
        <v>-3.430302699882759E-4</v>
      </c>
      <c r="H15" s="281"/>
      <c r="I15" s="281"/>
      <c r="J15" s="281"/>
      <c r="K15" s="282"/>
      <c r="L15" s="23"/>
    </row>
    <row r="16" spans="1:16" ht="17.25" thickTop="1" x14ac:dyDescent="0.3">
      <c r="A16" s="135" t="s">
        <v>39</v>
      </c>
      <c r="B16" s="137">
        <v>389.71158286511047</v>
      </c>
      <c r="C16" s="125">
        <f>B16-2*$B$14</f>
        <v>389.42910795196292</v>
      </c>
      <c r="D16" s="24" t="s">
        <v>40</v>
      </c>
      <c r="E16" s="25">
        <f>100000*ABS(((B16+$I$12)*B16+$I$13)*B16+$I$14)</f>
        <v>34.302732693447524</v>
      </c>
      <c r="L16" s="26"/>
    </row>
    <row r="17" spans="1:12" ht="16.5" x14ac:dyDescent="0.3">
      <c r="A17" s="139" t="s">
        <v>41</v>
      </c>
      <c r="B17" s="147">
        <f>B10*I1/I4</f>
        <v>391.00606899126075</v>
      </c>
      <c r="C17" s="125"/>
      <c r="D17" s="24" t="s">
        <v>42</v>
      </c>
      <c r="E17" s="29">
        <f>1000*ABS(B18^3+I12*B18^2+I13*B18+I14)</f>
        <v>9.8446130891716166E-4</v>
      </c>
      <c r="H17" s="12"/>
      <c r="I17" s="4"/>
      <c r="J17" s="17"/>
      <c r="L17" s="25"/>
    </row>
    <row r="18" spans="1:12" ht="15.75" x14ac:dyDescent="0.25">
      <c r="A18" s="135" t="s">
        <v>43</v>
      </c>
      <c r="B18" s="138">
        <f>-I12-B15-B16</f>
        <v>1.2768556086875265</v>
      </c>
      <c r="C18" s="125">
        <f>B18-2*$B$14</f>
        <v>0.99438069553996933</v>
      </c>
      <c r="D18" s="4"/>
      <c r="E18" s="29"/>
      <c r="H18" s="12"/>
      <c r="I18" s="4"/>
      <c r="J18" s="17"/>
      <c r="L18" s="25"/>
    </row>
    <row r="19" spans="1:12" ht="15.75" x14ac:dyDescent="0.25">
      <c r="A19" s="148" t="s">
        <v>135</v>
      </c>
      <c r="B19" s="264">
        <v>0</v>
      </c>
      <c r="C19" s="263">
        <v>1.25</v>
      </c>
      <c r="D19" s="29"/>
      <c r="E19" s="273">
        <f>B16^3</f>
        <v>59187492.563157216</v>
      </c>
      <c r="H19" s="12"/>
      <c r="I19" s="4"/>
      <c r="J19" s="17"/>
      <c r="L19" s="25"/>
    </row>
    <row r="20" spans="1:12" ht="15.75" x14ac:dyDescent="0.25">
      <c r="A20" s="261" t="s">
        <v>44</v>
      </c>
      <c r="B20" s="261" t="s">
        <v>45</v>
      </c>
      <c r="C20" s="261"/>
      <c r="D20" s="21"/>
      <c r="E20" s="6">
        <f>I12*B16^2</f>
        <v>-59405543.251439281</v>
      </c>
      <c r="I20" s="31"/>
      <c r="J20" s="32"/>
      <c r="K20" s="33"/>
      <c r="L20" s="34"/>
    </row>
    <row r="21" spans="1:12" ht="15.75" x14ac:dyDescent="0.25">
      <c r="A21" s="262">
        <v>0.15</v>
      </c>
      <c r="B21">
        <f>($B$10*$I$1/(A21-$B$14)-$B$13/(A21+$B$19)^2)/100</f>
        <v>1184.5400261506941</v>
      </c>
      <c r="C21" s="262"/>
      <c r="E21" s="6">
        <f>I13*B16^2</f>
        <v>85007686.831440628</v>
      </c>
      <c r="I21" s="34"/>
      <c r="J21" s="34"/>
      <c r="K21" s="34"/>
      <c r="L21" s="34"/>
    </row>
    <row r="22" spans="1:12" ht="15.75" x14ac:dyDescent="0.25">
      <c r="A22" s="262">
        <f>A21*$C$19</f>
        <v>0.1875</v>
      </c>
      <c r="B22">
        <f t="shared" ref="B22:B85" si="0">($B$10*$I$1/(A22-$B$14)-$B$13/(A22+$B$19)^2)/100</f>
        <v>-448.06138451836864</v>
      </c>
      <c r="C22" s="262"/>
      <c r="E22" s="274">
        <f>+I14</f>
        <v>-79.053564860989837</v>
      </c>
      <c r="I22" s="34"/>
      <c r="J22" s="34"/>
      <c r="K22" s="34"/>
      <c r="L22" s="34"/>
    </row>
    <row r="23" spans="1:12" ht="15.75" x14ac:dyDescent="0.25">
      <c r="A23" s="262">
        <f t="shared" ref="A23:A86" si="1">A22*$C$19</f>
        <v>0.234375</v>
      </c>
      <c r="B23">
        <f t="shared" si="0"/>
        <v>-359.40921558001287</v>
      </c>
      <c r="C23" s="262"/>
      <c r="I23" s="34"/>
      <c r="J23" s="34"/>
      <c r="K23" s="34"/>
      <c r="L23" s="34"/>
    </row>
    <row r="24" spans="1:12" ht="15.75" x14ac:dyDescent="0.25">
      <c r="A24" s="262">
        <f t="shared" si="1"/>
        <v>0.29296875</v>
      </c>
      <c r="B24">
        <f t="shared" si="0"/>
        <v>-236.61209945251406</v>
      </c>
      <c r="C24" s="262"/>
      <c r="I24" s="34"/>
      <c r="J24" s="32"/>
      <c r="K24" s="32"/>
      <c r="L24" s="34"/>
    </row>
    <row r="25" spans="1:12" ht="15.75" x14ac:dyDescent="0.25">
      <c r="A25" s="262">
        <f t="shared" si="1"/>
        <v>0.3662109375</v>
      </c>
      <c r="B25">
        <f t="shared" si="0"/>
        <v>-146.10755844636421</v>
      </c>
      <c r="C25" s="262"/>
      <c r="I25" s="34"/>
      <c r="J25" s="32"/>
      <c r="K25" s="32"/>
      <c r="L25" s="34"/>
    </row>
    <row r="26" spans="1:12" ht="15.75" x14ac:dyDescent="0.25">
      <c r="A26" s="262">
        <f t="shared" si="1"/>
        <v>0.457763671875</v>
      </c>
      <c r="B26">
        <f t="shared" si="0"/>
        <v>-86.131524208303105</v>
      </c>
      <c r="C26" s="262"/>
      <c r="I26" s="34"/>
      <c r="J26" s="32"/>
      <c r="K26" s="32"/>
      <c r="L26" s="34"/>
    </row>
    <row r="27" spans="1:12" ht="15.75" x14ac:dyDescent="0.25">
      <c r="A27" s="262">
        <f t="shared" si="1"/>
        <v>0.57220458984375</v>
      </c>
      <c r="B27">
        <f t="shared" si="0"/>
        <v>-48.12457795876481</v>
      </c>
      <c r="C27" s="262"/>
      <c r="I27" s="34"/>
      <c r="J27" s="34"/>
      <c r="K27" s="34"/>
      <c r="L27" s="34"/>
    </row>
    <row r="28" spans="1:12" ht="15.75" x14ac:dyDescent="0.25">
      <c r="A28" s="262">
        <f t="shared" si="1"/>
        <v>0.7152557373046875</v>
      </c>
      <c r="B28">
        <f t="shared" si="0"/>
        <v>-24.769814769340659</v>
      </c>
      <c r="C28" s="262"/>
      <c r="I28" s="34"/>
      <c r="J28" s="34"/>
      <c r="K28" s="34"/>
      <c r="L28" s="34"/>
    </row>
    <row r="29" spans="1:12" ht="15.75" x14ac:dyDescent="0.25">
      <c r="A29" s="262">
        <f t="shared" si="1"/>
        <v>0.89406967163085938</v>
      </c>
      <c r="B29">
        <f t="shared" si="0"/>
        <v>-10.84785735982744</v>
      </c>
      <c r="C29" s="262"/>
      <c r="D29"/>
      <c r="E29"/>
      <c r="F29"/>
      <c r="I29" s="34"/>
      <c r="J29" s="34"/>
      <c r="K29" s="34"/>
      <c r="L29" s="34"/>
    </row>
    <row r="30" spans="1:12" ht="15.75" x14ac:dyDescent="0.25">
      <c r="A30" s="262">
        <f t="shared" si="1"/>
        <v>1.1175870895385742</v>
      </c>
      <c r="B30">
        <f t="shared" si="0"/>
        <v>-2.8589225237487246</v>
      </c>
      <c r="C30" s="262"/>
      <c r="D30"/>
      <c r="E30"/>
      <c r="F30"/>
      <c r="I30" s="34"/>
      <c r="J30" s="31"/>
      <c r="K30" s="35"/>
      <c r="L30" s="34"/>
    </row>
    <row r="31" spans="1:12" ht="15.75" x14ac:dyDescent="0.25">
      <c r="A31" s="262">
        <f t="shared" si="1"/>
        <v>1.3969838619232178</v>
      </c>
      <c r="B31">
        <f t="shared" si="0"/>
        <v>1.4737536131786784</v>
      </c>
      <c r="C31" s="262"/>
      <c r="D31"/>
      <c r="E31"/>
      <c r="F31"/>
      <c r="I31" s="34"/>
      <c r="J31" s="31"/>
      <c r="K31" s="35"/>
      <c r="L31" s="34"/>
    </row>
    <row r="32" spans="1:12" ht="15.75" x14ac:dyDescent="0.25">
      <c r="A32" s="262">
        <f t="shared" si="1"/>
        <v>1.7462298274040222</v>
      </c>
      <c r="B32">
        <f t="shared" si="0"/>
        <v>3.6030936679795174</v>
      </c>
      <c r="C32" s="262"/>
      <c r="D32"/>
      <c r="E32"/>
      <c r="F32"/>
      <c r="I32" s="34"/>
      <c r="J32" s="31"/>
      <c r="K32" s="36"/>
      <c r="L32" s="34"/>
    </row>
    <row r="33" spans="1:12" ht="15.75" x14ac:dyDescent="0.25">
      <c r="A33" s="262">
        <f t="shared" si="1"/>
        <v>2.1827872842550278</v>
      </c>
      <c r="B33">
        <f t="shared" si="0"/>
        <v>4.4420805545745115</v>
      </c>
      <c r="C33" s="262"/>
      <c r="D33"/>
      <c r="E33"/>
      <c r="F33"/>
      <c r="I33" s="34"/>
      <c r="J33" s="31"/>
      <c r="K33" s="33"/>
      <c r="L33" s="34"/>
    </row>
    <row r="34" spans="1:12" ht="15.75" x14ac:dyDescent="0.25">
      <c r="A34" s="262">
        <f t="shared" si="1"/>
        <v>2.7284841053187847</v>
      </c>
      <c r="B34">
        <f t="shared" si="0"/>
        <v>4.5557859377431509</v>
      </c>
      <c r="C34" s="262"/>
      <c r="D34"/>
      <c r="E34"/>
      <c r="F34"/>
      <c r="I34" s="34"/>
      <c r="J34" s="34"/>
      <c r="K34" s="34"/>
      <c r="L34" s="34"/>
    </row>
    <row r="35" spans="1:12" ht="15.75" x14ac:dyDescent="0.25">
      <c r="A35" s="262">
        <f t="shared" si="1"/>
        <v>3.4106051316484809</v>
      </c>
      <c r="B35">
        <f t="shared" si="0"/>
        <v>4.2879373651856918</v>
      </c>
      <c r="C35" s="262"/>
      <c r="D35"/>
      <c r="E35"/>
      <c r="F35"/>
      <c r="I35" s="34"/>
      <c r="J35" s="34"/>
      <c r="K35" s="34"/>
      <c r="L35" s="34"/>
    </row>
    <row r="36" spans="1:12" ht="15.75" x14ac:dyDescent="0.25">
      <c r="A36" s="262">
        <f t="shared" si="1"/>
        <v>4.2632564145606011</v>
      </c>
      <c r="B36">
        <f t="shared" si="0"/>
        <v>3.8430336253168647</v>
      </c>
      <c r="C36" s="262"/>
      <c r="D36"/>
      <c r="E36"/>
      <c r="F36"/>
    </row>
    <row r="37" spans="1:12" ht="15.75" x14ac:dyDescent="0.25">
      <c r="A37" s="262">
        <f t="shared" si="1"/>
        <v>5.3290705182007514</v>
      </c>
      <c r="B37">
        <f t="shared" si="0"/>
        <v>3.3390263570210856</v>
      </c>
      <c r="C37" s="262"/>
      <c r="D37"/>
      <c r="E37"/>
      <c r="F37"/>
    </row>
    <row r="38" spans="1:12" ht="15.75" x14ac:dyDescent="0.25">
      <c r="A38" s="262">
        <f t="shared" si="1"/>
        <v>6.6613381477509392</v>
      </c>
      <c r="B38">
        <f t="shared" si="0"/>
        <v>2.8408063603145854</v>
      </c>
      <c r="C38" s="262"/>
      <c r="D38"/>
      <c r="E38"/>
      <c r="F38"/>
    </row>
    <row r="39" spans="1:12" ht="15.75" x14ac:dyDescent="0.25">
      <c r="A39" s="262">
        <f t="shared" si="1"/>
        <v>8.3266726846886741</v>
      </c>
      <c r="B39">
        <f t="shared" si="0"/>
        <v>2.3813013401752912</v>
      </c>
      <c r="C39" s="262"/>
      <c r="D39"/>
      <c r="E39"/>
      <c r="F39"/>
    </row>
    <row r="40" spans="1:12" ht="15.75" x14ac:dyDescent="0.25">
      <c r="A40" s="262">
        <f t="shared" si="1"/>
        <v>10.408340855860843</v>
      </c>
      <c r="B40">
        <f t="shared" si="0"/>
        <v>1.9746425547218822</v>
      </c>
      <c r="C40" s="262"/>
    </row>
    <row r="41" spans="1:12" ht="15.75" x14ac:dyDescent="0.25">
      <c r="A41" s="262">
        <f t="shared" si="1"/>
        <v>13.010426069826053</v>
      </c>
      <c r="B41">
        <f t="shared" si="0"/>
        <v>1.624290141803818</v>
      </c>
      <c r="C41" s="262"/>
    </row>
    <row r="42" spans="1:12" ht="15.75" x14ac:dyDescent="0.25">
      <c r="A42" s="262">
        <f t="shared" si="1"/>
        <v>16.263032587282567</v>
      </c>
      <c r="B42">
        <f t="shared" si="0"/>
        <v>1.3279766313881012</v>
      </c>
      <c r="C42" s="262"/>
    </row>
    <row r="43" spans="1:12" ht="15.75" x14ac:dyDescent="0.25">
      <c r="A43" s="262">
        <f t="shared" si="1"/>
        <v>20.328790734103208</v>
      </c>
      <c r="B43">
        <f t="shared" si="0"/>
        <v>1.0806578399859932</v>
      </c>
      <c r="C43" s="262"/>
    </row>
    <row r="44" spans="1:12" ht="15.75" x14ac:dyDescent="0.25">
      <c r="A44" s="262">
        <f t="shared" si="1"/>
        <v>25.41098841762901</v>
      </c>
      <c r="B44">
        <f t="shared" si="0"/>
        <v>0.87622735058660228</v>
      </c>
      <c r="C44" s="262"/>
    </row>
    <row r="45" spans="1:12" ht="15.75" x14ac:dyDescent="0.25">
      <c r="A45" s="262">
        <f t="shared" si="1"/>
        <v>31.763735522036264</v>
      </c>
      <c r="B45">
        <f t="shared" si="0"/>
        <v>0.70847265913776925</v>
      </c>
      <c r="C45" s="262"/>
    </row>
    <row r="46" spans="1:12" ht="15.75" x14ac:dyDescent="0.25">
      <c r="A46" s="262">
        <f t="shared" si="1"/>
        <v>39.704669402545328</v>
      </c>
      <c r="B46">
        <f t="shared" si="0"/>
        <v>0.57157329126321854</v>
      </c>
      <c r="C46" s="262"/>
    </row>
    <row r="47" spans="1:12" ht="15.75" x14ac:dyDescent="0.25">
      <c r="A47" s="262">
        <f t="shared" si="1"/>
        <v>49.630836753181661</v>
      </c>
      <c r="B47">
        <f t="shared" si="0"/>
        <v>0.46032808204628239</v>
      </c>
      <c r="C47" s="262"/>
    </row>
    <row r="48" spans="1:12" ht="15.75" x14ac:dyDescent="0.25">
      <c r="A48" s="262">
        <f t="shared" si="1"/>
        <v>62.038545941477075</v>
      </c>
      <c r="B48">
        <f t="shared" si="0"/>
        <v>0.37022719099616841</v>
      </c>
      <c r="C48" s="262"/>
    </row>
    <row r="49" spans="1:3" ht="15.75" x14ac:dyDescent="0.25">
      <c r="A49" s="262">
        <f t="shared" si="1"/>
        <v>77.548182426846338</v>
      </c>
      <c r="B49">
        <f t="shared" si="0"/>
        <v>0.29743931910313348</v>
      </c>
      <c r="C49" s="262"/>
    </row>
    <row r="50" spans="1:3" ht="15.75" x14ac:dyDescent="0.25">
      <c r="A50" s="262">
        <f t="shared" si="1"/>
        <v>96.93522803355792</v>
      </c>
      <c r="B50">
        <f t="shared" si="0"/>
        <v>0.23875637036039596</v>
      </c>
      <c r="C50" s="262"/>
    </row>
    <row r="51" spans="1:3" ht="15.75" x14ac:dyDescent="0.25">
      <c r="A51" s="262">
        <f t="shared" si="1"/>
        <v>121.1690350419474</v>
      </c>
      <c r="B51">
        <f t="shared" si="0"/>
        <v>0.1915202790894612</v>
      </c>
      <c r="C51" s="262"/>
    </row>
    <row r="52" spans="1:3" ht="15.75" x14ac:dyDescent="0.25">
      <c r="A52" s="262">
        <f t="shared" si="1"/>
        <v>151.46129380243426</v>
      </c>
      <c r="B52">
        <f t="shared" si="0"/>
        <v>0.15354595926884276</v>
      </c>
      <c r="C52" s="262"/>
    </row>
    <row r="53" spans="1:3" ht="15.75" x14ac:dyDescent="0.25">
      <c r="A53" s="262">
        <f t="shared" si="1"/>
        <v>189.32661725304283</v>
      </c>
      <c r="B53">
        <f t="shared" si="0"/>
        <v>0.12304780817673093</v>
      </c>
      <c r="C53" s="262"/>
    </row>
    <row r="54" spans="1:3" ht="15.75" x14ac:dyDescent="0.25">
      <c r="A54" s="262">
        <f t="shared" si="1"/>
        <v>236.65827156630354</v>
      </c>
      <c r="B54">
        <f t="shared" si="0"/>
        <v>9.8573317604393071E-2</v>
      </c>
      <c r="C54" s="262"/>
    </row>
    <row r="55" spans="1:3" ht="15.75" x14ac:dyDescent="0.25">
      <c r="A55" s="262">
        <f t="shared" si="1"/>
        <v>295.82283945787941</v>
      </c>
      <c r="B55">
        <f t="shared" si="0"/>
        <v>7.8945102110160578E-2</v>
      </c>
      <c r="C55" s="262"/>
    </row>
    <row r="56" spans="1:3" ht="15.75" x14ac:dyDescent="0.25">
      <c r="A56" s="262">
        <f t="shared" si="1"/>
        <v>369.77854932234925</v>
      </c>
      <c r="B56">
        <f t="shared" si="0"/>
        <v>6.3211409728423429E-2</v>
      </c>
      <c r="C56" s="262"/>
    </row>
    <row r="57" spans="1:3" ht="15.75" x14ac:dyDescent="0.25">
      <c r="A57" s="262">
        <f t="shared" si="1"/>
        <v>462.22318665293653</v>
      </c>
      <c r="B57">
        <f t="shared" si="0"/>
        <v>5.0604538395592751E-2</v>
      </c>
      <c r="C57" s="262"/>
    </row>
    <row r="58" spans="1:3" ht="15.75" x14ac:dyDescent="0.25">
      <c r="A58" s="262">
        <f t="shared" si="1"/>
        <v>577.77898331617064</v>
      </c>
      <c r="B58">
        <f t="shared" si="0"/>
        <v>4.0506293850158581E-2</v>
      </c>
      <c r="C58" s="262"/>
    </row>
    <row r="59" spans="1:3" ht="15.75" x14ac:dyDescent="0.25">
      <c r="A59" s="262">
        <f t="shared" si="1"/>
        <v>722.22372914521327</v>
      </c>
      <c r="B59">
        <f t="shared" si="0"/>
        <v>3.2419539660478662E-2</v>
      </c>
      <c r="C59" s="262"/>
    </row>
    <row r="60" spans="1:3" ht="15.75" x14ac:dyDescent="0.25">
      <c r="A60" s="262">
        <f t="shared" si="1"/>
        <v>902.77966143151662</v>
      </c>
      <c r="B60">
        <f t="shared" si="0"/>
        <v>2.5944914749289158E-2</v>
      </c>
      <c r="C60" s="262"/>
    </row>
    <row r="61" spans="1:3" ht="15.75" x14ac:dyDescent="0.25">
      <c r="A61" s="262">
        <f t="shared" si="1"/>
        <v>1128.4745767893958</v>
      </c>
      <c r="B61">
        <f t="shared" si="0"/>
        <v>2.0761872978620165E-2</v>
      </c>
      <c r="C61" s="262"/>
    </row>
    <row r="62" spans="1:3" ht="15.75" x14ac:dyDescent="0.25">
      <c r="A62" s="262">
        <f t="shared" si="1"/>
        <v>1410.5932209867447</v>
      </c>
      <c r="B62">
        <f t="shared" si="0"/>
        <v>1.6613300761028876E-2</v>
      </c>
      <c r="C62" s="262"/>
    </row>
    <row r="63" spans="1:3" ht="15.75" x14ac:dyDescent="0.25">
      <c r="A63" s="262">
        <f t="shared" si="1"/>
        <v>1763.2415262334307</v>
      </c>
      <c r="B63">
        <f t="shared" si="0"/>
        <v>1.3293074142834512E-2</v>
      </c>
      <c r="C63" s="262"/>
    </row>
    <row r="64" spans="1:3" ht="15.75" x14ac:dyDescent="0.25">
      <c r="A64" s="262">
        <f t="shared" si="1"/>
        <v>2204.0519077917884</v>
      </c>
      <c r="B64">
        <f t="shared" si="0"/>
        <v>1.0636016782181838E-2</v>
      </c>
      <c r="C64" s="262"/>
    </row>
    <row r="65" spans="1:3" ht="15.75" x14ac:dyDescent="0.25">
      <c r="A65" s="262">
        <f t="shared" si="1"/>
        <v>2755.0648847397356</v>
      </c>
      <c r="B65">
        <f t="shared" si="0"/>
        <v>8.5098102083576502E-3</v>
      </c>
      <c r="C65" s="262"/>
    </row>
    <row r="66" spans="1:3" ht="15.75" x14ac:dyDescent="0.25">
      <c r="A66" s="262">
        <f t="shared" si="1"/>
        <v>3443.8311059246694</v>
      </c>
      <c r="B66">
        <f t="shared" si="0"/>
        <v>6.8084861091691528E-3</v>
      </c>
      <c r="C66" s="262"/>
    </row>
    <row r="67" spans="1:3" ht="15.75" x14ac:dyDescent="0.25">
      <c r="A67" s="262">
        <f t="shared" si="1"/>
        <v>4304.7888824058364</v>
      </c>
      <c r="B67">
        <f t="shared" si="0"/>
        <v>5.447197171349393E-3</v>
      </c>
      <c r="C67" s="262"/>
    </row>
    <row r="68" spans="1:3" ht="15.75" x14ac:dyDescent="0.25">
      <c r="A68" s="262">
        <f t="shared" si="1"/>
        <v>5380.9861030072952</v>
      </c>
      <c r="B68">
        <f t="shared" si="0"/>
        <v>4.3580190392708716E-3</v>
      </c>
      <c r="C68" s="262"/>
    </row>
    <row r="69" spans="1:3" ht="15.75" x14ac:dyDescent="0.25">
      <c r="A69" s="262">
        <f t="shared" si="1"/>
        <v>6726.2326287591186</v>
      </c>
      <c r="B69">
        <f t="shared" si="0"/>
        <v>3.4865824650354067E-3</v>
      </c>
      <c r="C69" s="262"/>
    </row>
    <row r="70" spans="1:3" ht="15.75" x14ac:dyDescent="0.25">
      <c r="A70" s="262">
        <f t="shared" si="1"/>
        <v>8407.7907859488987</v>
      </c>
      <c r="B70">
        <f t="shared" si="0"/>
        <v>2.7893730016550124E-3</v>
      </c>
      <c r="C70" s="262"/>
    </row>
    <row r="71" spans="1:3" ht="15.75" x14ac:dyDescent="0.25">
      <c r="A71" s="262">
        <f t="shared" si="1"/>
        <v>10509.738482436123</v>
      </c>
      <c r="B71">
        <f t="shared" si="0"/>
        <v>2.2315669003417737E-3</v>
      </c>
      <c r="C71" s="262"/>
    </row>
    <row r="72" spans="1:3" ht="15.75" x14ac:dyDescent="0.25">
      <c r="A72" s="262">
        <f t="shared" si="1"/>
        <v>13137.173103045154</v>
      </c>
      <c r="B72">
        <f t="shared" si="0"/>
        <v>1.7852973596738104E-3</v>
      </c>
      <c r="C72" s="262"/>
    </row>
    <row r="73" spans="1:3" ht="15.75" x14ac:dyDescent="0.25">
      <c r="A73" s="262">
        <f t="shared" si="1"/>
        <v>16421.466378806443</v>
      </c>
      <c r="B73">
        <f t="shared" si="0"/>
        <v>1.4282659449701579E-3</v>
      </c>
      <c r="C73" s="262"/>
    </row>
    <row r="74" spans="1:3" ht="15.75" x14ac:dyDescent="0.25">
      <c r="A74" s="262">
        <f t="shared" si="1"/>
        <v>20526.832973508055</v>
      </c>
      <c r="B74">
        <f t="shared" si="0"/>
        <v>1.1426307126116441E-3</v>
      </c>
      <c r="C74" s="262"/>
    </row>
    <row r="75" spans="1:3" ht="15.75" x14ac:dyDescent="0.25">
      <c r="A75" s="262">
        <f t="shared" si="1"/>
        <v>25658.541216885067</v>
      </c>
      <c r="B75">
        <f t="shared" si="0"/>
        <v>9.1411606233994221E-4</v>
      </c>
      <c r="C75" s="262"/>
    </row>
    <row r="76" spans="1:3" ht="15.75" x14ac:dyDescent="0.25">
      <c r="A76" s="262">
        <f t="shared" si="1"/>
        <v>32073.176521106332</v>
      </c>
      <c r="B76">
        <f t="shared" si="0"/>
        <v>7.3130020491434921E-4</v>
      </c>
      <c r="C76" s="262"/>
    </row>
    <row r="77" spans="1:3" ht="15.75" x14ac:dyDescent="0.25">
      <c r="A77" s="262">
        <f t="shared" si="1"/>
        <v>40091.470651382915</v>
      </c>
      <c r="B77">
        <f t="shared" si="0"/>
        <v>5.8504487115963364E-4</v>
      </c>
      <c r="C77" s="262"/>
    </row>
    <row r="78" spans="1:3" ht="15.75" x14ac:dyDescent="0.25">
      <c r="A78" s="262">
        <f t="shared" si="1"/>
        <v>50114.338314228648</v>
      </c>
      <c r="B78">
        <f t="shared" si="0"/>
        <v>4.6803890955424832E-4</v>
      </c>
      <c r="C78" s="262"/>
    </row>
    <row r="79" spans="1:3" ht="15.75" x14ac:dyDescent="0.25">
      <c r="A79" s="262">
        <f t="shared" si="1"/>
        <v>62642.922892785806</v>
      </c>
      <c r="B79">
        <f t="shared" si="0"/>
        <v>3.7443305572465289E-4</v>
      </c>
      <c r="C79" s="262"/>
    </row>
    <row r="80" spans="1:3" ht="15.75" x14ac:dyDescent="0.25">
      <c r="A80" s="262">
        <f t="shared" si="1"/>
        <v>78303.653615982257</v>
      </c>
      <c r="B80">
        <f t="shared" si="0"/>
        <v>2.9954767855186205E-4</v>
      </c>
      <c r="C80" s="262"/>
    </row>
    <row r="81" spans="1:3" ht="15.75" x14ac:dyDescent="0.25">
      <c r="A81" s="262">
        <f t="shared" si="1"/>
        <v>97879.567019977825</v>
      </c>
      <c r="B81">
        <f t="shared" si="0"/>
        <v>2.3963893258372923E-4</v>
      </c>
      <c r="C81" s="262"/>
    </row>
    <row r="82" spans="1:3" ht="15.75" x14ac:dyDescent="0.25">
      <c r="A82" s="262">
        <f t="shared" si="1"/>
        <v>122349.45877497229</v>
      </c>
      <c r="B82">
        <f t="shared" si="0"/>
        <v>1.9171165150205265E-4</v>
      </c>
      <c r="C82" s="262"/>
    </row>
    <row r="83" spans="1:3" ht="15.75" x14ac:dyDescent="0.25">
      <c r="A83" s="262">
        <f t="shared" si="1"/>
        <v>152936.82346871536</v>
      </c>
      <c r="B83">
        <f t="shared" si="0"/>
        <v>1.5336964468010486E-4</v>
      </c>
      <c r="C83" s="262"/>
    </row>
    <row r="84" spans="1:3" ht="15.75" x14ac:dyDescent="0.25">
      <c r="A84" s="262">
        <f t="shared" si="1"/>
        <v>191171.02933589421</v>
      </c>
      <c r="B84">
        <f t="shared" si="0"/>
        <v>1.2269592277030944E-4</v>
      </c>
      <c r="C84" s="262"/>
    </row>
    <row r="85" spans="1:3" ht="15.75" x14ac:dyDescent="0.25">
      <c r="A85" s="262">
        <f t="shared" si="1"/>
        <v>238963.78666986775</v>
      </c>
      <c r="B85">
        <f t="shared" si="0"/>
        <v>9.8156870713036746E-5</v>
      </c>
      <c r="C85" s="262"/>
    </row>
    <row r="86" spans="1:3" ht="15.75" x14ac:dyDescent="0.25">
      <c r="A86" s="262">
        <f t="shared" si="1"/>
        <v>298704.73333733471</v>
      </c>
      <c r="B86">
        <f>($B$10*$I$1/(A86-$B$14)-$B$13/(A86+$B$19)^2)/100</f>
        <v>7.8525581368376926E-5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pageSetup paperSize="9" orientation="portrait" horizontalDpi="4294967294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87"/>
  <sheetViews>
    <sheetView workbookViewId="0"/>
  </sheetViews>
  <sheetFormatPr defaultColWidth="8" defaultRowHeight="12.75" x14ac:dyDescent="0.2"/>
  <cols>
    <col min="1" max="4" width="8" style="2" customWidth="1"/>
    <col min="5" max="5" width="10.5" style="2" customWidth="1"/>
    <col min="6" max="16384" width="8" style="2"/>
  </cols>
  <sheetData>
    <row r="1" spans="1:15" ht="18" x14ac:dyDescent="0.25">
      <c r="A1" s="143" t="str">
        <f>' T = Tb'!A1</f>
        <v>Cyclohexane</v>
      </c>
      <c r="E1" s="2" t="s">
        <v>0</v>
      </c>
      <c r="F1" s="2">
        <v>1</v>
      </c>
      <c r="H1" s="3" t="s">
        <v>1</v>
      </c>
      <c r="I1" s="2">
        <f>' T = Tb'!O7</f>
        <v>291.77860134885822</v>
      </c>
      <c r="J1" s="2" t="s">
        <v>2</v>
      </c>
    </row>
    <row r="2" spans="1:15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 T = Tb'!F2</f>
        <v>3.9300199999999998</v>
      </c>
      <c r="H2" s="3" t="s">
        <v>16</v>
      </c>
      <c r="I2" s="2">
        <f>1-I1/B3</f>
        <v>0.47284805537694996</v>
      </c>
      <c r="M2" s="4"/>
    </row>
    <row r="3" spans="1:15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 T = Tb'!F3</f>
        <v>1182.7739999999999</v>
      </c>
      <c r="H3" s="3" t="s">
        <v>6</v>
      </c>
      <c r="I3" s="144">
        <f>10^(F2-F3/(I1+F4-273.15))</f>
        <v>9.6889293865363255E-2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 T = Tb'!F4</f>
        <v>220.61799999999999</v>
      </c>
      <c r="H4" s="3" t="s">
        <v>6</v>
      </c>
      <c r="I4" s="2">
        <f>I3*100</f>
        <v>9.6889293865363246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 T = Tb'!F5</f>
        <v>0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5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5">
        <f>' T = Tb'!F7</f>
        <v>553.5</v>
      </c>
      <c r="G7" s="7">
        <f>F7/B3</f>
        <v>1</v>
      </c>
      <c r="H7" s="2" t="s">
        <v>25</v>
      </c>
      <c r="I7" s="2">
        <f>I6/I3</f>
        <v>2.6537704042938561E-2</v>
      </c>
    </row>
    <row r="8" spans="1:15" ht="15.75" x14ac:dyDescent="0.3">
      <c r="A8" s="4" t="s">
        <v>26</v>
      </c>
      <c r="B8" s="5">
        <f>' T = Tb'!B8</f>
        <v>0.27300000000000002</v>
      </c>
      <c r="E8" s="4" t="s">
        <v>27</v>
      </c>
      <c r="F8" s="5">
        <f>' T = Tb'!F8</f>
        <v>353.93</v>
      </c>
      <c r="G8" s="7">
        <f>F8/B3</f>
        <v>0.63943992773261071</v>
      </c>
      <c r="H8" s="2" t="s">
        <v>28</v>
      </c>
    </row>
    <row r="9" spans="1:15" ht="13.5" thickBot="1" x14ac:dyDescent="0.25">
      <c r="A9" s="9" t="s">
        <v>29</v>
      </c>
      <c r="B9" s="5">
        <f>' T = Tb'!B9</f>
        <v>0.21099999999999999</v>
      </c>
      <c r="E9" s="4"/>
      <c r="F9" s="5">
        <f>' T = Tb'!F9</f>
        <v>101.325</v>
      </c>
      <c r="K9" s="4"/>
    </row>
    <row r="10" spans="1:15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5" x14ac:dyDescent="0.2">
      <c r="A11" s="10" t="s">
        <v>13</v>
      </c>
      <c r="G11" s="283">
        <f>B16^3</f>
        <v>15468600.725565186</v>
      </c>
      <c r="H11" s="34"/>
      <c r="I11" s="34"/>
      <c r="J11" s="34"/>
      <c r="K11" s="279"/>
      <c r="M11" s="12"/>
    </row>
    <row r="12" spans="1:15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-15553443.837893028</v>
      </c>
      <c r="H12" s="31" t="s">
        <v>32</v>
      </c>
      <c r="I12" s="221">
        <f>(2*B19)-B14-(B10*I1/I4)</f>
        <v>-250.52969648201</v>
      </c>
      <c r="J12" s="32">
        <f>-(B18+B15+B16)</f>
        <v>-250.52969648201</v>
      </c>
      <c r="K12" s="280"/>
      <c r="N12" s="4"/>
      <c r="O12" s="18"/>
    </row>
    <row r="13" spans="1:15" ht="18.75" x14ac:dyDescent="0.3">
      <c r="A13" s="13" t="s">
        <v>33</v>
      </c>
      <c r="B13" s="19">
        <v>3301.0714567875025</v>
      </c>
      <c r="C13" s="12">
        <f>' T = Tb'!P7</f>
        <v>3276.0326470464615</v>
      </c>
      <c r="E13" s="192">
        <f>ABS(B10*I1*LN((B16-B14)/(B15-B14))+B13*(1/(B16+B19)-1/(B15+B19))-I4*(B16-B15))</f>
        <v>9.0949470177292824E-13</v>
      </c>
      <c r="F13" s="21">
        <f>E13+E15+E16</f>
        <v>563.80405814735559</v>
      </c>
      <c r="G13" s="284">
        <f>I13*B16</f>
        <v>84891.227071196714</v>
      </c>
      <c r="H13" s="31" t="s">
        <v>34</v>
      </c>
      <c r="I13" s="288">
        <f>(B19^2)-(2*B19*B14)-(2*B10*I1*B19/I4)+(B13/I4)</f>
        <v>340.70549232969438</v>
      </c>
      <c r="J13" s="42">
        <f>B15*B16+B15*B18+B18*B16</f>
        <v>340.70551495351759</v>
      </c>
      <c r="K13" s="280"/>
      <c r="L13" s="26">
        <f>B13/B12</f>
        <v>1.5047937367440367</v>
      </c>
      <c r="N13" s="4"/>
      <c r="O13" s="18"/>
    </row>
    <row r="14" spans="1:15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-48.120377177363061</v>
      </c>
      <c r="H14" s="31" t="s">
        <v>36</v>
      </c>
      <c r="I14" s="221">
        <f>(-B14*(B19^2))-(B10*I1*(B19^2)/I4)-(B13*B14/I4)</f>
        <v>-48.120377177363061</v>
      </c>
      <c r="J14" s="32">
        <f>-(B18*B15*B16)</f>
        <v>-48.120380376774072</v>
      </c>
      <c r="K14" s="280"/>
      <c r="L14" s="26">
        <f>B15/B14</f>
        <v>1.1333048174874505</v>
      </c>
      <c r="N14" s="4"/>
      <c r="O14" s="18"/>
    </row>
    <row r="15" spans="1:15" ht="17.25" thickBot="1" x14ac:dyDescent="0.35">
      <c r="A15" s="135" t="s">
        <v>37</v>
      </c>
      <c r="B15" s="136">
        <v>0.16006508994473784</v>
      </c>
      <c r="C15" s="125">
        <f>B15-2*$B$14</f>
        <v>-0.12240982320281929</v>
      </c>
      <c r="D15" s="24" t="s">
        <v>38</v>
      </c>
      <c r="E15" s="25">
        <f>1000000*ABS(B15^3+I12*B15^2+I13*B15+I14)</f>
        <v>0.42187328830323167</v>
      </c>
      <c r="G15" s="286">
        <f>SUM(G11:G14)</f>
        <v>-5.633822690960244E-3</v>
      </c>
      <c r="H15" s="281"/>
      <c r="I15" s="281"/>
      <c r="J15" s="281"/>
      <c r="K15" s="282"/>
      <c r="L15" s="26">
        <f>B16/B17</f>
        <v>0.99510605575785949</v>
      </c>
    </row>
    <row r="16" spans="1:15" ht="17.25" thickTop="1" x14ac:dyDescent="0.3">
      <c r="A16" s="135" t="s">
        <v>39</v>
      </c>
      <c r="B16" s="137">
        <v>249.16307186809024</v>
      </c>
      <c r="C16" s="125">
        <f>B16-2*$B$14</f>
        <v>248.88059695494269</v>
      </c>
      <c r="D16" s="24" t="s">
        <v>40</v>
      </c>
      <c r="E16" s="25">
        <f>100000*ABS(((B16+$I$12)*B16+$I$13)*B16+$I$14)</f>
        <v>563.38218485905145</v>
      </c>
      <c r="L16" s="26"/>
    </row>
    <row r="17" spans="1:12" ht="16.5" x14ac:dyDescent="0.3">
      <c r="A17" s="139" t="s">
        <v>41</v>
      </c>
      <c r="B17" s="147">
        <f>B10*I1/I4</f>
        <v>250.38845902543622</v>
      </c>
      <c r="C17" s="125"/>
      <c r="D17" s="24" t="s">
        <v>42</v>
      </c>
      <c r="E17" s="29">
        <f>1000*ABS(B18^3+I12*B18^2+I13*B18+I14)</f>
        <v>2.4097578410930964E-2</v>
      </c>
      <c r="H17" s="12"/>
      <c r="I17" s="4"/>
      <c r="J17" s="17"/>
      <c r="L17" s="25"/>
    </row>
    <row r="18" spans="1:12" ht="15.75" x14ac:dyDescent="0.25">
      <c r="A18" s="135" t="s">
        <v>43</v>
      </c>
      <c r="B18" s="138">
        <f>-I12-B15-B16</f>
        <v>1.2065595239750166</v>
      </c>
      <c r="C18" s="125">
        <f>B18-2*$B$14</f>
        <v>0.92408461082745952</v>
      </c>
      <c r="D18" s="4"/>
      <c r="E18" s="29"/>
      <c r="H18" s="12"/>
      <c r="I18" s="4"/>
      <c r="J18" s="17"/>
      <c r="L18" s="25"/>
    </row>
    <row r="19" spans="1:12" ht="15.75" x14ac:dyDescent="0.25">
      <c r="A19" s="148" t="s">
        <v>135</v>
      </c>
      <c r="B19" s="264">
        <v>0</v>
      </c>
      <c r="C19" s="263">
        <v>1.25</v>
      </c>
      <c r="D19" s="29"/>
      <c r="E19" s="4"/>
      <c r="H19" s="12"/>
      <c r="I19" s="4"/>
      <c r="J19" s="17"/>
      <c r="L19" s="25"/>
    </row>
    <row r="20" spans="1:12" ht="15.75" x14ac:dyDescent="0.25">
      <c r="A20" s="261" t="s">
        <v>44</v>
      </c>
      <c r="B20" s="261" t="s">
        <v>45</v>
      </c>
      <c r="C20" s="261"/>
      <c r="D20" s="21"/>
      <c r="I20" s="31"/>
      <c r="J20" s="32"/>
      <c r="K20" s="33"/>
      <c r="L20" s="34"/>
    </row>
    <row r="21" spans="1:12" ht="15.75" x14ac:dyDescent="0.25">
      <c r="A21" s="262">
        <v>0.15</v>
      </c>
      <c r="B21">
        <f>($B$10*$I$1/(A21-$B$14)-$B$13/(A21+$B$19)^2)/100</f>
        <v>1301.4552195899639</v>
      </c>
      <c r="C21" s="262"/>
      <c r="I21" s="34"/>
      <c r="J21" s="34"/>
      <c r="K21" s="34"/>
      <c r="L21" s="34"/>
    </row>
    <row r="22" spans="1:12" ht="15.75" x14ac:dyDescent="0.25">
      <c r="A22" s="262">
        <f>A21*$C$19</f>
        <v>0.1875</v>
      </c>
      <c r="B22">
        <f t="shared" ref="B22:B85" si="0">($B$10*$I$1/(A22-$B$14)-$B$13/(A22+$B$19)^2)/100</f>
        <v>-414.57396100889724</v>
      </c>
      <c r="C22" s="262"/>
      <c r="E22" s="194"/>
      <c r="I22" s="34"/>
      <c r="J22" s="34"/>
      <c r="K22" s="34"/>
      <c r="L22" s="34"/>
    </row>
    <row r="23" spans="1:12" ht="15.75" x14ac:dyDescent="0.25">
      <c r="A23" s="262">
        <f t="shared" ref="A23:A86" si="1">A22*$C$19</f>
        <v>0.234375</v>
      </c>
      <c r="B23">
        <f t="shared" si="0"/>
        <v>-340.46715573328692</v>
      </c>
      <c r="C23" s="262"/>
      <c r="I23" s="34"/>
      <c r="J23" s="34"/>
      <c r="K23" s="34"/>
      <c r="L23" s="34"/>
    </row>
    <row r="24" spans="1:12" ht="15.75" x14ac:dyDescent="0.25">
      <c r="A24" s="262">
        <f t="shared" si="1"/>
        <v>0.29296875</v>
      </c>
      <c r="B24">
        <f t="shared" si="0"/>
        <v>-224.71504351256542</v>
      </c>
      <c r="C24" s="262"/>
      <c r="I24" s="34"/>
      <c r="J24" s="32"/>
      <c r="K24" s="32"/>
      <c r="L24" s="34"/>
    </row>
    <row r="25" spans="1:12" ht="15.75" x14ac:dyDescent="0.25">
      <c r="A25" s="262">
        <f t="shared" si="1"/>
        <v>0.3662109375</v>
      </c>
      <c r="B25">
        <f t="shared" si="0"/>
        <v>-138.31096976458136</v>
      </c>
      <c r="C25" s="262"/>
      <c r="I25" s="34"/>
      <c r="J25" s="32"/>
      <c r="K25" s="32"/>
      <c r="L25" s="34"/>
    </row>
    <row r="26" spans="1:12" ht="15.75" x14ac:dyDescent="0.25">
      <c r="A26" s="262">
        <f t="shared" si="1"/>
        <v>0.457763671875</v>
      </c>
      <c r="B26">
        <f t="shared" si="0"/>
        <v>-80.888868841735444</v>
      </c>
      <c r="C26" s="262"/>
      <c r="I26" s="34"/>
      <c r="J26" s="32"/>
      <c r="K26" s="32"/>
      <c r="L26" s="34"/>
    </row>
    <row r="27" spans="1:12" ht="15.75" x14ac:dyDescent="0.25">
      <c r="A27" s="262">
        <f t="shared" si="1"/>
        <v>0.57220458984375</v>
      </c>
      <c r="B27">
        <f t="shared" si="0"/>
        <v>-44.529385155744905</v>
      </c>
      <c r="C27" s="262"/>
      <c r="I27" s="34"/>
      <c r="J27" s="34"/>
      <c r="K27" s="34"/>
      <c r="L27" s="34"/>
    </row>
    <row r="28" spans="1:12" ht="15.75" x14ac:dyDescent="0.25">
      <c r="A28" s="262">
        <f t="shared" si="1"/>
        <v>0.7152557373046875</v>
      </c>
      <c r="B28">
        <f t="shared" si="0"/>
        <v>-22.262231400561213</v>
      </c>
      <c r="C28" s="262"/>
      <c r="I28" s="34"/>
      <c r="J28" s="34"/>
      <c r="K28" s="34"/>
      <c r="L28" s="34"/>
    </row>
    <row r="29" spans="1:12" ht="15.75" x14ac:dyDescent="0.25">
      <c r="A29" s="262">
        <f t="shared" si="1"/>
        <v>0.89406967163085938</v>
      </c>
      <c r="B29">
        <f t="shared" si="0"/>
        <v>-9.071476411833709</v>
      </c>
      <c r="C29" s="262"/>
      <c r="D29"/>
      <c r="E29"/>
      <c r="F29"/>
      <c r="I29" s="34"/>
      <c r="J29" s="34"/>
      <c r="K29" s="34"/>
      <c r="L29" s="34"/>
    </row>
    <row r="30" spans="1:12" ht="15.75" x14ac:dyDescent="0.25">
      <c r="A30" s="262">
        <f t="shared" si="1"/>
        <v>1.1175870895385742</v>
      </c>
      <c r="B30">
        <f t="shared" si="0"/>
        <v>-1.5820800940008348</v>
      </c>
      <c r="C30" s="262"/>
      <c r="D30"/>
      <c r="E30"/>
      <c r="F30"/>
      <c r="I30" s="34"/>
      <c r="J30" s="31"/>
      <c r="K30" s="35"/>
      <c r="L30" s="34"/>
    </row>
    <row r="31" spans="1:12" ht="15.75" x14ac:dyDescent="0.25">
      <c r="A31" s="262">
        <f t="shared" si="1"/>
        <v>1.3969838619232178</v>
      </c>
      <c r="B31">
        <f t="shared" si="0"/>
        <v>2.4041505795699138</v>
      </c>
      <c r="C31" s="262"/>
      <c r="D31"/>
      <c r="E31"/>
      <c r="F31"/>
      <c r="I31" s="34"/>
      <c r="J31" s="31"/>
      <c r="K31" s="35"/>
      <c r="L31" s="34"/>
    </row>
    <row r="32" spans="1:12" ht="15.75" x14ac:dyDescent="0.25">
      <c r="A32" s="262">
        <f t="shared" si="1"/>
        <v>1.7462298274040222</v>
      </c>
      <c r="B32">
        <f t="shared" si="0"/>
        <v>4.2897087244779213</v>
      </c>
      <c r="C32" s="262"/>
      <c r="D32"/>
      <c r="E32"/>
      <c r="F32"/>
      <c r="I32" s="34"/>
      <c r="J32" s="31"/>
      <c r="K32" s="36"/>
      <c r="L32" s="34"/>
    </row>
    <row r="33" spans="1:12" ht="15.75" x14ac:dyDescent="0.25">
      <c r="A33" s="262">
        <f t="shared" si="1"/>
        <v>2.1827872842550278</v>
      </c>
      <c r="B33">
        <f t="shared" si="0"/>
        <v>4.9547235956138209</v>
      </c>
      <c r="C33" s="262"/>
      <c r="D33"/>
      <c r="E33"/>
      <c r="F33"/>
      <c r="I33" s="34"/>
      <c r="J33" s="31"/>
      <c r="K33" s="33"/>
      <c r="L33" s="34"/>
    </row>
    <row r="34" spans="1:12" ht="15.75" x14ac:dyDescent="0.25">
      <c r="A34" s="262">
        <f t="shared" si="1"/>
        <v>2.7284841053187847</v>
      </c>
      <c r="B34">
        <f t="shared" si="0"/>
        <v>4.9425812031110965</v>
      </c>
      <c r="C34" s="262"/>
      <c r="D34"/>
      <c r="E34"/>
      <c r="F34"/>
      <c r="I34" s="34"/>
      <c r="J34" s="34"/>
      <c r="K34" s="34"/>
      <c r="L34" s="34"/>
    </row>
    <row r="35" spans="1:12" ht="15.75" x14ac:dyDescent="0.25">
      <c r="A35" s="262">
        <f t="shared" si="1"/>
        <v>3.4106051316484809</v>
      </c>
      <c r="B35">
        <f t="shared" si="0"/>
        <v>4.5825161710166382</v>
      </c>
      <c r="C35" s="262"/>
      <c r="D35"/>
      <c r="E35"/>
      <c r="F35"/>
      <c r="I35" s="34"/>
      <c r="J35" s="34"/>
      <c r="K35" s="34"/>
      <c r="L35" s="34"/>
    </row>
    <row r="36" spans="1:12" ht="15.75" x14ac:dyDescent="0.25">
      <c r="A36" s="262">
        <f t="shared" si="1"/>
        <v>4.2632564145606011</v>
      </c>
      <c r="B36">
        <f t="shared" si="0"/>
        <v>4.0692210445587174</v>
      </c>
      <c r="C36" s="262"/>
      <c r="D36"/>
      <c r="E36"/>
      <c r="F36"/>
    </row>
    <row r="37" spans="1:12" ht="15.75" x14ac:dyDescent="0.25">
      <c r="A37" s="262">
        <f t="shared" si="1"/>
        <v>5.3290705182007514</v>
      </c>
      <c r="B37">
        <f t="shared" si="0"/>
        <v>3.5139284069258965</v>
      </c>
      <c r="C37" s="262"/>
      <c r="D37"/>
      <c r="E37"/>
      <c r="F37"/>
    </row>
    <row r="38" spans="1:12" ht="15.75" x14ac:dyDescent="0.25">
      <c r="A38" s="262">
        <f t="shared" si="1"/>
        <v>6.6613381477509392</v>
      </c>
      <c r="B38">
        <f t="shared" si="0"/>
        <v>2.9768656345165669</v>
      </c>
      <c r="C38" s="262"/>
      <c r="D38"/>
      <c r="E38"/>
      <c r="F38"/>
    </row>
    <row r="39" spans="1:12" ht="15.75" x14ac:dyDescent="0.25">
      <c r="A39" s="262">
        <f t="shared" si="1"/>
        <v>8.3266726846886741</v>
      </c>
      <c r="B39">
        <f t="shared" si="0"/>
        <v>2.4876810156137275</v>
      </c>
      <c r="C39" s="262"/>
      <c r="D39"/>
      <c r="E39"/>
      <c r="F39"/>
    </row>
    <row r="40" spans="1:12" ht="15.75" x14ac:dyDescent="0.25">
      <c r="A40" s="262">
        <f t="shared" si="1"/>
        <v>10.408340855860843</v>
      </c>
      <c r="B40">
        <f t="shared" si="0"/>
        <v>2.0581690460784325</v>
      </c>
      <c r="C40" s="262"/>
    </row>
    <row r="41" spans="1:12" ht="15.75" x14ac:dyDescent="0.25">
      <c r="A41" s="262">
        <f t="shared" si="1"/>
        <v>13.010426069826053</v>
      </c>
      <c r="B41">
        <f t="shared" si="0"/>
        <v>1.6901029630913345</v>
      </c>
      <c r="C41" s="262"/>
    </row>
    <row r="42" spans="1:12" ht="15.75" x14ac:dyDescent="0.25">
      <c r="A42" s="262">
        <f t="shared" si="1"/>
        <v>16.263032587282567</v>
      </c>
      <c r="B42">
        <f t="shared" si="0"/>
        <v>1.3799820724935303</v>
      </c>
      <c r="C42" s="262"/>
    </row>
    <row r="43" spans="1:12" ht="15.75" x14ac:dyDescent="0.25">
      <c r="A43" s="262">
        <f t="shared" si="1"/>
        <v>20.328790734103208</v>
      </c>
      <c r="B43">
        <f t="shared" si="0"/>
        <v>1.1218497863453216</v>
      </c>
      <c r="C43" s="262"/>
    </row>
    <row r="44" spans="1:12" ht="15.75" x14ac:dyDescent="0.25">
      <c r="A44" s="262">
        <f t="shared" si="1"/>
        <v>25.41098841762901</v>
      </c>
      <c r="B44">
        <f t="shared" si="0"/>
        <v>0.90891710788752733</v>
      </c>
      <c r="C44" s="262"/>
    </row>
    <row r="45" spans="1:12" ht="15.75" x14ac:dyDescent="0.25">
      <c r="A45" s="262">
        <f t="shared" si="1"/>
        <v>31.763735522036264</v>
      </c>
      <c r="B45">
        <f t="shared" si="0"/>
        <v>0.73445570468854426</v>
      </c>
      <c r="C45" s="262"/>
    </row>
    <row r="46" spans="1:12" ht="15.75" x14ac:dyDescent="0.25">
      <c r="A46" s="262">
        <f t="shared" si="1"/>
        <v>39.704669402545328</v>
      </c>
      <c r="B46">
        <f t="shared" si="0"/>
        <v>0.59225175763916282</v>
      </c>
      <c r="C46" s="262"/>
    </row>
    <row r="47" spans="1:12" ht="15.75" x14ac:dyDescent="0.25">
      <c r="A47" s="262">
        <f t="shared" si="1"/>
        <v>49.630836753181661</v>
      </c>
      <c r="B47">
        <f t="shared" si="0"/>
        <v>0.47680177295348458</v>
      </c>
      <c r="C47" s="262"/>
    </row>
    <row r="48" spans="1:12" ht="15.75" x14ac:dyDescent="0.25">
      <c r="A48" s="262">
        <f t="shared" si="1"/>
        <v>62.038545941477075</v>
      </c>
      <c r="B48">
        <f t="shared" si="0"/>
        <v>0.38336194064498502</v>
      </c>
      <c r="C48" s="262"/>
    </row>
    <row r="49" spans="1:3" ht="15.75" x14ac:dyDescent="0.25">
      <c r="A49" s="262">
        <f t="shared" si="1"/>
        <v>77.548182426846338</v>
      </c>
      <c r="B49">
        <f t="shared" si="0"/>
        <v>0.30791883372224665</v>
      </c>
      <c r="C49" s="262"/>
    </row>
    <row r="50" spans="1:3" ht="15.75" x14ac:dyDescent="0.25">
      <c r="A50" s="262">
        <f t="shared" si="1"/>
        <v>96.93522803355792</v>
      </c>
      <c r="B50">
        <f t="shared" si="0"/>
        <v>0.24712188208134159</v>
      </c>
      <c r="C50" s="262"/>
    </row>
    <row r="51" spans="1:3" ht="15.75" x14ac:dyDescent="0.25">
      <c r="A51" s="262">
        <f t="shared" si="1"/>
        <v>121.1690350419474</v>
      </c>
      <c r="B51">
        <f t="shared" si="0"/>
        <v>0.19820110575590291</v>
      </c>
      <c r="C51" s="262"/>
    </row>
    <row r="52" spans="1:3" ht="15.75" x14ac:dyDescent="0.25">
      <c r="A52" s="262">
        <f t="shared" si="1"/>
        <v>151.46129380243426</v>
      </c>
      <c r="B52">
        <f t="shared" si="0"/>
        <v>0.15888320831872693</v>
      </c>
      <c r="C52" s="262"/>
    </row>
    <row r="53" spans="1:3" ht="15.75" x14ac:dyDescent="0.25">
      <c r="A53" s="262">
        <f t="shared" si="1"/>
        <v>189.32661725304283</v>
      </c>
      <c r="B53">
        <f t="shared" si="0"/>
        <v>0.12731286388859073</v>
      </c>
      <c r="C53" s="262"/>
    </row>
    <row r="54" spans="1:3" ht="15.75" x14ac:dyDescent="0.25">
      <c r="A54" s="262">
        <f t="shared" si="1"/>
        <v>236.65827156630354</v>
      </c>
      <c r="B54">
        <f t="shared" si="0"/>
        <v>0.10198232648645476</v>
      </c>
      <c r="C54" s="262"/>
    </row>
    <row r="55" spans="1:3" ht="15.75" x14ac:dyDescent="0.25">
      <c r="A55" s="262">
        <f t="shared" si="1"/>
        <v>295.82283945787941</v>
      </c>
      <c r="B55">
        <f t="shared" si="0"/>
        <v>8.1670366463125851E-2</v>
      </c>
      <c r="C55" s="262"/>
    </row>
    <row r="56" spans="1:3" ht="15.75" x14ac:dyDescent="0.25">
      <c r="A56" s="262">
        <f t="shared" si="1"/>
        <v>369.77854932234925</v>
      </c>
      <c r="B56">
        <f t="shared" si="0"/>
        <v>6.5390377893743107E-2</v>
      </c>
      <c r="C56" s="262"/>
    </row>
    <row r="57" spans="1:3" ht="15.75" x14ac:dyDescent="0.25">
      <c r="A57" s="262">
        <f t="shared" si="1"/>
        <v>462.22318665293653</v>
      </c>
      <c r="B57">
        <f t="shared" si="0"/>
        <v>5.234691722779683E-2</v>
      </c>
      <c r="C57" s="262"/>
    </row>
    <row r="58" spans="1:3" ht="15.75" x14ac:dyDescent="0.25">
      <c r="A58" s="262">
        <f t="shared" si="1"/>
        <v>577.77898331617064</v>
      </c>
      <c r="B58">
        <f t="shared" si="0"/>
        <v>4.1899687679591367E-2</v>
      </c>
      <c r="C58" s="262"/>
    </row>
    <row r="59" spans="1:3" ht="15.75" x14ac:dyDescent="0.25">
      <c r="A59" s="262">
        <f t="shared" si="1"/>
        <v>722.22372914521327</v>
      </c>
      <c r="B59">
        <f t="shared" si="0"/>
        <v>3.3533928818764006E-2</v>
      </c>
      <c r="C59" s="262"/>
    </row>
    <row r="60" spans="1:3" ht="15.75" x14ac:dyDescent="0.25">
      <c r="A60" s="262">
        <f t="shared" si="1"/>
        <v>902.77966143151662</v>
      </c>
      <c r="B60">
        <f t="shared" si="0"/>
        <v>2.6836217499617204E-2</v>
      </c>
      <c r="C60" s="262"/>
    </row>
    <row r="61" spans="1:3" ht="15.75" x14ac:dyDescent="0.25">
      <c r="A61" s="262">
        <f t="shared" si="1"/>
        <v>1128.4745767893958</v>
      </c>
      <c r="B61">
        <f t="shared" si="0"/>
        <v>2.1474781691620429E-2</v>
      </c>
      <c r="C61" s="262"/>
    </row>
    <row r="62" spans="1:3" ht="15.75" x14ac:dyDescent="0.25">
      <c r="A62" s="262">
        <f t="shared" si="1"/>
        <v>1410.5932209867447</v>
      </c>
      <c r="B62">
        <f t="shared" si="0"/>
        <v>1.7183542300385057E-2</v>
      </c>
      <c r="C62" s="262"/>
    </row>
    <row r="63" spans="1:3" ht="15.75" x14ac:dyDescent="0.25">
      <c r="A63" s="262">
        <f t="shared" si="1"/>
        <v>1763.2415262334307</v>
      </c>
      <c r="B63">
        <f t="shared" si="0"/>
        <v>1.3749212698862765E-2</v>
      </c>
      <c r="C63" s="262"/>
    </row>
    <row r="64" spans="1:3" ht="15.75" x14ac:dyDescent="0.25">
      <c r="A64" s="262">
        <f t="shared" si="1"/>
        <v>2204.0519077917884</v>
      </c>
      <c r="B64">
        <f t="shared" si="0"/>
        <v>1.100089263492283E-2</v>
      </c>
      <c r="C64" s="262"/>
    </row>
    <row r="65" spans="1:3" ht="15.75" x14ac:dyDescent="0.25">
      <c r="A65" s="262">
        <f t="shared" si="1"/>
        <v>2755.0648847397356</v>
      </c>
      <c r="B65">
        <f t="shared" si="0"/>
        <v>8.8016884957260698E-3</v>
      </c>
      <c r="C65" s="262"/>
    </row>
    <row r="66" spans="1:3" ht="15.75" x14ac:dyDescent="0.25">
      <c r="A66" s="262">
        <f t="shared" si="1"/>
        <v>3443.8311059246694</v>
      </c>
      <c r="B66">
        <f t="shared" si="0"/>
        <v>7.0419744064315112E-3</v>
      </c>
      <c r="C66" s="262"/>
    </row>
    <row r="67" spans="1:3" ht="15.75" x14ac:dyDescent="0.25">
      <c r="A67" s="262">
        <f t="shared" si="1"/>
        <v>4304.7888824058364</v>
      </c>
      <c r="B67">
        <f t="shared" si="0"/>
        <v>5.6339786363028286E-3</v>
      </c>
      <c r="C67" s="262"/>
    </row>
    <row r="68" spans="1:3" ht="15.75" x14ac:dyDescent="0.25">
      <c r="A68" s="262">
        <f t="shared" si="1"/>
        <v>5380.9861030072952</v>
      </c>
      <c r="B68">
        <f t="shared" si="0"/>
        <v>4.5074383406199679E-3</v>
      </c>
      <c r="C68" s="262"/>
    </row>
    <row r="69" spans="1:3" ht="15.75" x14ac:dyDescent="0.25">
      <c r="A69" s="262">
        <f t="shared" si="1"/>
        <v>6726.2326287591186</v>
      </c>
      <c r="B69">
        <f t="shared" si="0"/>
        <v>3.6061141489293568E-3</v>
      </c>
      <c r="C69" s="262"/>
    </row>
    <row r="70" spans="1:3" ht="15.75" x14ac:dyDescent="0.25">
      <c r="A70" s="262">
        <f t="shared" si="1"/>
        <v>8407.7907859488987</v>
      </c>
      <c r="B70">
        <f t="shared" si="0"/>
        <v>2.8849959441753577E-3</v>
      </c>
      <c r="C70" s="262"/>
    </row>
    <row r="71" spans="1:3" ht="15.75" x14ac:dyDescent="0.25">
      <c r="A71" s="262">
        <f t="shared" si="1"/>
        <v>10509.738482436123</v>
      </c>
      <c r="B71">
        <f t="shared" si="0"/>
        <v>2.3080637154193119E-3</v>
      </c>
      <c r="C71" s="262"/>
    </row>
    <row r="72" spans="1:3" ht="15.75" x14ac:dyDescent="0.25">
      <c r="A72" s="262">
        <f t="shared" si="1"/>
        <v>13137.173103045154</v>
      </c>
      <c r="B72">
        <f t="shared" si="0"/>
        <v>1.8464938268160428E-3</v>
      </c>
      <c r="C72" s="262"/>
    </row>
    <row r="73" spans="1:3" ht="15.75" x14ac:dyDescent="0.25">
      <c r="A73" s="262">
        <f t="shared" si="1"/>
        <v>16421.466378806443</v>
      </c>
      <c r="B73">
        <f t="shared" si="0"/>
        <v>1.4772224883357824E-3</v>
      </c>
      <c r="C73" s="262"/>
    </row>
    <row r="74" spans="1:3" ht="15.75" x14ac:dyDescent="0.25">
      <c r="A74" s="262">
        <f t="shared" si="1"/>
        <v>20526.832973508055</v>
      </c>
      <c r="B74">
        <f t="shared" si="0"/>
        <v>1.1817955438815811E-3</v>
      </c>
      <c r="C74" s="262"/>
    </row>
    <row r="75" spans="1:3" ht="15.75" x14ac:dyDescent="0.25">
      <c r="A75" s="262">
        <f t="shared" si="1"/>
        <v>25658.541216885067</v>
      </c>
      <c r="B75">
        <f t="shared" si="0"/>
        <v>9.4544766916558512E-4</v>
      </c>
      <c r="C75" s="262"/>
    </row>
    <row r="76" spans="1:3" ht="15.75" x14ac:dyDescent="0.25">
      <c r="A76" s="262">
        <f t="shared" si="1"/>
        <v>32073.176521106332</v>
      </c>
      <c r="B76">
        <f t="shared" si="0"/>
        <v>7.5636532513313564E-4</v>
      </c>
      <c r="C76" s="262"/>
    </row>
    <row r="77" spans="1:3" ht="15.75" x14ac:dyDescent="0.25">
      <c r="A77" s="262">
        <f t="shared" si="1"/>
        <v>40091.470651382915</v>
      </c>
      <c r="B77">
        <f t="shared" si="0"/>
        <v>6.0509686157999198E-4</v>
      </c>
      <c r="C77" s="262"/>
    </row>
    <row r="78" spans="1:3" ht="15.75" x14ac:dyDescent="0.25">
      <c r="A78" s="262">
        <f t="shared" si="1"/>
        <v>50114.338314228648</v>
      </c>
      <c r="B78">
        <f t="shared" si="0"/>
        <v>4.8408043420756358E-4</v>
      </c>
      <c r="C78" s="262"/>
    </row>
    <row r="79" spans="1:3" ht="15.75" x14ac:dyDescent="0.25">
      <c r="A79" s="262">
        <f t="shared" si="1"/>
        <v>62642.922892785806</v>
      </c>
      <c r="B79">
        <f t="shared" si="0"/>
        <v>3.8726623213021256E-4</v>
      </c>
      <c r="C79" s="262"/>
    </row>
    <row r="80" spans="1:3" ht="15.75" x14ac:dyDescent="0.25">
      <c r="A80" s="262">
        <f t="shared" si="1"/>
        <v>78303.653615982257</v>
      </c>
      <c r="B80">
        <f t="shared" si="0"/>
        <v>3.0981419195337523E-4</v>
      </c>
      <c r="C80" s="262"/>
    </row>
    <row r="81" spans="1:3" ht="15.75" x14ac:dyDescent="0.25">
      <c r="A81" s="262">
        <f t="shared" si="1"/>
        <v>97879.567019977825</v>
      </c>
      <c r="B81">
        <f t="shared" si="0"/>
        <v>2.478521255622641E-4</v>
      </c>
      <c r="C81" s="262"/>
    </row>
    <row r="82" spans="1:3" ht="15.75" x14ac:dyDescent="0.25">
      <c r="A82" s="262">
        <f t="shared" si="1"/>
        <v>122349.45877497229</v>
      </c>
      <c r="B82">
        <f t="shared" si="0"/>
        <v>1.9828219452956933E-4</v>
      </c>
      <c r="C82" s="262"/>
    </row>
    <row r="83" spans="1:3" ht="15.75" x14ac:dyDescent="0.25">
      <c r="A83" s="262">
        <f t="shared" si="1"/>
        <v>152936.82346871536</v>
      </c>
      <c r="B83">
        <f t="shared" si="0"/>
        <v>1.5862607183471969E-4</v>
      </c>
      <c r="C83" s="262"/>
    </row>
    <row r="84" spans="1:3" ht="15.75" x14ac:dyDescent="0.25">
      <c r="A84" s="262">
        <f t="shared" si="1"/>
        <v>191171.02933589421</v>
      </c>
      <c r="B84">
        <f t="shared" si="0"/>
        <v>1.2690105984286654E-4</v>
      </c>
      <c r="C84" s="262"/>
    </row>
    <row r="85" spans="1:3" ht="15.75" x14ac:dyDescent="0.25">
      <c r="A85" s="262">
        <f t="shared" si="1"/>
        <v>238963.78666986775</v>
      </c>
      <c r="B85">
        <f t="shared" si="0"/>
        <v>1.0152097739435634E-4</v>
      </c>
      <c r="C85" s="262"/>
    </row>
    <row r="86" spans="1:3" ht="15.75" x14ac:dyDescent="0.25">
      <c r="A86" s="262">
        <f t="shared" si="1"/>
        <v>298704.73333733471</v>
      </c>
      <c r="B86">
        <f>($B$10*$I$1/(A86-$B$14)-$B$13/(A86+$B$19)^2)/100</f>
        <v>8.121686480832802E-5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87"/>
  <sheetViews>
    <sheetView workbookViewId="0"/>
  </sheetViews>
  <sheetFormatPr defaultColWidth="8" defaultRowHeight="12.75" x14ac:dyDescent="0.2"/>
  <cols>
    <col min="1" max="1" width="8" style="2" customWidth="1"/>
    <col min="2" max="2" width="9.375" style="2" customWidth="1"/>
    <col min="3" max="4" width="8" style="2" customWidth="1"/>
    <col min="5" max="5" width="12.5" style="2" bestFit="1" customWidth="1"/>
    <col min="6" max="6" width="9.625" style="2" bestFit="1" customWidth="1"/>
    <col min="7" max="16384" width="8" style="2"/>
  </cols>
  <sheetData>
    <row r="1" spans="1:15" ht="18" x14ac:dyDescent="0.25">
      <c r="A1" s="143" t="str">
        <f>' T = Tb'!A1</f>
        <v>Cyclohexane</v>
      </c>
      <c r="E1" s="2" t="s">
        <v>0</v>
      </c>
      <c r="F1" s="2">
        <v>1</v>
      </c>
      <c r="H1" s="3" t="s">
        <v>1</v>
      </c>
      <c r="I1" s="2">
        <f>' T = Tb'!O8</f>
        <v>301.77856937044379</v>
      </c>
      <c r="J1" s="2" t="s">
        <v>2</v>
      </c>
    </row>
    <row r="2" spans="1:15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 T = Tb'!F2</f>
        <v>3.9300199999999998</v>
      </c>
      <c r="H2" s="3" t="s">
        <v>16</v>
      </c>
      <c r="I2" s="2">
        <f>1-I1/B3</f>
        <v>0.45478126581672307</v>
      </c>
      <c r="M2" s="4"/>
    </row>
    <row r="3" spans="1:15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 T = Tb'!F3</f>
        <v>1182.7739999999999</v>
      </c>
      <c r="H3" s="3" t="s">
        <v>6</v>
      </c>
      <c r="I3" s="144">
        <f>10^(F2-F3/(I1+F4-273.15))</f>
        <v>0.15297578457613945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 T = Tb'!F4</f>
        <v>220.61799999999999</v>
      </c>
      <c r="H4" s="3" t="s">
        <v>6</v>
      </c>
      <c r="I4" s="2">
        <f>I3*100</f>
        <v>15.297578457613945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 T = Tb'!F5</f>
        <v>0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1.6808015808858687E-2</v>
      </c>
    </row>
    <row r="8" spans="1:15" ht="15.75" x14ac:dyDescent="0.3">
      <c r="A8" s="4" t="s">
        <v>26</v>
      </c>
      <c r="B8" s="5">
        <f>' T = Tb'!B8</f>
        <v>0.27300000000000002</v>
      </c>
      <c r="E8" s="4" t="s">
        <v>27</v>
      </c>
      <c r="F8" s="2">
        <f>' T = Tb'!F8</f>
        <v>353.93</v>
      </c>
      <c r="G8" s="7">
        <f>F8/B3</f>
        <v>0.63943992773261071</v>
      </c>
      <c r="H8" s="2" t="s">
        <v>28</v>
      </c>
    </row>
    <row r="9" spans="1:15" ht="13.5" thickBot="1" x14ac:dyDescent="0.25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5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5" x14ac:dyDescent="0.2">
      <c r="A11" s="10" t="s">
        <v>13</v>
      </c>
      <c r="G11" s="283">
        <f>B16^3</f>
        <v>4319766.6964418385</v>
      </c>
      <c r="H11" s="34"/>
      <c r="I11" s="34"/>
      <c r="J11" s="34"/>
      <c r="K11" s="279"/>
      <c r="M11" s="12"/>
    </row>
    <row r="12" spans="1:15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-4354280.128454173</v>
      </c>
      <c r="H12" s="31" t="s">
        <v>32</v>
      </c>
      <c r="I12" s="221">
        <f>(2*B19)-B14-(B10*I1/I4)</f>
        <v>-164.16333675604776</v>
      </c>
      <c r="J12" s="32">
        <f>-(B18+B15+B16)</f>
        <v>-164.16333675604776</v>
      </c>
      <c r="K12" s="280"/>
      <c r="N12" s="4"/>
      <c r="O12" s="18"/>
    </row>
    <row r="13" spans="1:15" ht="18.75" x14ac:dyDescent="0.3">
      <c r="A13" s="13" t="s">
        <v>33</v>
      </c>
      <c r="B13" s="19">
        <v>3244.6464838802249</v>
      </c>
      <c r="C13" s="12">
        <f>' T = Tb'!P8</f>
        <v>3226.2160364319939</v>
      </c>
      <c r="E13" s="192">
        <f>ABS(B10*I1*LN((B16-B14)/(B15-B14))+B13*(1/(B16+B19)-1/(B15+B19))-I4*(B16-B15))</f>
        <v>1.8872015061788261E-10</v>
      </c>
      <c r="F13" s="21">
        <f>E13+E15+E16</f>
        <v>1164.7757994021401</v>
      </c>
      <c r="G13" s="284">
        <f>I13*B16</f>
        <v>34543.377106954424</v>
      </c>
      <c r="H13" s="31" t="s">
        <v>34</v>
      </c>
      <c r="I13" s="221">
        <f>(B19^2)-(2*B19*B14)-(2*B10*I1*B19/I4)+(B13/I4)</f>
        <v>212.10196717541868</v>
      </c>
      <c r="J13" s="32">
        <f>B15*B16+B15*B18+B18*B16</f>
        <v>212.10203876548587</v>
      </c>
      <c r="K13" s="280"/>
      <c r="L13" s="26">
        <f>B13/B12</f>
        <v>1.4790724074913058</v>
      </c>
      <c r="N13" s="4"/>
      <c r="O13" s="18"/>
    </row>
    <row r="14" spans="1:15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-29.956742378151205</v>
      </c>
      <c r="H14" s="31" t="s">
        <v>36</v>
      </c>
      <c r="I14" s="221">
        <f>(-B14*(B19^2))-(B10*I1*(B19^2)/I4)-(B13*B14/I4)</f>
        <v>-29.956742378151205</v>
      </c>
      <c r="J14" s="32">
        <f>-(B18*B15*B16)</f>
        <v>-29.956753930869432</v>
      </c>
      <c r="K14" s="280"/>
      <c r="L14" s="26">
        <f>B15/B14</f>
        <v>1.1425663794924494</v>
      </c>
      <c r="N14" s="4"/>
      <c r="O14" s="18"/>
    </row>
    <row r="15" spans="1:15" ht="17.25" thickBot="1" x14ac:dyDescent="0.35">
      <c r="A15" s="135" t="s">
        <v>37</v>
      </c>
      <c r="B15" s="136">
        <v>0.16137316940622423</v>
      </c>
      <c r="C15" s="136">
        <v>3.0620112422856519E-2</v>
      </c>
      <c r="D15" s="24" t="s">
        <v>38</v>
      </c>
      <c r="E15" s="25">
        <f>1000000*ABS(B15^3+I12*B15^2+I13*B15+I14)</f>
        <v>2.1920243398199091E-6</v>
      </c>
      <c r="G15" s="286">
        <f>SUM(G11:G14)</f>
        <v>-1.1647758193532809E-2</v>
      </c>
      <c r="H15" s="281"/>
      <c r="I15" s="281"/>
      <c r="J15" s="281"/>
      <c r="K15" s="282"/>
      <c r="L15" s="26">
        <f>B16/B17</f>
        <v>0.99292793941432478</v>
      </c>
    </row>
    <row r="16" spans="1:15" ht="17.25" thickTop="1" x14ac:dyDescent="0.3">
      <c r="A16" s="135" t="s">
        <v>39</v>
      </c>
      <c r="B16" s="137">
        <v>162.86212507583846</v>
      </c>
      <c r="C16" s="125">
        <f>B16-2*$B$14</f>
        <v>162.57965016269091</v>
      </c>
      <c r="D16" s="24" t="s">
        <v>40</v>
      </c>
      <c r="E16" s="25">
        <f>100000*ABS(((B16+$I$12)*B16+$I$13)*B16+$I$14)</f>
        <v>1164.7757972099271</v>
      </c>
      <c r="L16" s="26"/>
    </row>
    <row r="17" spans="1:12" ht="16.5" x14ac:dyDescent="0.3">
      <c r="A17" s="139" t="s">
        <v>41</v>
      </c>
      <c r="B17" s="147">
        <f>B10*I1/I4</f>
        <v>164.02209929947398</v>
      </c>
      <c r="C17" s="125"/>
      <c r="D17" s="24" t="s">
        <v>42</v>
      </c>
      <c r="E17" s="29">
        <f>1000*ABS(B18^3+I12*B18^2+I13*B18+I14)</f>
        <v>7.0048397333266621E-2</v>
      </c>
      <c r="H17" s="12"/>
      <c r="I17" s="4"/>
      <c r="J17" s="17"/>
      <c r="L17" s="25"/>
    </row>
    <row r="18" spans="1:12" ht="15.75" x14ac:dyDescent="0.25">
      <c r="A18" s="135" t="s">
        <v>43</v>
      </c>
      <c r="B18" s="138">
        <f>-I12-B15-B16</f>
        <v>1.1398385108030595</v>
      </c>
      <c r="C18" s="125">
        <f>B18-2*$B$14</f>
        <v>0.85736359765550241</v>
      </c>
      <c r="D18" s="4"/>
      <c r="E18" s="29"/>
      <c r="H18" s="12"/>
      <c r="I18" s="4"/>
      <c r="J18" s="17"/>
      <c r="L18" s="25"/>
    </row>
    <row r="19" spans="1:12" ht="15.75" x14ac:dyDescent="0.25">
      <c r="A19" s="148" t="s">
        <v>135</v>
      </c>
      <c r="B19" s="264">
        <v>0</v>
      </c>
      <c r="C19" s="263">
        <v>1.22</v>
      </c>
      <c r="D19" s="29"/>
      <c r="E19" s="4"/>
      <c r="H19" s="12"/>
      <c r="I19" s="4"/>
      <c r="J19" s="17"/>
      <c r="L19" s="25"/>
    </row>
    <row r="20" spans="1:12" ht="15.75" x14ac:dyDescent="0.25">
      <c r="A20" s="261" t="s">
        <v>44</v>
      </c>
      <c r="B20" s="261" t="s">
        <v>45</v>
      </c>
      <c r="C20" s="261"/>
      <c r="D20" s="21"/>
      <c r="I20" s="31"/>
      <c r="J20" s="32"/>
      <c r="K20" s="33"/>
      <c r="L20" s="34"/>
    </row>
    <row r="21" spans="1:12" ht="15.75" x14ac:dyDescent="0.25">
      <c r="A21" s="262">
        <v>0.15</v>
      </c>
      <c r="B21">
        <f>($B$10*$I$1/(A21-$B$14)-$B$13/(A21+$B$19)^2)/100</f>
        <v>1421.4196296156165</v>
      </c>
      <c r="C21" s="262"/>
      <c r="I21" s="34"/>
      <c r="J21" s="34"/>
      <c r="K21" s="34"/>
      <c r="L21" s="34"/>
    </row>
    <row r="22" spans="1:12" ht="15.75" x14ac:dyDescent="0.25">
      <c r="A22" s="262">
        <f>A21*$C$19</f>
        <v>0.183</v>
      </c>
      <c r="B22">
        <f t="shared" ref="B22:B85" si="0">($B$10*$I$1/(A22-$B$14)-$B$13/(A22+$B$19)^2)/100</f>
        <v>-368.05799378441384</v>
      </c>
      <c r="C22" s="262"/>
      <c r="E22" s="194"/>
      <c r="I22" s="34"/>
      <c r="J22" s="34"/>
      <c r="K22" s="34"/>
      <c r="L22" s="34"/>
    </row>
    <row r="23" spans="1:12" ht="15.75" x14ac:dyDescent="0.25">
      <c r="A23" s="262">
        <f t="shared" ref="A23:A86" si="1">A22*$C$19</f>
        <v>0.22325999999999999</v>
      </c>
      <c r="B23">
        <f t="shared" si="0"/>
        <v>-345.03817644140491</v>
      </c>
      <c r="C23" s="262"/>
      <c r="I23" s="34"/>
      <c r="J23" s="34"/>
      <c r="K23" s="34"/>
      <c r="L23" s="34"/>
    </row>
    <row r="24" spans="1:12" ht="15.75" x14ac:dyDescent="0.25">
      <c r="A24" s="262">
        <f t="shared" si="1"/>
        <v>0.27237719999999999</v>
      </c>
      <c r="B24">
        <f t="shared" si="0"/>
        <v>-246.01335776774349</v>
      </c>
      <c r="C24" s="262"/>
      <c r="I24" s="34"/>
      <c r="J24" s="32"/>
      <c r="K24" s="32"/>
      <c r="L24" s="34"/>
    </row>
    <row r="25" spans="1:12" ht="15.75" x14ac:dyDescent="0.25">
      <c r="A25" s="262">
        <f t="shared" si="1"/>
        <v>0.332300184</v>
      </c>
      <c r="B25">
        <f t="shared" si="0"/>
        <v>-162.51131885103155</v>
      </c>
      <c r="C25" s="262"/>
      <c r="I25" s="34"/>
      <c r="J25" s="32"/>
      <c r="K25" s="32"/>
      <c r="L25" s="34"/>
    </row>
    <row r="26" spans="1:12" ht="15.75" x14ac:dyDescent="0.25">
      <c r="A26" s="262">
        <f t="shared" si="1"/>
        <v>0.40540622447999997</v>
      </c>
      <c r="B26">
        <f t="shared" si="0"/>
        <v>-102.4354175438405</v>
      </c>
      <c r="C26" s="262"/>
      <c r="I26" s="34"/>
      <c r="J26" s="32"/>
      <c r="K26" s="32"/>
      <c r="L26" s="34"/>
    </row>
    <row r="27" spans="1:12" ht="15.75" x14ac:dyDescent="0.25">
      <c r="A27" s="262">
        <f t="shared" si="1"/>
        <v>0.49459559386559993</v>
      </c>
      <c r="B27">
        <f t="shared" si="0"/>
        <v>-61.629236847735122</v>
      </c>
      <c r="C27" s="262"/>
      <c r="I27" s="34"/>
      <c r="J27" s="34"/>
      <c r="K27" s="34"/>
      <c r="L27" s="34"/>
    </row>
    <row r="28" spans="1:12" ht="15.75" x14ac:dyDescent="0.25">
      <c r="A28" s="262">
        <f t="shared" si="1"/>
        <v>0.60340662451603189</v>
      </c>
      <c r="B28">
        <f t="shared" si="0"/>
        <v>-34.823736247340442</v>
      </c>
      <c r="C28" s="262"/>
      <c r="I28" s="34"/>
      <c r="J28" s="34"/>
      <c r="K28" s="34"/>
      <c r="L28" s="34"/>
    </row>
    <row r="29" spans="1:12" ht="15.75" x14ac:dyDescent="0.25">
      <c r="A29" s="262">
        <f t="shared" si="1"/>
        <v>0.73615608190955883</v>
      </c>
      <c r="B29">
        <f t="shared" si="0"/>
        <v>-17.696321351861634</v>
      </c>
      <c r="C29" s="262"/>
      <c r="D29"/>
      <c r="E29"/>
      <c r="F29"/>
      <c r="I29" s="34"/>
      <c r="J29" s="34"/>
      <c r="K29" s="34"/>
      <c r="L29" s="34"/>
    </row>
    <row r="30" spans="1:12" ht="15.75" x14ac:dyDescent="0.25">
      <c r="A30" s="262">
        <f t="shared" si="1"/>
        <v>0.89811041992966179</v>
      </c>
      <c r="B30">
        <f t="shared" si="0"/>
        <v>-7.074684262096798</v>
      </c>
      <c r="C30" s="262"/>
      <c r="D30"/>
      <c r="E30"/>
      <c r="F30"/>
      <c r="I30" s="34"/>
      <c r="J30" s="31"/>
      <c r="K30" s="35"/>
      <c r="L30" s="34"/>
    </row>
    <row r="31" spans="1:12" ht="15.75" x14ac:dyDescent="0.25">
      <c r="A31" s="262">
        <f t="shared" si="1"/>
        <v>1.0956947123141874</v>
      </c>
      <c r="B31">
        <f t="shared" si="0"/>
        <v>-0.73773597352028897</v>
      </c>
      <c r="C31" s="262"/>
      <c r="D31"/>
      <c r="E31"/>
      <c r="F31"/>
      <c r="I31" s="34"/>
      <c r="J31" s="31"/>
      <c r="K31" s="35"/>
      <c r="L31" s="34"/>
    </row>
    <row r="32" spans="1:12" ht="15.75" x14ac:dyDescent="0.25">
      <c r="A32" s="262">
        <f t="shared" si="1"/>
        <v>1.3367475490233085</v>
      </c>
      <c r="B32">
        <f t="shared" si="0"/>
        <v>2.8300120999852605</v>
      </c>
      <c r="C32" s="262"/>
      <c r="D32"/>
      <c r="E32"/>
      <c r="F32"/>
      <c r="I32" s="34"/>
      <c r="J32" s="31"/>
      <c r="K32" s="36"/>
      <c r="L32" s="34"/>
    </row>
    <row r="33" spans="1:12" ht="15.75" x14ac:dyDescent="0.25">
      <c r="A33" s="262">
        <f t="shared" si="1"/>
        <v>1.6308320098084363</v>
      </c>
      <c r="B33">
        <f t="shared" si="0"/>
        <v>4.6447617821286942</v>
      </c>
      <c r="C33" s="262"/>
      <c r="D33"/>
      <c r="E33"/>
      <c r="F33"/>
      <c r="I33" s="34"/>
      <c r="J33" s="31"/>
      <c r="K33" s="33"/>
      <c r="L33" s="34"/>
    </row>
    <row r="34" spans="1:12" ht="15.75" x14ac:dyDescent="0.25">
      <c r="A34" s="262">
        <f t="shared" si="1"/>
        <v>1.9896150519662923</v>
      </c>
      <c r="B34">
        <f t="shared" si="0"/>
        <v>5.3783131472872263</v>
      </c>
      <c r="C34" s="262"/>
      <c r="D34"/>
      <c r="E34"/>
      <c r="F34"/>
      <c r="I34" s="34"/>
      <c r="J34" s="34"/>
      <c r="K34" s="34"/>
      <c r="L34" s="34"/>
    </row>
    <row r="35" spans="1:12" ht="15.75" x14ac:dyDescent="0.25">
      <c r="A35" s="262">
        <f t="shared" si="1"/>
        <v>2.4273303633988768</v>
      </c>
      <c r="B35">
        <f t="shared" si="0"/>
        <v>5.4687428290057554</v>
      </c>
      <c r="C35" s="262"/>
      <c r="D35"/>
      <c r="E35"/>
      <c r="F35"/>
      <c r="I35" s="34"/>
      <c r="J35" s="34"/>
      <c r="K35" s="34"/>
      <c r="L35" s="34"/>
    </row>
    <row r="36" spans="1:12" ht="15.75" x14ac:dyDescent="0.25">
      <c r="A36" s="262">
        <f t="shared" si="1"/>
        <v>2.9613430433466297</v>
      </c>
      <c r="B36">
        <f t="shared" si="0"/>
        <v>5.1974300782980958</v>
      </c>
      <c r="C36" s="262"/>
      <c r="D36"/>
      <c r="E36"/>
      <c r="F36"/>
    </row>
    <row r="37" spans="1:12" ht="15.75" x14ac:dyDescent="0.25">
      <c r="A37" s="262">
        <f t="shared" si="1"/>
        <v>3.6128385128828882</v>
      </c>
      <c r="B37">
        <f t="shared" si="0"/>
        <v>4.7417953960232966</v>
      </c>
      <c r="C37" s="262"/>
      <c r="D37"/>
      <c r="E37"/>
      <c r="F37"/>
    </row>
    <row r="38" spans="1:12" ht="15.75" x14ac:dyDescent="0.25">
      <c r="A38" s="262">
        <f t="shared" si="1"/>
        <v>4.4076629857171232</v>
      </c>
      <c r="B38">
        <f t="shared" si="0"/>
        <v>4.2110001065312286</v>
      </c>
      <c r="C38" s="262"/>
      <c r="D38"/>
      <c r="E38"/>
      <c r="F38"/>
    </row>
    <row r="39" spans="1:12" ht="15.75" x14ac:dyDescent="0.25">
      <c r="A39" s="262">
        <f t="shared" si="1"/>
        <v>5.3773488425748903</v>
      </c>
      <c r="B39">
        <f t="shared" si="0"/>
        <v>3.6698945896026949</v>
      </c>
      <c r="C39" s="262"/>
      <c r="D39"/>
      <c r="E39"/>
      <c r="F39"/>
    </row>
    <row r="40" spans="1:12" ht="15.75" x14ac:dyDescent="0.25">
      <c r="A40" s="262">
        <f t="shared" si="1"/>
        <v>6.5603655879413658</v>
      </c>
      <c r="B40">
        <f t="shared" si="0"/>
        <v>3.15495428962946</v>
      </c>
      <c r="C40" s="262"/>
    </row>
    <row r="41" spans="1:12" ht="15.75" x14ac:dyDescent="0.25">
      <c r="A41" s="262">
        <f t="shared" si="1"/>
        <v>8.0036460172884656</v>
      </c>
      <c r="B41">
        <f t="shared" si="0"/>
        <v>2.6847991224870214</v>
      </c>
      <c r="C41" s="262"/>
    </row>
    <row r="42" spans="1:12" ht="15.75" x14ac:dyDescent="0.25">
      <c r="A42" s="262">
        <f t="shared" si="1"/>
        <v>9.7644481410919273</v>
      </c>
      <c r="B42">
        <f t="shared" si="0"/>
        <v>2.2670765313509889</v>
      </c>
      <c r="C42" s="262"/>
    </row>
    <row r="43" spans="1:12" ht="15.75" x14ac:dyDescent="0.25">
      <c r="A43" s="262">
        <f t="shared" si="1"/>
        <v>11.912626732132152</v>
      </c>
      <c r="B43">
        <f t="shared" si="0"/>
        <v>1.9029188229087068</v>
      </c>
      <c r="C43" s="262"/>
    </row>
    <row r="44" spans="1:12" ht="15.75" x14ac:dyDescent="0.25">
      <c r="A44" s="262">
        <f t="shared" si="1"/>
        <v>14.533404613201224</v>
      </c>
      <c r="B44">
        <f t="shared" si="0"/>
        <v>1.5897926456971436</v>
      </c>
      <c r="C44" s="262"/>
    </row>
    <row r="45" spans="1:12" ht="15.75" x14ac:dyDescent="0.25">
      <c r="A45" s="262">
        <f t="shared" si="1"/>
        <v>17.730753628105493</v>
      </c>
      <c r="B45">
        <f t="shared" si="0"/>
        <v>1.3232900695031145</v>
      </c>
      <c r="C45" s="262"/>
    </row>
    <row r="46" spans="1:12" ht="15.75" x14ac:dyDescent="0.25">
      <c r="A46" s="262">
        <f t="shared" si="1"/>
        <v>21.631519426288701</v>
      </c>
      <c r="B46">
        <f t="shared" si="0"/>
        <v>1.0982285213839602</v>
      </c>
      <c r="C46" s="262"/>
    </row>
    <row r="47" spans="1:12" ht="15.75" x14ac:dyDescent="0.25">
      <c r="A47" s="262">
        <f t="shared" si="1"/>
        <v>26.390453700072214</v>
      </c>
      <c r="B47">
        <f t="shared" si="0"/>
        <v>0.90930379522798022</v>
      </c>
      <c r="C47" s="262"/>
    </row>
    <row r="48" spans="1:12" ht="15.75" x14ac:dyDescent="0.25">
      <c r="A48" s="262">
        <f t="shared" si="1"/>
        <v>32.196353514088102</v>
      </c>
      <c r="B48">
        <f t="shared" si="0"/>
        <v>0.75145763951182021</v>
      </c>
      <c r="C48" s="262"/>
    </row>
    <row r="49" spans="1:3" ht="15.75" x14ac:dyDescent="0.25">
      <c r="A49" s="262">
        <f t="shared" si="1"/>
        <v>39.279551287187481</v>
      </c>
      <c r="B49">
        <f t="shared" si="0"/>
        <v>0.62006605657822977</v>
      </c>
      <c r="C49" s="262"/>
    </row>
    <row r="50" spans="1:3" ht="15.75" x14ac:dyDescent="0.25">
      <c r="A50" s="262">
        <f t="shared" si="1"/>
        <v>47.921052570368722</v>
      </c>
      <c r="B50">
        <f t="shared" si="0"/>
        <v>0.51101753302255615</v>
      </c>
      <c r="C50" s="262"/>
    </row>
    <row r="51" spans="1:3" ht="15.75" x14ac:dyDescent="0.25">
      <c r="A51" s="262">
        <f t="shared" si="1"/>
        <v>58.463684135849839</v>
      </c>
      <c r="B51">
        <f t="shared" si="0"/>
        <v>0.42072592142443005</v>
      </c>
      <c r="C51" s="262"/>
    </row>
    <row r="52" spans="1:3" ht="15.75" x14ac:dyDescent="0.25">
      <c r="A52" s="262">
        <f t="shared" si="1"/>
        <v>71.325694645736803</v>
      </c>
      <c r="B52">
        <f t="shared" si="0"/>
        <v>0.34610651534766101</v>
      </c>
      <c r="C52" s="262"/>
    </row>
    <row r="53" spans="1:3" ht="15.75" x14ac:dyDescent="0.25">
      <c r="A53" s="262">
        <f t="shared" si="1"/>
        <v>87.017347467798899</v>
      </c>
      <c r="B53">
        <f t="shared" si="0"/>
        <v>0.28453323948452669</v>
      </c>
      <c r="C53" s="262"/>
    </row>
    <row r="54" spans="1:3" ht="15.75" x14ac:dyDescent="0.25">
      <c r="A54" s="262">
        <f t="shared" si="1"/>
        <v>106.16116391071465</v>
      </c>
      <c r="B54">
        <f t="shared" si="0"/>
        <v>0.23378795609432348</v>
      </c>
      <c r="C54" s="262"/>
    </row>
    <row r="55" spans="1:3" ht="15.75" x14ac:dyDescent="0.25">
      <c r="A55" s="262">
        <f t="shared" si="1"/>
        <v>129.51661997107186</v>
      </c>
      <c r="B55">
        <f t="shared" si="0"/>
        <v>0.19200842027154419</v>
      </c>
      <c r="C55" s="262"/>
    </row>
    <row r="56" spans="1:3" ht="15.75" x14ac:dyDescent="0.25">
      <c r="A56" s="262">
        <f t="shared" si="1"/>
        <v>158.01027636470766</v>
      </c>
      <c r="B56">
        <f t="shared" si="0"/>
        <v>0.15763856567589138</v>
      </c>
      <c r="C56" s="262"/>
    </row>
    <row r="57" spans="1:3" ht="15.75" x14ac:dyDescent="0.25">
      <c r="A57" s="262">
        <f t="shared" si="1"/>
        <v>192.77253716494334</v>
      </c>
      <c r="B57">
        <f t="shared" si="0"/>
        <v>0.12938301260589261</v>
      </c>
      <c r="C57" s="262"/>
    </row>
    <row r="58" spans="1:3" ht="15.75" x14ac:dyDescent="0.25">
      <c r="A58" s="262">
        <f t="shared" si="1"/>
        <v>235.18249534123086</v>
      </c>
      <c r="B58">
        <f t="shared" si="0"/>
        <v>0.10616659169160637</v>
      </c>
      <c r="C58" s="262"/>
    </row>
    <row r="59" spans="1:3" ht="15.75" x14ac:dyDescent="0.25">
      <c r="A59" s="262">
        <f t="shared" si="1"/>
        <v>286.92264431630167</v>
      </c>
      <c r="B59">
        <f t="shared" si="0"/>
        <v>8.7099023967628031E-2</v>
      </c>
      <c r="C59" s="262"/>
    </row>
    <row r="60" spans="1:3" ht="15.75" x14ac:dyDescent="0.25">
      <c r="A60" s="262">
        <f t="shared" si="1"/>
        <v>350.04562606588803</v>
      </c>
      <c r="B60">
        <f t="shared" si="0"/>
        <v>7.144453010524425E-2</v>
      </c>
      <c r="C60" s="262"/>
    </row>
    <row r="61" spans="1:3" ht="15.75" x14ac:dyDescent="0.25">
      <c r="A61" s="262">
        <f t="shared" si="1"/>
        <v>427.0556638003834</v>
      </c>
      <c r="B61">
        <f t="shared" si="0"/>
        <v>5.8595952207902313E-2</v>
      </c>
      <c r="C61" s="262"/>
    </row>
    <row r="62" spans="1:3" ht="15.75" x14ac:dyDescent="0.25">
      <c r="A62" s="262">
        <f t="shared" si="1"/>
        <v>521.00790983646777</v>
      </c>
      <c r="B62">
        <f t="shared" si="0"/>
        <v>4.8052891842182047E-2</v>
      </c>
      <c r="C62" s="262"/>
    </row>
    <row r="63" spans="1:3" ht="15.75" x14ac:dyDescent="0.25">
      <c r="A63" s="262">
        <f t="shared" si="1"/>
        <v>635.62965000049064</v>
      </c>
      <c r="B63">
        <f t="shared" si="0"/>
        <v>3.9403353385330402E-2</v>
      </c>
      <c r="C63" s="262"/>
    </row>
    <row r="64" spans="1:3" ht="15.75" x14ac:dyDescent="0.25">
      <c r="A64" s="262">
        <f t="shared" si="1"/>
        <v>775.46817300059854</v>
      </c>
      <c r="B64">
        <f t="shared" si="0"/>
        <v>3.2308403939208981E-2</v>
      </c>
      <c r="C64" s="262"/>
    </row>
    <row r="65" spans="1:3" ht="15.75" x14ac:dyDescent="0.25">
      <c r="A65" s="262">
        <f t="shared" si="1"/>
        <v>946.07117106073019</v>
      </c>
      <c r="B65">
        <f t="shared" si="0"/>
        <v>2.6489402174088433E-2</v>
      </c>
      <c r="C65" s="262"/>
    </row>
    <row r="66" spans="1:3" ht="15.75" x14ac:dyDescent="0.25">
      <c r="A66" s="262">
        <f t="shared" si="1"/>
        <v>1154.2068286940907</v>
      </c>
      <c r="B66">
        <f t="shared" si="0"/>
        <v>2.1717397586489828E-2</v>
      </c>
      <c r="C66" s="262"/>
    </row>
    <row r="67" spans="1:3" ht="15.75" x14ac:dyDescent="0.25">
      <c r="A67" s="262">
        <f t="shared" si="1"/>
        <v>1408.1323310067908</v>
      </c>
      <c r="B67">
        <f t="shared" si="0"/>
        <v>1.7804352282872679E-2</v>
      </c>
      <c r="C67" s="262"/>
    </row>
    <row r="68" spans="1:3" ht="15.75" x14ac:dyDescent="0.25">
      <c r="A68" s="262">
        <f t="shared" si="1"/>
        <v>1717.9214438282847</v>
      </c>
      <c r="B68">
        <f t="shared" si="0"/>
        <v>1.459588586473649E-2</v>
      </c>
      <c r="C68" s="262"/>
    </row>
    <row r="69" spans="1:3" ht="15.75" x14ac:dyDescent="0.25">
      <c r="A69" s="262">
        <f t="shared" si="1"/>
        <v>2095.8641614705075</v>
      </c>
      <c r="B69">
        <f t="shared" si="0"/>
        <v>1.1965288396269836E-2</v>
      </c>
      <c r="C69" s="262"/>
    </row>
    <row r="70" spans="1:3" ht="15.75" x14ac:dyDescent="0.25">
      <c r="A70" s="262">
        <f t="shared" si="1"/>
        <v>2556.954276994019</v>
      </c>
      <c r="B70">
        <f t="shared" si="0"/>
        <v>9.8085859794231449E-3</v>
      </c>
      <c r="C70" s="262"/>
    </row>
    <row r="71" spans="1:3" ht="15.75" x14ac:dyDescent="0.25">
      <c r="A71" s="262">
        <f t="shared" si="1"/>
        <v>3119.4842179327029</v>
      </c>
      <c r="B71">
        <f t="shared" si="0"/>
        <v>8.0404779880349966E-3</v>
      </c>
      <c r="C71" s="262"/>
    </row>
    <row r="72" spans="1:3" ht="15.75" x14ac:dyDescent="0.25">
      <c r="A72" s="262">
        <f t="shared" si="1"/>
        <v>3805.7707458778973</v>
      </c>
      <c r="B72">
        <f t="shared" si="0"/>
        <v>6.5909947336686347E-3</v>
      </c>
      <c r="C72" s="262"/>
    </row>
    <row r="73" spans="1:3" ht="15.75" x14ac:dyDescent="0.25">
      <c r="A73" s="262">
        <f t="shared" si="1"/>
        <v>4643.0403099710347</v>
      </c>
      <c r="B73">
        <f t="shared" si="0"/>
        <v>5.4027496517378617E-3</v>
      </c>
      <c r="C73" s="262"/>
    </row>
    <row r="74" spans="1:3" ht="15.75" x14ac:dyDescent="0.25">
      <c r="A74" s="262">
        <f t="shared" si="1"/>
        <v>5664.5091781646624</v>
      </c>
      <c r="B74">
        <f t="shared" si="0"/>
        <v>4.4286814885582601E-3</v>
      </c>
      <c r="C74" s="262"/>
    </row>
    <row r="75" spans="1:3" ht="15.75" x14ac:dyDescent="0.25">
      <c r="A75" s="262">
        <f t="shared" si="1"/>
        <v>6910.7011973608878</v>
      </c>
      <c r="B75">
        <f t="shared" si="0"/>
        <v>3.6301999353300762E-3</v>
      </c>
      <c r="C75" s="262"/>
    </row>
    <row r="76" spans="1:3" ht="15.75" x14ac:dyDescent="0.25">
      <c r="A76" s="262">
        <f t="shared" si="1"/>
        <v>8431.0554607802824</v>
      </c>
      <c r="B76">
        <f t="shared" si="0"/>
        <v>2.9756631702943632E-3</v>
      </c>
      <c r="C76" s="262"/>
    </row>
    <row r="77" spans="1:3" ht="15.75" x14ac:dyDescent="0.25">
      <c r="A77" s="262">
        <f t="shared" si="1"/>
        <v>10285.887662151945</v>
      </c>
      <c r="B77">
        <f t="shared" si="0"/>
        <v>2.4391282724021608E-3</v>
      </c>
      <c r="C77" s="262"/>
    </row>
    <row r="78" spans="1:3" ht="15.75" x14ac:dyDescent="0.25">
      <c r="A78" s="262">
        <f t="shared" si="1"/>
        <v>12548.782947825372</v>
      </c>
      <c r="B78">
        <f t="shared" si="0"/>
        <v>1.9993258481596872E-3</v>
      </c>
      <c r="C78" s="262"/>
    </row>
    <row r="79" spans="1:3" ht="15.75" x14ac:dyDescent="0.25">
      <c r="A79" s="262">
        <f t="shared" si="1"/>
        <v>15309.515196346953</v>
      </c>
      <c r="B79">
        <f t="shared" si="0"/>
        <v>1.6388188079513003E-3</v>
      </c>
      <c r="C79" s="262"/>
    </row>
    <row r="80" spans="1:3" ht="15.75" x14ac:dyDescent="0.25">
      <c r="A80" s="262">
        <f t="shared" si="1"/>
        <v>18677.608539543282</v>
      </c>
      <c r="B80">
        <f t="shared" si="0"/>
        <v>1.3433123319300968E-3</v>
      </c>
      <c r="C80" s="262"/>
    </row>
    <row r="81" spans="1:3" ht="15.75" x14ac:dyDescent="0.25">
      <c r="A81" s="262">
        <f t="shared" si="1"/>
        <v>22786.682418242803</v>
      </c>
      <c r="B81">
        <f t="shared" si="0"/>
        <v>1.1010879279853975E-3</v>
      </c>
      <c r="C81" s="262"/>
    </row>
    <row r="82" spans="1:3" ht="15.75" x14ac:dyDescent="0.25">
      <c r="A82" s="262">
        <f t="shared" si="1"/>
        <v>27799.75255025622</v>
      </c>
      <c r="B82">
        <f t="shared" si="0"/>
        <v>9.025393161928197E-4</v>
      </c>
      <c r="C82" s="262"/>
    </row>
    <row r="83" spans="1:3" ht="15.75" x14ac:dyDescent="0.25">
      <c r="A83" s="262">
        <f t="shared" si="1"/>
        <v>33915.698111312588</v>
      </c>
      <c r="B83">
        <f t="shared" si="0"/>
        <v>7.3979185261857747E-4</v>
      </c>
      <c r="C83" s="262"/>
    </row>
    <row r="84" spans="1:3" ht="15.75" x14ac:dyDescent="0.25">
      <c r="A84" s="262">
        <f t="shared" si="1"/>
        <v>41377.151695801353</v>
      </c>
      <c r="B84">
        <f t="shared" si="0"/>
        <v>6.0639047841048045E-4</v>
      </c>
      <c r="C84" s="262"/>
    </row>
    <row r="85" spans="1:3" ht="15.75" x14ac:dyDescent="0.25">
      <c r="A85" s="262">
        <f t="shared" si="1"/>
        <v>50480.125068877649</v>
      </c>
      <c r="B85">
        <f t="shared" si="0"/>
        <v>4.970438710228648E-4</v>
      </c>
      <c r="C85" s="262"/>
    </row>
    <row r="86" spans="1:3" ht="15.75" x14ac:dyDescent="0.25">
      <c r="A86" s="262">
        <f t="shared" si="1"/>
        <v>61585.752584030728</v>
      </c>
      <c r="B86">
        <f>($B$10*$I$1/(A86-$B$14)-$B$13/(A86+$B$19)^2)/100</f>
        <v>4.0741468551787634E-4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87"/>
  <sheetViews>
    <sheetView workbookViewId="0"/>
  </sheetViews>
  <sheetFormatPr defaultColWidth="8" defaultRowHeight="12.75" x14ac:dyDescent="0.2"/>
  <cols>
    <col min="1" max="1" width="8" style="2" customWidth="1"/>
    <col min="2" max="2" width="8.375" style="2" bestFit="1" customWidth="1"/>
    <col min="3" max="4" width="8" style="2" customWidth="1"/>
    <col min="5" max="5" width="11.625" style="2" customWidth="1"/>
    <col min="6" max="12" width="8" style="2" customWidth="1"/>
    <col min="13" max="13" width="9.25" style="2" bestFit="1" customWidth="1"/>
    <col min="14" max="16384" width="8" style="2"/>
  </cols>
  <sheetData>
    <row r="1" spans="1:15" ht="18" x14ac:dyDescent="0.25">
      <c r="A1" s="143" t="str">
        <f>' T = Tb'!A1</f>
        <v>Cyclohexane</v>
      </c>
      <c r="E1" s="2" t="s">
        <v>0</v>
      </c>
      <c r="F1" s="2">
        <v>1</v>
      </c>
      <c r="H1" s="3" t="s">
        <v>1</v>
      </c>
      <c r="I1" s="2">
        <f>' T = Tb'!O9</f>
        <v>312.12126081304262</v>
      </c>
      <c r="J1" s="2" t="s">
        <v>2</v>
      </c>
    </row>
    <row r="2" spans="1:15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 T = Tb'!F2</f>
        <v>3.9300199999999998</v>
      </c>
      <c r="H2" s="3" t="s">
        <v>16</v>
      </c>
      <c r="I2" s="2">
        <f>1-I1/B3</f>
        <v>0.43609528308393386</v>
      </c>
      <c r="M2" s="4"/>
    </row>
    <row r="3" spans="1:15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 T = Tb'!F3</f>
        <v>1182.7739999999999</v>
      </c>
      <c r="H3" s="3" t="s">
        <v>6</v>
      </c>
      <c r="I3" s="144">
        <f>10^(F2-F3/(I1+F4-273.15))</f>
        <v>0.23642385647017744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 T = Tb'!F4</f>
        <v>220.61799999999999</v>
      </c>
      <c r="H4" s="3" t="s">
        <v>6</v>
      </c>
      <c r="I4" s="2">
        <f>I3*100</f>
        <v>23.642385647017743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 T = Tb'!F5</f>
        <v>0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1.0875465124022486E-2</v>
      </c>
    </row>
    <row r="8" spans="1:15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5" ht="13.5" thickBot="1" x14ac:dyDescent="0.25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5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5" x14ac:dyDescent="0.2">
      <c r="A11" s="10" t="s">
        <v>13</v>
      </c>
      <c r="G11" s="283">
        <f>B16^3</f>
        <v>1283234.0808254918</v>
      </c>
      <c r="H11" s="34"/>
      <c r="I11" s="34"/>
      <c r="J11" s="34"/>
      <c r="K11" s="279"/>
      <c r="M11" s="12"/>
    </row>
    <row r="12" spans="1:15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-1297869.6938182092</v>
      </c>
      <c r="H12" s="31" t="s">
        <v>32</v>
      </c>
      <c r="I12" s="221">
        <f>(2*B19)-B14-(B10*I1/I4)</f>
        <v>-109.90745914791152</v>
      </c>
      <c r="J12" s="32">
        <f>-(B18+B15+B16)</f>
        <v>-109.90745914791152</v>
      </c>
      <c r="K12" s="280"/>
      <c r="N12" s="4"/>
      <c r="O12" s="18"/>
    </row>
    <row r="13" spans="1:15" ht="18.75" x14ac:dyDescent="0.3">
      <c r="A13" s="13" t="s">
        <v>33</v>
      </c>
      <c r="B13" s="19">
        <v>3188.343307474006</v>
      </c>
      <c r="C13" s="12">
        <f>' T = Tb'!P9</f>
        <v>3175.4888685376618</v>
      </c>
      <c r="E13" s="192">
        <f>ABS(B10*I1*LN((B16-B14)/(B15-B14))+B13*(1/(B16+B19)-1/(B15+B19))-I4*(B16-B15))</f>
        <v>2.395609044469893E-9</v>
      </c>
      <c r="F13" s="21">
        <f>E13+E15+E16</f>
        <v>1.2405520785932822E-2</v>
      </c>
      <c r="G13" s="284">
        <f>I13*B16</f>
        <v>14654.659864857151</v>
      </c>
      <c r="H13" s="31" t="s">
        <v>34</v>
      </c>
      <c r="I13" s="221">
        <f>(B19^2)-(2*B19*B14)-(2*B10*I1*B19/I4)+(B13/I4)</f>
        <v>134.85708908890015</v>
      </c>
      <c r="J13" s="32">
        <f>B15*B16+B15*B18+B18*B16</f>
        <v>134.85708909004327</v>
      </c>
      <c r="K13" s="280"/>
      <c r="L13" s="26">
        <f>B13/B12</f>
        <v>1.4534065991851373</v>
      </c>
      <c r="N13" s="4"/>
      <c r="O13" s="18"/>
    </row>
    <row r="14" spans="1:15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-19.046872263859722</v>
      </c>
      <c r="H14" s="31" t="s">
        <v>36</v>
      </c>
      <c r="I14" s="221">
        <f>(-B14*(B19^2))-(B10*I1*(B19^2)/I4)-(B13*B14/I4)</f>
        <v>-19.046872263859722</v>
      </c>
      <c r="J14" s="32">
        <f>-(B18*B15*B16)</f>
        <v>-19.046872264050958</v>
      </c>
      <c r="K14" s="280"/>
      <c r="L14" s="26">
        <f>B15/B14</f>
        <v>1.1527253635046224</v>
      </c>
      <c r="N14" s="4"/>
      <c r="O14" s="18"/>
    </row>
    <row r="15" spans="1:15" ht="17.25" thickBot="1" x14ac:dyDescent="0.35">
      <c r="A15" s="135" t="s">
        <v>37</v>
      </c>
      <c r="B15" s="136">
        <v>0.16280799846947722</v>
      </c>
      <c r="C15" s="125">
        <f>B15-2*$B$14</f>
        <v>-0.11966691467807991</v>
      </c>
      <c r="D15" s="24" t="s">
        <v>38</v>
      </c>
      <c r="E15" s="25">
        <f>1000000*ABS(B15^3+I12*B15^2+I13*B15+I14)</f>
        <v>5.1301185521879233E-6</v>
      </c>
      <c r="G15" s="286">
        <f>SUM(G11:G14)</f>
        <v>-1.2412779071269142E-7</v>
      </c>
      <c r="H15" s="281"/>
      <c r="I15" s="281"/>
      <c r="J15" s="281"/>
      <c r="K15" s="282"/>
      <c r="L15" s="26">
        <f>B16/B17</f>
        <v>0.9899955588432009</v>
      </c>
    </row>
    <row r="16" spans="1:15" ht="17.25" thickTop="1" x14ac:dyDescent="0.3">
      <c r="A16" s="135" t="s">
        <v>39</v>
      </c>
      <c r="B16" s="137">
        <v>108.6680719854226</v>
      </c>
      <c r="C16" s="125">
        <f>B16-2*$B$14</f>
        <v>108.38559707227505</v>
      </c>
      <c r="D16" s="24" t="s">
        <v>40</v>
      </c>
      <c r="E16" s="25">
        <f>100000*ABS(((B16+$I$12)*B16+$I$13)*B16+$I$14)</f>
        <v>1.240038827177159E-2</v>
      </c>
      <c r="L16" s="26"/>
    </row>
    <row r="17" spans="1:12" ht="16.5" x14ac:dyDescent="0.3">
      <c r="A17" s="139" t="s">
        <v>41</v>
      </c>
      <c r="B17" s="147">
        <f>B10*I1/I4</f>
        <v>109.76622169133775</v>
      </c>
      <c r="C17" s="125"/>
      <c r="D17" s="24" t="s">
        <v>42</v>
      </c>
      <c r="E17" s="29">
        <f>1000*ABS(B18^3+I12*B18^2+I13*B18+I14)</f>
        <v>1.0394209937203414E-6</v>
      </c>
      <c r="H17" s="12"/>
      <c r="I17" s="4"/>
      <c r="J17" s="17"/>
      <c r="L17" s="25"/>
    </row>
    <row r="18" spans="1:12" ht="15.75" x14ac:dyDescent="0.25">
      <c r="A18" s="135" t="s">
        <v>43</v>
      </c>
      <c r="B18" s="138">
        <f>-I12-B15-B16</f>
        <v>1.0765791640194493</v>
      </c>
      <c r="C18" s="125">
        <f>B18-2*$B$14</f>
        <v>0.79410425087189218</v>
      </c>
      <c r="D18" s="4"/>
      <c r="E18" s="29"/>
      <c r="H18" s="12"/>
      <c r="I18" s="4"/>
      <c r="J18" s="17"/>
      <c r="L18" s="25"/>
    </row>
    <row r="19" spans="1:12" ht="15.75" x14ac:dyDescent="0.25">
      <c r="A19" s="148" t="s">
        <v>135</v>
      </c>
      <c r="B19" s="264">
        <v>0</v>
      </c>
      <c r="C19" s="263">
        <v>1.2</v>
      </c>
      <c r="D19" s="29"/>
      <c r="E19" s="4"/>
      <c r="H19" s="12"/>
      <c r="I19" s="4"/>
      <c r="J19" s="17"/>
      <c r="L19" s="25"/>
    </row>
    <row r="20" spans="1:12" ht="15.75" x14ac:dyDescent="0.25">
      <c r="A20" s="261" t="s">
        <v>44</v>
      </c>
      <c r="B20" s="261" t="s">
        <v>45</v>
      </c>
      <c r="C20" s="261"/>
      <c r="D20" s="21"/>
      <c r="I20" s="31"/>
      <c r="J20" s="32"/>
      <c r="K20" s="33"/>
      <c r="L20" s="34"/>
    </row>
    <row r="21" spans="1:12" ht="15.75" x14ac:dyDescent="0.25">
      <c r="A21" s="262">
        <v>0.15</v>
      </c>
      <c r="B21">
        <f>($B$10*$I$1/(A21-$B$14)-$B$13/(A21+$B$19)^2)/100</f>
        <v>1544.5819057963174</v>
      </c>
      <c r="C21" s="262"/>
      <c r="I21" s="34"/>
      <c r="J21" s="34"/>
      <c r="K21" s="34"/>
      <c r="L21" s="34"/>
    </row>
    <row r="22" spans="1:12" ht="15.75" x14ac:dyDescent="0.25">
      <c r="A22" s="262">
        <f>A21*$C$19</f>
        <v>0.18</v>
      </c>
      <c r="B22">
        <f t="shared" ref="B22:B85" si="0">($B$10*$I$1/(A22-$B$14)-$B$13/(A22+$B$19)^2)/100</f>
        <v>-314.56094610002708</v>
      </c>
      <c r="C22" s="262"/>
      <c r="E22" s="194"/>
      <c r="I22" s="34"/>
      <c r="J22" s="34"/>
      <c r="K22" s="34"/>
      <c r="L22" s="34"/>
    </row>
    <row r="23" spans="1:12" ht="15.75" x14ac:dyDescent="0.25">
      <c r="A23" s="262">
        <f t="shared" ref="A23:A86" si="1">A22*$C$19</f>
        <v>0.216</v>
      </c>
      <c r="B23">
        <f t="shared" si="0"/>
        <v>-336.25557358593107</v>
      </c>
      <c r="C23" s="262"/>
      <c r="I23" s="34"/>
      <c r="J23" s="34"/>
      <c r="K23" s="34"/>
      <c r="L23" s="34"/>
    </row>
    <row r="24" spans="1:12" ht="15.75" x14ac:dyDescent="0.25">
      <c r="A24" s="262">
        <f t="shared" si="1"/>
        <v>0.25919999999999999</v>
      </c>
      <c r="B24">
        <f t="shared" si="0"/>
        <v>-254.56776388568827</v>
      </c>
      <c r="C24" s="262"/>
      <c r="I24" s="34"/>
      <c r="J24" s="32"/>
      <c r="K24" s="32"/>
      <c r="L24" s="34"/>
    </row>
    <row r="25" spans="1:12" ht="15.75" x14ac:dyDescent="0.25">
      <c r="A25" s="262">
        <f t="shared" si="1"/>
        <v>0.31103999999999998</v>
      </c>
      <c r="B25">
        <f t="shared" si="0"/>
        <v>-176.72601971323417</v>
      </c>
      <c r="C25" s="262"/>
      <c r="I25" s="34"/>
      <c r="J25" s="32"/>
      <c r="K25" s="32"/>
      <c r="L25" s="34"/>
    </row>
    <row r="26" spans="1:12" ht="15.75" x14ac:dyDescent="0.25">
      <c r="A26" s="262">
        <f t="shared" si="1"/>
        <v>0.37324799999999997</v>
      </c>
      <c r="B26">
        <f t="shared" si="0"/>
        <v>-117.00590981398975</v>
      </c>
      <c r="C26" s="262"/>
      <c r="I26" s="34"/>
      <c r="J26" s="32"/>
      <c r="K26" s="32"/>
      <c r="L26" s="34"/>
    </row>
    <row r="27" spans="1:12" ht="15.75" x14ac:dyDescent="0.25">
      <c r="A27" s="262">
        <f t="shared" si="1"/>
        <v>0.44789759999999995</v>
      </c>
      <c r="B27">
        <f t="shared" si="0"/>
        <v>-74.304852236513582</v>
      </c>
      <c r="C27" s="262"/>
      <c r="I27" s="34"/>
      <c r="J27" s="34"/>
      <c r="K27" s="34"/>
      <c r="L27" s="34"/>
    </row>
    <row r="28" spans="1:12" ht="15.75" x14ac:dyDescent="0.25">
      <c r="A28" s="262">
        <f t="shared" si="1"/>
        <v>0.53747711999999992</v>
      </c>
      <c r="B28">
        <f t="shared" si="0"/>
        <v>-44.874410629531404</v>
      </c>
      <c r="C28" s="262"/>
      <c r="I28" s="34"/>
      <c r="J28" s="34"/>
      <c r="K28" s="34"/>
      <c r="L28" s="34"/>
    </row>
    <row r="29" spans="1:12" ht="15.75" x14ac:dyDescent="0.25">
      <c r="A29" s="262">
        <f t="shared" si="1"/>
        <v>0.64497254399999993</v>
      </c>
      <c r="B29">
        <f t="shared" si="0"/>
        <v>-25.126927842885479</v>
      </c>
      <c r="C29" s="262"/>
      <c r="D29"/>
      <c r="E29"/>
      <c r="F29"/>
      <c r="I29" s="34"/>
      <c r="J29" s="34"/>
      <c r="K29" s="34"/>
      <c r="L29" s="34"/>
    </row>
    <row r="30" spans="1:12" ht="15.75" x14ac:dyDescent="0.25">
      <c r="A30" s="262">
        <f t="shared" si="1"/>
        <v>0.77396705279999989</v>
      </c>
      <c r="B30">
        <f t="shared" si="0"/>
        <v>-12.210627261767286</v>
      </c>
      <c r="C30" s="262"/>
      <c r="D30"/>
      <c r="E30"/>
      <c r="F30"/>
      <c r="I30" s="34"/>
      <c r="J30" s="31"/>
      <c r="K30" s="35"/>
      <c r="L30" s="34"/>
    </row>
    <row r="31" spans="1:12" ht="15.75" x14ac:dyDescent="0.25">
      <c r="A31" s="262">
        <f t="shared" si="1"/>
        <v>0.92876046335999984</v>
      </c>
      <c r="B31">
        <f t="shared" si="0"/>
        <v>-4.0090483533555332</v>
      </c>
      <c r="C31" s="262"/>
      <c r="D31"/>
      <c r="E31"/>
      <c r="F31"/>
      <c r="I31" s="34"/>
      <c r="J31" s="31"/>
      <c r="K31" s="35"/>
      <c r="L31" s="34"/>
    </row>
    <row r="32" spans="1:12" ht="15.75" x14ac:dyDescent="0.25">
      <c r="A32" s="262">
        <f t="shared" si="1"/>
        <v>1.1145125560319997</v>
      </c>
      <c r="B32">
        <f t="shared" si="0"/>
        <v>0.99576051988137804</v>
      </c>
      <c r="C32" s="262"/>
      <c r="D32"/>
      <c r="E32"/>
      <c r="F32"/>
      <c r="I32" s="34"/>
      <c r="J32" s="31"/>
      <c r="K32" s="36"/>
      <c r="L32" s="34"/>
    </row>
    <row r="33" spans="1:12" ht="15.75" x14ac:dyDescent="0.25">
      <c r="A33" s="262">
        <f t="shared" si="1"/>
        <v>1.3374150672383995</v>
      </c>
      <c r="B33">
        <f t="shared" si="0"/>
        <v>3.8701063168021097</v>
      </c>
      <c r="C33" s="262"/>
      <c r="D33"/>
      <c r="E33"/>
      <c r="F33"/>
      <c r="I33" s="34"/>
      <c r="J33" s="31"/>
      <c r="K33" s="33"/>
      <c r="L33" s="34"/>
    </row>
    <row r="34" spans="1:12" ht="15.75" x14ac:dyDescent="0.25">
      <c r="A34" s="262">
        <f t="shared" si="1"/>
        <v>1.6048980806860793</v>
      </c>
      <c r="B34">
        <f t="shared" si="0"/>
        <v>5.3518834362881789</v>
      </c>
      <c r="C34" s="262"/>
      <c r="D34"/>
      <c r="E34"/>
      <c r="F34"/>
      <c r="I34" s="34"/>
      <c r="J34" s="34"/>
      <c r="K34" s="34"/>
      <c r="L34" s="34"/>
    </row>
    <row r="35" spans="1:12" ht="15.75" x14ac:dyDescent="0.25">
      <c r="A35" s="262">
        <f t="shared" si="1"/>
        <v>1.9258776968232951</v>
      </c>
      <c r="B35">
        <f t="shared" si="0"/>
        <v>5.9452811889278179</v>
      </c>
      <c r="C35" s="262"/>
      <c r="D35"/>
      <c r="E35"/>
      <c r="F35"/>
      <c r="I35" s="34"/>
      <c r="J35" s="34"/>
      <c r="K35" s="34"/>
      <c r="L35" s="34"/>
    </row>
    <row r="36" spans="1:12" ht="15.75" x14ac:dyDescent="0.25">
      <c r="A36" s="262">
        <f t="shared" si="1"/>
        <v>2.3110532361879539</v>
      </c>
      <c r="B36">
        <f t="shared" si="0"/>
        <v>5.9905651284985035</v>
      </c>
      <c r="C36" s="262"/>
      <c r="D36"/>
      <c r="E36"/>
      <c r="F36"/>
    </row>
    <row r="37" spans="1:12" ht="15.75" x14ac:dyDescent="0.25">
      <c r="A37" s="262">
        <f t="shared" si="1"/>
        <v>2.7732638834255448</v>
      </c>
      <c r="B37">
        <f t="shared" si="0"/>
        <v>5.7142826697659759</v>
      </c>
      <c r="C37" s="262"/>
      <c r="D37"/>
      <c r="E37"/>
      <c r="F37"/>
    </row>
    <row r="38" spans="1:12" ht="15.75" x14ac:dyDescent="0.25">
      <c r="A38" s="262">
        <f t="shared" si="1"/>
        <v>3.3279166601106538</v>
      </c>
      <c r="B38">
        <f t="shared" si="0"/>
        <v>5.2648404476231336</v>
      </c>
      <c r="C38" s="262"/>
      <c r="D38"/>
      <c r="E38"/>
      <c r="F38"/>
    </row>
    <row r="39" spans="1:12" ht="15.75" x14ac:dyDescent="0.25">
      <c r="A39" s="262">
        <f t="shared" si="1"/>
        <v>3.9934999921327843</v>
      </c>
      <c r="B39">
        <f t="shared" si="0"/>
        <v>4.7374456269619767</v>
      </c>
      <c r="C39" s="262"/>
      <c r="D39"/>
      <c r="E39"/>
      <c r="F39"/>
    </row>
    <row r="40" spans="1:12" ht="15.75" x14ac:dyDescent="0.25">
      <c r="A40" s="262">
        <f t="shared" si="1"/>
        <v>4.7921999905593413</v>
      </c>
      <c r="B40">
        <f t="shared" si="0"/>
        <v>4.1914432302773017</v>
      </c>
      <c r="C40" s="262"/>
    </row>
    <row r="41" spans="1:12" ht="15.75" x14ac:dyDescent="0.25">
      <c r="A41" s="262">
        <f t="shared" si="1"/>
        <v>5.7506399886712094</v>
      </c>
      <c r="B41">
        <f t="shared" si="0"/>
        <v>3.6622788087817599</v>
      </c>
      <c r="C41" s="262"/>
    </row>
    <row r="42" spans="1:12" ht="15.75" x14ac:dyDescent="0.25">
      <c r="A42" s="262">
        <f t="shared" si="1"/>
        <v>6.9007679864054507</v>
      </c>
      <c r="B42">
        <f t="shared" si="0"/>
        <v>3.1696939525065773</v>
      </c>
      <c r="C42" s="262"/>
    </row>
    <row r="43" spans="1:12" ht="15.75" x14ac:dyDescent="0.25">
      <c r="A43" s="262">
        <f t="shared" si="1"/>
        <v>8.2809215836865402</v>
      </c>
      <c r="B43">
        <f t="shared" si="0"/>
        <v>2.7232990920564273</v>
      </c>
      <c r="C43" s="262"/>
    </row>
    <row r="44" spans="1:12" ht="15.75" x14ac:dyDescent="0.25">
      <c r="A44" s="262">
        <f t="shared" si="1"/>
        <v>9.9371059004238482</v>
      </c>
      <c r="B44">
        <f t="shared" si="0"/>
        <v>2.3263311189960438</v>
      </c>
      <c r="C44" s="262"/>
    </row>
    <row r="45" spans="1:12" ht="15.75" x14ac:dyDescent="0.25">
      <c r="A45" s="262">
        <f t="shared" si="1"/>
        <v>11.924527080508618</v>
      </c>
      <c r="B45">
        <f t="shared" si="0"/>
        <v>1.9781617761019297</v>
      </c>
      <c r="C45" s="262"/>
    </row>
    <row r="46" spans="1:12" ht="15.75" x14ac:dyDescent="0.25">
      <c r="A46" s="262">
        <f t="shared" si="1"/>
        <v>14.309432496610341</v>
      </c>
      <c r="B46">
        <f t="shared" si="0"/>
        <v>1.6759512881323966</v>
      </c>
      <c r="C46" s="262"/>
    </row>
    <row r="47" spans="1:12" ht="15.75" x14ac:dyDescent="0.25">
      <c r="A47" s="262">
        <f t="shared" si="1"/>
        <v>17.17131899593241</v>
      </c>
      <c r="B47">
        <f t="shared" si="0"/>
        <v>1.4157208608784229</v>
      </c>
      <c r="C47" s="262"/>
    </row>
    <row r="48" spans="1:12" ht="15.75" x14ac:dyDescent="0.25">
      <c r="A48" s="262">
        <f t="shared" si="1"/>
        <v>20.605582795118892</v>
      </c>
      <c r="B48">
        <f t="shared" si="0"/>
        <v>1.1930329922364169</v>
      </c>
      <c r="C48" s="262"/>
    </row>
    <row r="49" spans="1:3" ht="15.75" x14ac:dyDescent="0.25">
      <c r="A49" s="262">
        <f t="shared" si="1"/>
        <v>24.726699354142671</v>
      </c>
      <c r="B49">
        <f t="shared" si="0"/>
        <v>1.003409464939641</v>
      </c>
      <c r="C49" s="262"/>
    </row>
    <row r="50" spans="1:3" ht="15.75" x14ac:dyDescent="0.25">
      <c r="A50" s="262">
        <f t="shared" si="1"/>
        <v>29.672039224971204</v>
      </c>
      <c r="B50">
        <f t="shared" si="0"/>
        <v>0.84257584568129218</v>
      </c>
      <c r="C50" s="262"/>
    </row>
    <row r="51" spans="1:3" ht="15.75" x14ac:dyDescent="0.25">
      <c r="A51" s="262">
        <f t="shared" si="1"/>
        <v>35.606447069965441</v>
      </c>
      <c r="B51">
        <f t="shared" si="0"/>
        <v>0.70659290329700153</v>
      </c>
      <c r="C51" s="262"/>
    </row>
    <row r="52" spans="1:3" ht="15.75" x14ac:dyDescent="0.25">
      <c r="A52" s="262">
        <f t="shared" si="1"/>
        <v>42.72773648395853</v>
      </c>
      <c r="B52">
        <f t="shared" si="0"/>
        <v>0.59191576412933988</v>
      </c>
      <c r="C52" s="262"/>
    </row>
    <row r="53" spans="1:3" ht="15.75" x14ac:dyDescent="0.25">
      <c r="A53" s="262">
        <f t="shared" si="1"/>
        <v>51.273283780750234</v>
      </c>
      <c r="B53">
        <f t="shared" si="0"/>
        <v>0.49540816197893206</v>
      </c>
      <c r="C53" s="262"/>
    </row>
    <row r="54" spans="1:3" ht="15.75" x14ac:dyDescent="0.25">
      <c r="A54" s="262">
        <f t="shared" si="1"/>
        <v>61.527940536900275</v>
      </c>
      <c r="B54">
        <f t="shared" si="0"/>
        <v>0.41432993304267979</v>
      </c>
      <c r="C54" s="262"/>
    </row>
    <row r="55" spans="1:3" ht="15.75" x14ac:dyDescent="0.25">
      <c r="A55" s="262">
        <f t="shared" si="1"/>
        <v>73.833528644280321</v>
      </c>
      <c r="B55">
        <f t="shared" si="0"/>
        <v>0.3463096401633981</v>
      </c>
      <c r="C55" s="262"/>
    </row>
    <row r="56" spans="1:3" ht="15.75" x14ac:dyDescent="0.25">
      <c r="A56" s="262">
        <f t="shared" si="1"/>
        <v>88.600234373136388</v>
      </c>
      <c r="B56">
        <f t="shared" si="0"/>
        <v>0.28930997154577626</v>
      </c>
      <c r="C56" s="262"/>
    </row>
    <row r="57" spans="1:3" ht="15.75" x14ac:dyDescent="0.25">
      <c r="A57" s="262">
        <f t="shared" si="1"/>
        <v>106.32028124776366</v>
      </c>
      <c r="B57">
        <f t="shared" si="0"/>
        <v>0.24159071211497582</v>
      </c>
      <c r="C57" s="262"/>
    </row>
    <row r="58" spans="1:3" ht="15.75" x14ac:dyDescent="0.25">
      <c r="A58" s="262">
        <f t="shared" si="1"/>
        <v>127.58433749731638</v>
      </c>
      <c r="B58">
        <f t="shared" si="0"/>
        <v>0.2016721912590875</v>
      </c>
      <c r="C58" s="262"/>
    </row>
    <row r="59" spans="1:3" ht="15.75" x14ac:dyDescent="0.25">
      <c r="A59" s="262">
        <f t="shared" si="1"/>
        <v>153.10120499677964</v>
      </c>
      <c r="B59">
        <f t="shared" si="0"/>
        <v>0.16830086505699246</v>
      </c>
      <c r="C59" s="262"/>
    </row>
    <row r="60" spans="1:3" ht="15.75" x14ac:dyDescent="0.25">
      <c r="A60" s="262">
        <f t="shared" si="1"/>
        <v>183.72144599613557</v>
      </c>
      <c r="B60">
        <f t="shared" si="0"/>
        <v>0.14041788496597182</v>
      </c>
      <c r="C60" s="262"/>
    </row>
    <row r="61" spans="1:3" ht="15.75" x14ac:dyDescent="0.25">
      <c r="A61" s="262">
        <f t="shared" si="1"/>
        <v>220.46573519536267</v>
      </c>
      <c r="B61">
        <f t="shared" si="0"/>
        <v>0.11713099456975294</v>
      </c>
      <c r="C61" s="262"/>
    </row>
    <row r="62" spans="1:3" ht="15.75" x14ac:dyDescent="0.25">
      <c r="A62" s="262">
        <f t="shared" si="1"/>
        <v>264.5588822344352</v>
      </c>
      <c r="B62">
        <f t="shared" si="0"/>
        <v>9.7689782961645044E-2</v>
      </c>
      <c r="C62" s="262"/>
    </row>
    <row r="63" spans="1:3" ht="15.75" x14ac:dyDescent="0.25">
      <c r="A63" s="262">
        <f t="shared" si="1"/>
        <v>317.47065868132222</v>
      </c>
      <c r="B63">
        <f t="shared" si="0"/>
        <v>8.1464140574772387E-2</v>
      </c>
      <c r="C63" s="262"/>
    </row>
    <row r="64" spans="1:3" ht="15.75" x14ac:dyDescent="0.25">
      <c r="A64" s="262">
        <f t="shared" si="1"/>
        <v>380.96479041758664</v>
      </c>
      <c r="B64">
        <f t="shared" si="0"/>
        <v>6.7925665267025662E-2</v>
      </c>
      <c r="C64" s="262"/>
    </row>
    <row r="65" spans="1:3" ht="15.75" x14ac:dyDescent="0.25">
      <c r="A65" s="262">
        <f t="shared" si="1"/>
        <v>457.15774850110398</v>
      </c>
      <c r="B65">
        <f t="shared" si="0"/>
        <v>5.6631722543419069E-2</v>
      </c>
      <c r="C65" s="262"/>
    </row>
    <row r="66" spans="1:3" ht="15.75" x14ac:dyDescent="0.25">
      <c r="A66" s="262">
        <f t="shared" si="1"/>
        <v>548.58929820132471</v>
      </c>
      <c r="B66">
        <f t="shared" si="0"/>
        <v>4.7211853428736419E-2</v>
      </c>
      <c r="C66" s="262"/>
    </row>
    <row r="67" spans="1:3" ht="15.75" x14ac:dyDescent="0.25">
      <c r="A67" s="262">
        <f t="shared" si="1"/>
        <v>658.30715784158963</v>
      </c>
      <c r="B67">
        <f t="shared" si="0"/>
        <v>3.935623309293499E-2</v>
      </c>
      <c r="C67" s="262"/>
    </row>
    <row r="68" spans="1:3" ht="15.75" x14ac:dyDescent="0.25">
      <c r="A68" s="262">
        <f t="shared" si="1"/>
        <v>789.96858940990751</v>
      </c>
      <c r="B68">
        <f t="shared" si="0"/>
        <v>3.2805903990971177E-2</v>
      </c>
      <c r="C68" s="262"/>
    </row>
    <row r="69" spans="1:3" ht="15.75" x14ac:dyDescent="0.25">
      <c r="A69" s="262">
        <f t="shared" si="1"/>
        <v>947.96230729188892</v>
      </c>
      <c r="B69">
        <f t="shared" si="0"/>
        <v>2.7344533296115619E-2</v>
      </c>
      <c r="C69" s="262"/>
    </row>
    <row r="70" spans="1:3" ht="15.75" x14ac:dyDescent="0.25">
      <c r="A70" s="262">
        <f t="shared" si="1"/>
        <v>1137.5547687502667</v>
      </c>
      <c r="B70">
        <f t="shared" si="0"/>
        <v>2.2791472201548323E-2</v>
      </c>
      <c r="C70" s="262"/>
    </row>
    <row r="71" spans="1:3" ht="15.75" x14ac:dyDescent="0.25">
      <c r="A71" s="262">
        <f t="shared" si="1"/>
        <v>1365.0657225003199</v>
      </c>
      <c r="B71">
        <f t="shared" si="0"/>
        <v>1.8995922075770316E-2</v>
      </c>
      <c r="C71" s="262"/>
    </row>
    <row r="72" spans="1:3" ht="15.75" x14ac:dyDescent="0.25">
      <c r="A72" s="262">
        <f t="shared" si="1"/>
        <v>1638.0788670003838</v>
      </c>
      <c r="B72">
        <f t="shared" si="0"/>
        <v>1.5832038250231696E-2</v>
      </c>
      <c r="C72" s="262"/>
    </row>
    <row r="73" spans="1:3" ht="15.75" x14ac:dyDescent="0.25">
      <c r="A73" s="262">
        <f t="shared" si="1"/>
        <v>1965.6946404004605</v>
      </c>
      <c r="B73">
        <f t="shared" si="0"/>
        <v>1.3194825761115924E-2</v>
      </c>
      <c r="C73" s="262"/>
    </row>
    <row r="74" spans="1:3" ht="15.75" x14ac:dyDescent="0.25">
      <c r="A74" s="262">
        <f t="shared" si="1"/>
        <v>2358.8335684805525</v>
      </c>
      <c r="B74">
        <f t="shared" si="0"/>
        <v>1.0996702410366601E-2</v>
      </c>
      <c r="C74" s="262"/>
    </row>
    <row r="75" spans="1:3" ht="15.75" x14ac:dyDescent="0.25">
      <c r="A75" s="262">
        <f t="shared" si="1"/>
        <v>2830.6002821766629</v>
      </c>
      <c r="B75">
        <f t="shared" si="0"/>
        <v>9.1646230357196184E-3</v>
      </c>
      <c r="C75" s="262"/>
    </row>
    <row r="76" spans="1:3" ht="15.75" x14ac:dyDescent="0.25">
      <c r="A76" s="262">
        <f t="shared" si="1"/>
        <v>3396.7203386119954</v>
      </c>
      <c r="B76">
        <f t="shared" si="0"/>
        <v>7.6376750034387484E-3</v>
      </c>
      <c r="C76" s="262"/>
    </row>
    <row r="77" spans="1:3" ht="15.75" x14ac:dyDescent="0.25">
      <c r="A77" s="262">
        <f t="shared" si="1"/>
        <v>4076.0644063343943</v>
      </c>
      <c r="B77">
        <f t="shared" si="0"/>
        <v>6.3650688509960919E-3</v>
      </c>
      <c r="C77" s="262"/>
    </row>
    <row r="78" spans="1:3" ht="15.75" x14ac:dyDescent="0.25">
      <c r="A78" s="262">
        <f t="shared" si="1"/>
        <v>4891.2772876012732</v>
      </c>
      <c r="B78">
        <f t="shared" si="0"/>
        <v>5.3044599327914908E-3</v>
      </c>
      <c r="C78" s="262"/>
    </row>
    <row r="79" spans="1:3" ht="15.75" x14ac:dyDescent="0.25">
      <c r="A79" s="262">
        <f t="shared" si="1"/>
        <v>5869.532745121528</v>
      </c>
      <c r="B79">
        <f t="shared" si="0"/>
        <v>4.4205470902562351E-3</v>
      </c>
      <c r="C79" s="262"/>
    </row>
    <row r="80" spans="1:3" ht="15.75" x14ac:dyDescent="0.25">
      <c r="A80" s="262">
        <f t="shared" si="1"/>
        <v>7043.4392941458336</v>
      </c>
      <c r="B80">
        <f t="shared" si="0"/>
        <v>3.6839030009897396E-3</v>
      </c>
      <c r="C80" s="262"/>
    </row>
    <row r="81" spans="1:3" ht="15.75" x14ac:dyDescent="0.25">
      <c r="A81" s="262">
        <f t="shared" si="1"/>
        <v>8452.1271529749993</v>
      </c>
      <c r="B81">
        <f t="shared" si="0"/>
        <v>3.0699981669485292E-3</v>
      </c>
      <c r="C81" s="262"/>
    </row>
    <row r="82" spans="1:3" ht="15.75" x14ac:dyDescent="0.25">
      <c r="A82" s="262">
        <f t="shared" si="1"/>
        <v>10142.552583569999</v>
      </c>
      <c r="B82">
        <f t="shared" si="0"/>
        <v>2.558386666568188E-3</v>
      </c>
      <c r="C82" s="262"/>
    </row>
    <row r="83" spans="1:3" ht="15.75" x14ac:dyDescent="0.25">
      <c r="A83" s="262">
        <f t="shared" si="1"/>
        <v>12171.063100283998</v>
      </c>
      <c r="B83">
        <f t="shared" si="0"/>
        <v>2.1320269865944159E-3</v>
      </c>
      <c r="C83" s="262"/>
    </row>
    <row r="84" spans="1:3" ht="15.75" x14ac:dyDescent="0.25">
      <c r="A84" s="262">
        <f t="shared" si="1"/>
        <v>14605.275720340798</v>
      </c>
      <c r="B84">
        <f t="shared" si="0"/>
        <v>1.7767156123069088E-3</v>
      </c>
      <c r="C84" s="262"/>
    </row>
    <row r="85" spans="1:3" ht="15.75" x14ac:dyDescent="0.25">
      <c r="A85" s="262">
        <f t="shared" si="1"/>
        <v>17526.330864408956</v>
      </c>
      <c r="B85">
        <f t="shared" si="0"/>
        <v>1.4806147163833596E-3</v>
      </c>
      <c r="C85" s="262"/>
    </row>
    <row r="86" spans="1:3" ht="15.75" x14ac:dyDescent="0.25">
      <c r="A86" s="262">
        <f t="shared" si="1"/>
        <v>21031.597037290747</v>
      </c>
      <c r="B86">
        <f>($B$10*$I$1/(A86-$B$14)-$B$13/(A86+$B$19)^2)/100</f>
        <v>1.2338583558759394E-3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7"/>
  <sheetViews>
    <sheetView workbookViewId="0"/>
  </sheetViews>
  <sheetFormatPr defaultColWidth="8" defaultRowHeight="12.75" x14ac:dyDescent="0.2"/>
  <cols>
    <col min="1" max="16384" width="8" style="2"/>
  </cols>
  <sheetData>
    <row r="1" spans="1:15" ht="18" x14ac:dyDescent="0.25">
      <c r="A1" s="143" t="str">
        <f>' T = Tb'!A1</f>
        <v>Cyclohexane</v>
      </c>
      <c r="E1" s="2" t="s">
        <v>0</v>
      </c>
      <c r="F1" s="2">
        <v>1</v>
      </c>
      <c r="H1" s="3" t="s">
        <v>1</v>
      </c>
      <c r="I1" s="2">
        <f>' T = Tb'!O10</f>
        <v>322.81842164854754</v>
      </c>
      <c r="J1" s="2" t="s">
        <v>2</v>
      </c>
    </row>
    <row r="2" spans="1:15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 T = Tb'!F2</f>
        <v>3.9300199999999998</v>
      </c>
      <c r="H2" s="3" t="s">
        <v>16</v>
      </c>
      <c r="I2" s="2">
        <f>1-I1/B3</f>
        <v>0.41676888591048322</v>
      </c>
      <c r="M2" s="4"/>
    </row>
    <row r="3" spans="1:15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 T = Tb'!F3</f>
        <v>1182.7739999999999</v>
      </c>
      <c r="H3" s="3" t="s">
        <v>6</v>
      </c>
      <c r="I3" s="144">
        <f>10^(F2-F3/(I1+F4-273.15))</f>
        <v>0.35811104041134006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 T = Tb'!F4</f>
        <v>220.61799999999999</v>
      </c>
      <c r="H4" s="3" t="s">
        <v>6</v>
      </c>
      <c r="I4" s="2">
        <f>I3*100</f>
        <v>35.811104041134008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 T = Tb'!F5</f>
        <v>0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7.1799501142855342E-3</v>
      </c>
    </row>
    <row r="8" spans="1:15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5" ht="13.5" thickBot="1" x14ac:dyDescent="0.25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5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5" x14ac:dyDescent="0.2">
      <c r="A11" s="10" t="s">
        <v>13</v>
      </c>
      <c r="G11" s="283">
        <f>B16^3</f>
        <v>403765.90725306713</v>
      </c>
      <c r="H11" s="34"/>
      <c r="I11" s="34"/>
      <c r="J11" s="34"/>
      <c r="K11" s="279"/>
      <c r="M11" s="12"/>
    </row>
    <row r="12" spans="1:15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-410217.9280672333</v>
      </c>
      <c r="H12" s="31" t="s">
        <v>32</v>
      </c>
      <c r="I12" s="221">
        <f>(2*B19)-B14-(B10*I1/I4)</f>
        <v>-75.092207744952248</v>
      </c>
      <c r="J12" s="32">
        <f>-(B18+B15+B16)</f>
        <v>-75.092207744952248</v>
      </c>
      <c r="K12" s="280"/>
      <c r="N12" s="4"/>
      <c r="O12" s="18"/>
    </row>
    <row r="13" spans="1:15" ht="18.75" x14ac:dyDescent="0.3">
      <c r="A13" s="13" t="s">
        <v>33</v>
      </c>
      <c r="B13" s="19">
        <v>3132.0903343249147</v>
      </c>
      <c r="C13" s="12">
        <f>' T = Tb'!P10</f>
        <v>3123.8620820312021</v>
      </c>
      <c r="E13" s="192">
        <f>ABS(B10*I1*LN((B16-B14)/(B15-B14))+B13*(1/(B16+B19)-1/(B15+B19))-I4*(B16-B15))</f>
        <v>1.9439539755694568E-8</v>
      </c>
      <c r="F13" s="21">
        <f>E13+E15+E16</f>
        <v>0.11488825276637726</v>
      </c>
      <c r="G13" s="284">
        <f>I13*B16</f>
        <v>6464.3736428007778</v>
      </c>
      <c r="H13" s="31" t="s">
        <v>34</v>
      </c>
      <c r="I13" s="221">
        <f>(B19^2)-(2*B19*B14)-(2*B10*I1*B19/I4)+(B13/I4)</f>
        <v>87.461429022888424</v>
      </c>
      <c r="J13" s="32">
        <f>B15*B16+B15*B18+B18*B16</f>
        <v>87.461429038466676</v>
      </c>
      <c r="K13" s="280"/>
      <c r="L13" s="26">
        <f>B13/B12</f>
        <v>1.4277636760384929</v>
      </c>
      <c r="N13" s="4"/>
      <c r="O13" s="18"/>
    </row>
    <row r="14" spans="1:15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-12.35282978350082</v>
      </c>
      <c r="H14" s="31" t="s">
        <v>36</v>
      </c>
      <c r="I14" s="221">
        <f>(-B14*(B19^2))-(B10*I1*(B19^2)/I4)-(B13*B14/I4)</f>
        <v>-12.35282978350082</v>
      </c>
      <c r="J14" s="32">
        <f>-(B18*B15*B16)</f>
        <v>-12.352829786063745</v>
      </c>
      <c r="K14" s="280"/>
      <c r="L14" s="26">
        <f>B15/B14</f>
        <v>1.1639151286228278</v>
      </c>
      <c r="N14" s="4"/>
      <c r="O14" s="18"/>
    </row>
    <row r="15" spans="1:15" ht="17.25" thickBot="1" x14ac:dyDescent="0.35">
      <c r="A15" s="135" t="s">
        <v>37</v>
      </c>
      <c r="B15" s="136">
        <v>0.16438841243443053</v>
      </c>
      <c r="C15" s="125">
        <f>B15-2*$B$14</f>
        <v>-0.1180865007131266</v>
      </c>
      <c r="D15" s="24" t="s">
        <v>38</v>
      </c>
      <c r="E15" s="25">
        <f>1000000*ABS(B15^3+I12*B15^2+I13*B15+I14)</f>
        <v>2.0410340084708878E-6</v>
      </c>
      <c r="G15" s="286">
        <f>SUM(G11:G14)</f>
        <v>-1.1488944799964429E-6</v>
      </c>
      <c r="H15" s="281"/>
      <c r="I15" s="281"/>
      <c r="J15" s="281"/>
      <c r="K15" s="282"/>
      <c r="L15" s="26">
        <f>B16/B17</f>
        <v>0.98612648359053368</v>
      </c>
    </row>
    <row r="16" spans="1:15" ht="17.25" thickTop="1" x14ac:dyDescent="0.3">
      <c r="A16" s="135" t="s">
        <v>39</v>
      </c>
      <c r="B16" s="137">
        <v>73.91113677217723</v>
      </c>
      <c r="C16" s="125">
        <f>B16-2*$B$14</f>
        <v>73.628661859029677</v>
      </c>
      <c r="D16" s="24" t="s">
        <v>40</v>
      </c>
      <c r="E16" s="25">
        <f>100000*ABS(((B16+$I$12)*B16+$I$13)*B16+$I$14)</f>
        <v>0.11488619229282904</v>
      </c>
      <c r="L16" s="26"/>
    </row>
    <row r="17" spans="1:12" ht="16.5" x14ac:dyDescent="0.3">
      <c r="A17" s="139" t="s">
        <v>41</v>
      </c>
      <c r="B17" s="147">
        <f>B10*I1/I4</f>
        <v>74.950970288378471</v>
      </c>
      <c r="C17" s="125"/>
      <c r="D17" s="24" t="s">
        <v>42</v>
      </c>
      <c r="E17" s="29">
        <f>1000*ABS(B18^3+I12*B18^2+I13*B18+I14)</f>
        <v>1.3275208488039425E-5</v>
      </c>
      <c r="H17" s="12"/>
      <c r="I17" s="4"/>
      <c r="J17" s="17"/>
      <c r="L17" s="25"/>
    </row>
    <row r="18" spans="1:12" ht="15.75" x14ac:dyDescent="0.25">
      <c r="A18" s="135" t="s">
        <v>43</v>
      </c>
      <c r="B18" s="138">
        <f>-I12-B15-B16</f>
        <v>1.016682560340584</v>
      </c>
      <c r="C18" s="125">
        <f>B18-2*$B$14</f>
        <v>0.73420764719302689</v>
      </c>
      <c r="D18" s="4"/>
      <c r="E18" s="29"/>
      <c r="H18" s="12"/>
      <c r="I18" s="4"/>
      <c r="J18" s="17"/>
      <c r="L18" s="25"/>
    </row>
    <row r="19" spans="1:12" ht="15.75" x14ac:dyDescent="0.25">
      <c r="A19" s="148" t="s">
        <v>135</v>
      </c>
      <c r="B19" s="264">
        <v>0</v>
      </c>
      <c r="C19" s="263">
        <v>1.17</v>
      </c>
      <c r="D19" s="29"/>
      <c r="E19" s="4"/>
      <c r="H19" s="12"/>
      <c r="I19" s="4"/>
      <c r="J19" s="17"/>
      <c r="L19" s="25"/>
    </row>
    <row r="20" spans="1:12" ht="15.75" x14ac:dyDescent="0.25">
      <c r="A20" s="261" t="s">
        <v>44</v>
      </c>
      <c r="B20" s="261" t="s">
        <v>45</v>
      </c>
      <c r="C20" s="261"/>
      <c r="D20" s="21"/>
      <c r="I20" s="31"/>
      <c r="J20" s="32"/>
      <c r="K20" s="33"/>
      <c r="L20" s="34"/>
    </row>
    <row r="21" spans="1:12" ht="15.75" x14ac:dyDescent="0.25">
      <c r="A21" s="262">
        <f>B14+0.000001</f>
        <v>0.14123845657377856</v>
      </c>
      <c r="B21">
        <f>($B$10*$I$1/(A21-$B$14)-$B$13/(A21+$B$19)^2)/100</f>
        <v>26839199.846025243</v>
      </c>
      <c r="C21" s="262"/>
      <c r="I21" s="34"/>
      <c r="J21" s="34"/>
      <c r="K21" s="34"/>
      <c r="L21" s="3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-29.154035589281122</v>
      </c>
      <c r="C22" s="262"/>
      <c r="E22" s="194"/>
      <c r="I22" s="34"/>
      <c r="J22" s="34"/>
      <c r="K22" s="34"/>
      <c r="L22" s="34"/>
    </row>
    <row r="23" spans="1:12" ht="15.75" x14ac:dyDescent="0.25">
      <c r="A23" s="262">
        <f t="shared" ref="A23:A86" si="1">A22*$C$19</f>
        <v>0.19334132320384545</v>
      </c>
      <c r="B23">
        <f t="shared" si="0"/>
        <v>-322.74625176444846</v>
      </c>
      <c r="C23" s="262"/>
      <c r="I23" s="34"/>
      <c r="J23" s="34"/>
      <c r="K23" s="34"/>
      <c r="L23" s="34"/>
    </row>
    <row r="24" spans="1:12" ht="15.75" x14ac:dyDescent="0.25">
      <c r="A24" s="262">
        <f t="shared" si="1"/>
        <v>0.22620934814849916</v>
      </c>
      <c r="B24">
        <f t="shared" si="0"/>
        <v>-296.20881707595362</v>
      </c>
      <c r="C24" s="262"/>
      <c r="I24" s="34"/>
      <c r="J24" s="32"/>
      <c r="K24" s="32"/>
      <c r="L24" s="34"/>
    </row>
    <row r="25" spans="1:12" ht="15.75" x14ac:dyDescent="0.25">
      <c r="A25" s="262">
        <f t="shared" si="1"/>
        <v>0.26466493733374402</v>
      </c>
      <c r="B25">
        <f t="shared" si="0"/>
        <v>-229.67601244731645</v>
      </c>
      <c r="C25" s="262"/>
      <c r="I25" s="34"/>
      <c r="J25" s="32"/>
      <c r="K25" s="32"/>
      <c r="L25" s="34"/>
    </row>
    <row r="26" spans="1:12" ht="15.75" x14ac:dyDescent="0.25">
      <c r="A26" s="262">
        <f t="shared" si="1"/>
        <v>0.30965797668048051</v>
      </c>
      <c r="B26">
        <f t="shared" si="0"/>
        <v>-167.27270194240285</v>
      </c>
      <c r="C26" s="262"/>
      <c r="I26" s="34"/>
      <c r="J26" s="32"/>
      <c r="K26" s="32"/>
      <c r="L26" s="34"/>
    </row>
    <row r="27" spans="1:12" ht="15.75" x14ac:dyDescent="0.25">
      <c r="A27" s="262">
        <f t="shared" si="1"/>
        <v>0.36229983271616217</v>
      </c>
      <c r="B27">
        <f t="shared" si="0"/>
        <v>-117.19797061851595</v>
      </c>
      <c r="C27" s="262"/>
      <c r="I27" s="34"/>
      <c r="J27" s="34"/>
      <c r="K27" s="34"/>
      <c r="L27" s="34"/>
    </row>
    <row r="28" spans="1:12" ht="15.75" x14ac:dyDescent="0.25">
      <c r="A28" s="262">
        <f t="shared" si="1"/>
        <v>0.42389080427790971</v>
      </c>
      <c r="B28">
        <f t="shared" si="0"/>
        <v>-79.351571312641923</v>
      </c>
      <c r="C28" s="262"/>
      <c r="I28" s="34"/>
      <c r="J28" s="34"/>
      <c r="K28" s="34"/>
      <c r="L28" s="34"/>
    </row>
    <row r="29" spans="1:12" ht="15.75" x14ac:dyDescent="0.25">
      <c r="A29" s="262">
        <f t="shared" si="1"/>
        <v>0.49595224100515434</v>
      </c>
      <c r="B29">
        <f t="shared" si="0"/>
        <v>-51.668389101930998</v>
      </c>
      <c r="C29" s="262"/>
      <c r="D29"/>
      <c r="E29"/>
      <c r="F29"/>
      <c r="I29" s="34"/>
      <c r="J29" s="34"/>
      <c r="K29" s="34"/>
      <c r="L29" s="34"/>
    </row>
    <row r="30" spans="1:12" ht="15.75" x14ac:dyDescent="0.25">
      <c r="A30" s="262">
        <f t="shared" si="1"/>
        <v>0.5802641219760305</v>
      </c>
      <c r="B30">
        <f t="shared" si="0"/>
        <v>-31.884401140877898</v>
      </c>
      <c r="C30" s="262"/>
      <c r="D30"/>
      <c r="E30"/>
      <c r="F30"/>
      <c r="I30" s="34"/>
      <c r="J30" s="31"/>
      <c r="K30" s="35"/>
      <c r="L30" s="34"/>
    </row>
    <row r="31" spans="1:12" ht="15.75" x14ac:dyDescent="0.25">
      <c r="A31" s="262">
        <f t="shared" si="1"/>
        <v>0.67890902271195563</v>
      </c>
      <c r="B31">
        <f t="shared" si="0"/>
        <v>-18.033006631268371</v>
      </c>
      <c r="C31" s="262"/>
      <c r="D31"/>
      <c r="E31"/>
      <c r="F31"/>
      <c r="I31" s="34"/>
      <c r="J31" s="31"/>
      <c r="K31" s="35"/>
      <c r="L31" s="34"/>
    </row>
    <row r="32" spans="1:12" ht="15.75" x14ac:dyDescent="0.25">
      <c r="A32" s="262">
        <f t="shared" si="1"/>
        <v>0.79432355657298803</v>
      </c>
      <c r="B32">
        <f t="shared" si="0"/>
        <v>-8.5425076795988577</v>
      </c>
      <c r="C32" s="262"/>
      <c r="D32"/>
      <c r="E32"/>
      <c r="F32"/>
      <c r="I32" s="34"/>
      <c r="J32" s="31"/>
      <c r="K32" s="36"/>
      <c r="L32" s="34"/>
    </row>
    <row r="33" spans="1:12" ht="15.75" x14ac:dyDescent="0.25">
      <c r="A33" s="262">
        <f t="shared" si="1"/>
        <v>0.92935856119039595</v>
      </c>
      <c r="B33">
        <f t="shared" si="0"/>
        <v>-2.2066723327055251</v>
      </c>
      <c r="C33" s="262"/>
      <c r="D33"/>
      <c r="E33"/>
      <c r="F33"/>
      <c r="I33" s="34"/>
      <c r="J33" s="31"/>
      <c r="K33" s="33"/>
      <c r="L33" s="34"/>
    </row>
    <row r="34" spans="1:12" ht="15.75" x14ac:dyDescent="0.25">
      <c r="A34" s="262">
        <f t="shared" si="1"/>
        <v>1.0873495165927631</v>
      </c>
      <c r="B34">
        <f t="shared" si="0"/>
        <v>1.8786930496370586</v>
      </c>
      <c r="C34" s="262"/>
      <c r="D34"/>
      <c r="E34"/>
      <c r="F34"/>
      <c r="I34" s="34"/>
      <c r="J34" s="34"/>
      <c r="K34" s="34"/>
      <c r="L34" s="34"/>
    </row>
    <row r="35" spans="1:12" ht="15.75" x14ac:dyDescent="0.25">
      <c r="A35" s="262">
        <f t="shared" si="1"/>
        <v>1.2721989344135327</v>
      </c>
      <c r="B35">
        <f t="shared" si="0"/>
        <v>4.3807731060464992</v>
      </c>
      <c r="C35" s="262"/>
      <c r="D35"/>
      <c r="E35"/>
      <c r="F35"/>
      <c r="I35" s="34"/>
      <c r="J35" s="34"/>
      <c r="K35" s="34"/>
      <c r="L35" s="34"/>
    </row>
    <row r="36" spans="1:12" ht="15.75" x14ac:dyDescent="0.25">
      <c r="A36" s="262">
        <f t="shared" si="1"/>
        <v>1.4884727532638331</v>
      </c>
      <c r="B36">
        <f t="shared" si="0"/>
        <v>5.7860072418758977</v>
      </c>
      <c r="C36" s="262"/>
      <c r="D36"/>
      <c r="E36"/>
      <c r="F36"/>
    </row>
    <row r="37" spans="1:12" ht="15.75" x14ac:dyDescent="0.25">
      <c r="A37" s="262">
        <f t="shared" si="1"/>
        <v>1.7415131213186845</v>
      </c>
      <c r="B37">
        <f t="shared" si="0"/>
        <v>6.4454345119769751</v>
      </c>
      <c r="C37" s="262"/>
      <c r="D37"/>
      <c r="E37"/>
      <c r="F37"/>
    </row>
    <row r="38" spans="1:12" ht="15.75" x14ac:dyDescent="0.25">
      <c r="A38" s="262">
        <f t="shared" si="1"/>
        <v>2.0375703519428607</v>
      </c>
      <c r="B38">
        <f t="shared" si="0"/>
        <v>6.6099110062619717</v>
      </c>
      <c r="C38" s="262"/>
      <c r="D38"/>
      <c r="E38"/>
      <c r="F38"/>
    </row>
    <row r="39" spans="1:12" ht="15.75" x14ac:dyDescent="0.25">
      <c r="A39" s="262">
        <f t="shared" si="1"/>
        <v>2.383957311773147</v>
      </c>
      <c r="B39">
        <f t="shared" si="0"/>
        <v>6.4568670378105342</v>
      </c>
      <c r="C39" s="262"/>
      <c r="D39"/>
      <c r="E39"/>
      <c r="F39"/>
    </row>
    <row r="40" spans="1:12" ht="15.75" x14ac:dyDescent="0.25">
      <c r="A40" s="262">
        <f t="shared" si="1"/>
        <v>2.7892300547745816</v>
      </c>
      <c r="B40">
        <f t="shared" si="0"/>
        <v>6.1103464397970058</v>
      </c>
      <c r="C40" s="262"/>
    </row>
    <row r="41" spans="1:12" ht="15.75" x14ac:dyDescent="0.25">
      <c r="A41" s="262">
        <f t="shared" si="1"/>
        <v>3.2633991640862603</v>
      </c>
      <c r="B41">
        <f t="shared" si="0"/>
        <v>5.6558622355500692</v>
      </c>
      <c r="C41" s="262"/>
    </row>
    <row r="42" spans="1:12" ht="15.75" x14ac:dyDescent="0.25">
      <c r="A42" s="262">
        <f t="shared" si="1"/>
        <v>3.8181770219809241</v>
      </c>
      <c r="B42">
        <f t="shared" si="0"/>
        <v>5.1513235476536146</v>
      </c>
      <c r="C42" s="262"/>
    </row>
    <row r="43" spans="1:12" ht="15.75" x14ac:dyDescent="0.25">
      <c r="A43" s="262">
        <f t="shared" si="1"/>
        <v>4.4672671157176813</v>
      </c>
      <c r="B43">
        <f t="shared" si="0"/>
        <v>4.6350205918471978</v>
      </c>
      <c r="C43" s="262"/>
    </row>
    <row r="44" spans="1:12" ht="15.75" x14ac:dyDescent="0.25">
      <c r="A44" s="262">
        <f t="shared" si="1"/>
        <v>5.2267025253896868</v>
      </c>
      <c r="B44">
        <f t="shared" si="0"/>
        <v>4.13142583522301</v>
      </c>
      <c r="C44" s="262"/>
    </row>
    <row r="45" spans="1:12" ht="15.75" x14ac:dyDescent="0.25">
      <c r="A45" s="262">
        <f t="shared" si="1"/>
        <v>6.1152419547059331</v>
      </c>
      <c r="B45">
        <f t="shared" si="0"/>
        <v>3.6553848819332226</v>
      </c>
      <c r="C45" s="262"/>
    </row>
    <row r="46" spans="1:12" ht="15.75" x14ac:dyDescent="0.25">
      <c r="A46" s="262">
        <f t="shared" si="1"/>
        <v>7.1548330870059411</v>
      </c>
      <c r="B46">
        <f t="shared" si="0"/>
        <v>3.2151265172670769</v>
      </c>
      <c r="C46" s="262"/>
    </row>
    <row r="47" spans="1:12" ht="15.75" x14ac:dyDescent="0.25">
      <c r="A47" s="262">
        <f t="shared" si="1"/>
        <v>8.3711547117969509</v>
      </c>
      <c r="B47">
        <f t="shared" si="0"/>
        <v>2.8144109772176988</v>
      </c>
      <c r="C47" s="262"/>
    </row>
    <row r="48" spans="1:12" ht="15.75" x14ac:dyDescent="0.25">
      <c r="A48" s="262">
        <f t="shared" si="1"/>
        <v>9.794251012802432</v>
      </c>
      <c r="B48">
        <f t="shared" si="0"/>
        <v>2.4540521187910271</v>
      </c>
      <c r="C48" s="262"/>
    </row>
    <row r="49" spans="1:3" ht="15.75" x14ac:dyDescent="0.25">
      <c r="A49" s="262">
        <f t="shared" si="1"/>
        <v>11.459273684978845</v>
      </c>
      <c r="B49">
        <f t="shared" si="0"/>
        <v>2.1329867398396796</v>
      </c>
      <c r="C49" s="262"/>
    </row>
    <row r="50" spans="1:3" ht="15.75" x14ac:dyDescent="0.25">
      <c r="A50" s="262">
        <f t="shared" si="1"/>
        <v>13.407350211425248</v>
      </c>
      <c r="B50">
        <f t="shared" si="0"/>
        <v>1.8490178852483878</v>
      </c>
      <c r="C50" s="262"/>
    </row>
    <row r="51" spans="1:3" ht="15.75" x14ac:dyDescent="0.25">
      <c r="A51" s="262">
        <f t="shared" si="1"/>
        <v>15.68659974736754</v>
      </c>
      <c r="B51">
        <f t="shared" si="0"/>
        <v>1.5993246526511973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1.3808057349599274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1.1903053906365451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1.0247569674323993</v>
      </c>
      <c r="C54" s="262"/>
    </row>
    <row r="55" spans="1:3" ht="15.75" x14ac:dyDescent="0.25">
      <c r="A55" s="262">
        <f t="shared" si="1"/>
        <v>29.394918634981256</v>
      </c>
      <c r="B55">
        <f t="shared" si="0"/>
        <v>0.88126921281646053</v>
      </c>
      <c r="C55" s="262"/>
    </row>
    <row r="56" spans="1:3" ht="15.75" x14ac:dyDescent="0.25">
      <c r="A56" s="262">
        <f t="shared" si="1"/>
        <v>34.392054802928065</v>
      </c>
      <c r="B56">
        <f t="shared" si="0"/>
        <v>0.75717341105572555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0.65004417189260377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0.5577029268896494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0.47821047525713162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0.40985297398228282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0.35112437690319742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0.30070734022876183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0.257453915736096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0.22036686583694842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0.18858209759103628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0.16135248257605547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0.13803317522553063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0.11806844141162168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0.10097994557809425</v>
      </c>
      <c r="C69" s="262"/>
    </row>
    <row r="70" spans="1:3" ht="15.75" x14ac:dyDescent="0.25">
      <c r="A70" s="262">
        <f t="shared" si="1"/>
        <v>309.78485983186488</v>
      </c>
      <c r="B70">
        <f t="shared" si="0"/>
        <v>8.6356407089905746E-2</v>
      </c>
      <c r="C70" s="262"/>
    </row>
    <row r="71" spans="1:3" ht="15.75" x14ac:dyDescent="0.25">
      <c r="A71" s="262">
        <f t="shared" si="1"/>
        <v>362.44828600328191</v>
      </c>
      <c r="B71">
        <f t="shared" si="0"/>
        <v>7.3844516442791622E-2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6.3140993743640184E-2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5.3985671328646997E-2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4.6155486667387106E-2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3.9459278828879132E-2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3.3733290413161081E-2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2.8837286078501459E-2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2.465120803424142E-2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2.1072297755906414E-2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1.8012621497529243E-2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1.5396944813973737E-2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1.3160908220037997E-2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1.1249462304468051E-2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9.6155261147678386E-3</v>
      </c>
      <c r="C84" s="262"/>
    </row>
    <row r="85" spans="1:3" ht="15.75" x14ac:dyDescent="0.25">
      <c r="A85" s="262">
        <f t="shared" si="1"/>
        <v>3264.7363502766616</v>
      </c>
      <c r="B85">
        <f t="shared" si="0"/>
        <v>8.2188374781309442E-3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7.0249681785948901E-3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87"/>
  <sheetViews>
    <sheetView workbookViewId="0"/>
  </sheetViews>
  <sheetFormatPr defaultColWidth="8" defaultRowHeight="12.75" x14ac:dyDescent="0.2"/>
  <cols>
    <col min="1" max="4" width="8" style="2" customWidth="1"/>
    <col min="5" max="5" width="13.875" style="2" customWidth="1"/>
    <col min="6" max="16384" width="8" style="2"/>
  </cols>
  <sheetData>
    <row r="1" spans="1:15" ht="18" x14ac:dyDescent="0.25">
      <c r="A1" s="143" t="str">
        <f>' T = Tb'!A1</f>
        <v>Cyclohexane</v>
      </c>
      <c r="E1" s="2" t="s">
        <v>0</v>
      </c>
      <c r="F1" s="2">
        <v>1</v>
      </c>
      <c r="H1" s="3" t="s">
        <v>1</v>
      </c>
      <c r="I1" s="2">
        <f>' T = Tb'!O11</f>
        <v>333.88220041210576</v>
      </c>
      <c r="J1" s="2" t="s">
        <v>2</v>
      </c>
    </row>
    <row r="2" spans="1:15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 T = Tb'!F2</f>
        <v>3.9300199999999998</v>
      </c>
      <c r="H2" s="3" t="s">
        <v>16</v>
      </c>
      <c r="I2" s="2">
        <f>1-I1/B3</f>
        <v>0.39678012572338617</v>
      </c>
      <c r="M2" s="4"/>
    </row>
    <row r="3" spans="1:15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 T = Tb'!F3</f>
        <v>1182.7739999999999</v>
      </c>
      <c r="H3" s="3" t="s">
        <v>6</v>
      </c>
      <c r="I3" s="144">
        <f>10^(F2-F3/(I1+F4-273.15))</f>
        <v>0.5322296394350029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 T = Tb'!F4</f>
        <v>220.61799999999999</v>
      </c>
      <c r="H4" s="3" t="s">
        <v>6</v>
      </c>
      <c r="I4" s="2">
        <f>I3*100</f>
        <v>53.222963943500289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 T = Tb'!F5</f>
        <v>0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4.8310338527140896E-3</v>
      </c>
    </row>
    <row r="8" spans="1:15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5" ht="13.5" thickBot="1" x14ac:dyDescent="0.25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5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5" x14ac:dyDescent="0.2">
      <c r="A11" s="10" t="s">
        <v>13</v>
      </c>
      <c r="G11" s="283">
        <f>B16^3</f>
        <v>134015.23461169077</v>
      </c>
      <c r="H11" s="34"/>
      <c r="I11" s="34"/>
      <c r="J11" s="34"/>
      <c r="K11" s="279"/>
      <c r="M11" s="12"/>
    </row>
    <row r="12" spans="1:15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-136964.51094860892</v>
      </c>
      <c r="H12" s="31" t="s">
        <v>32</v>
      </c>
      <c r="I12" s="221">
        <f>(2*B19)-B14-(B10*I1/I4)</f>
        <v>-52.300431316867559</v>
      </c>
      <c r="J12" s="32">
        <f>-(B18+B15+B16)</f>
        <v>-52.300431316867559</v>
      </c>
      <c r="K12" s="280"/>
      <c r="N12" s="4"/>
      <c r="O12" s="18"/>
    </row>
    <row r="13" spans="1:15" ht="18.75" x14ac:dyDescent="0.3">
      <c r="A13" s="13" t="s">
        <v>33</v>
      </c>
      <c r="B13" s="19">
        <v>3075.8376813044592</v>
      </c>
      <c r="C13" s="12">
        <f>' T = Tb'!P11</f>
        <v>3071.3487400331546</v>
      </c>
      <c r="E13" s="192">
        <f>ABS(B10*I1*LN((B16-B14)/(B15-B14))+B13*(1/(B16+B19)-1/(B15+B19))-I4*(B16-B15))</f>
        <v>1.1855081538669765E-7</v>
      </c>
      <c r="F13" s="21">
        <f>E13+E15+E16</f>
        <v>5.6527979420479824E-3</v>
      </c>
      <c r="G13" s="284">
        <f>I13*B16</f>
        <v>2957.4386686589291</v>
      </c>
      <c r="H13" s="31" t="s">
        <v>34</v>
      </c>
      <c r="I13" s="221">
        <f>(B19^2)-(2*B19*B14)-(2*B10*I1*B19/I4)+(B13/I4)</f>
        <v>57.791551867905461</v>
      </c>
      <c r="J13" s="32">
        <f>B15*B16+B15*B18+B18*B16</f>
        <v>57.791551869013553</v>
      </c>
      <c r="K13" s="280"/>
      <c r="L13" s="26">
        <f>B13/B12</f>
        <v>1.4021208988225176</v>
      </c>
      <c r="N13" s="4"/>
      <c r="O13" s="18"/>
    </row>
    <row r="14" spans="1:15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-8.1623317972745681</v>
      </c>
      <c r="H14" s="31" t="s">
        <v>36</v>
      </c>
      <c r="I14" s="221">
        <f>(-B14*(B19^2))-(B10*I1*(B19^2)/I4)-(B13*B14/I4)</f>
        <v>-8.1623317972745681</v>
      </c>
      <c r="J14" s="32">
        <f>-(B18*B15*B16)</f>
        <v>-8.1623317974597818</v>
      </c>
      <c r="K14" s="280"/>
      <c r="L14" s="26">
        <f>B15/B14</f>
        <v>1.1762958911503407</v>
      </c>
      <c r="N14" s="4"/>
      <c r="O14" s="18"/>
    </row>
    <row r="15" spans="1:15" ht="17.25" thickBot="1" x14ac:dyDescent="0.35">
      <c r="A15" s="135" t="s">
        <v>37</v>
      </c>
      <c r="B15" s="136">
        <v>0.1661370398442604</v>
      </c>
      <c r="C15" s="125">
        <f>B15-2*$B$14</f>
        <v>-0.11633787330329673</v>
      </c>
      <c r="D15" s="24" t="s">
        <v>38</v>
      </c>
      <c r="E15" s="25">
        <f>1000000*ABS(B15^3+I12*B15^2+I13*B15+I14)</f>
        <v>1.1191048088221578E-6</v>
      </c>
      <c r="G15" s="286">
        <f>SUM(G11:G14)</f>
        <v>-5.6493867361950834E-8</v>
      </c>
      <c r="H15" s="281"/>
      <c r="I15" s="281"/>
      <c r="J15" s="281"/>
      <c r="K15" s="282"/>
      <c r="L15" s="26">
        <f>B16/B17</f>
        <v>0.98111636486532294</v>
      </c>
    </row>
    <row r="16" spans="1:15" ht="17.25" thickTop="1" x14ac:dyDescent="0.3">
      <c r="A16" s="135" t="s">
        <v>39</v>
      </c>
      <c r="B16" s="137">
        <v>51.174238674517106</v>
      </c>
      <c r="C16" s="125">
        <f>B16-2*$B$14</f>
        <v>50.891763761369546</v>
      </c>
      <c r="D16" s="24" t="s">
        <v>40</v>
      </c>
      <c r="E16" s="25">
        <f>100000*ABS(((B16+$I$12)*B16+$I$13)*B16+$I$14)</f>
        <v>5.6515602864237735E-3</v>
      </c>
      <c r="L16" s="26"/>
    </row>
    <row r="17" spans="1:12" ht="16.5" x14ac:dyDescent="0.3">
      <c r="A17" s="139" t="s">
        <v>41</v>
      </c>
      <c r="B17" s="147">
        <f>B10*I1/I4</f>
        <v>52.159193860293783</v>
      </c>
      <c r="C17" s="125"/>
      <c r="D17" s="24" t="s">
        <v>42</v>
      </c>
      <c r="E17" s="29">
        <f>1000*ABS(B18^3+I12*B18^2+I13*B18+I14)</f>
        <v>8.7861451447679428E-7</v>
      </c>
      <c r="H17" s="12"/>
      <c r="I17" s="4"/>
      <c r="J17" s="17"/>
      <c r="L17" s="25"/>
    </row>
    <row r="18" spans="1:12" ht="15.75" x14ac:dyDescent="0.25">
      <c r="A18" s="135" t="s">
        <v>43</v>
      </c>
      <c r="B18" s="138">
        <f>-I12-B15-B16</f>
        <v>0.96005560250619482</v>
      </c>
      <c r="C18" s="125">
        <f>B18-2*$B$14</f>
        <v>0.67758068935863769</v>
      </c>
      <c r="D18" s="4"/>
      <c r="E18" s="29"/>
      <c r="H18" s="12"/>
      <c r="I18" s="4"/>
      <c r="J18" s="17"/>
      <c r="L18" s="25"/>
    </row>
    <row r="19" spans="1:12" ht="15.75" x14ac:dyDescent="0.25">
      <c r="A19" s="148" t="s">
        <v>135</v>
      </c>
      <c r="B19" s="264">
        <v>0</v>
      </c>
      <c r="C19" s="263">
        <v>1.17</v>
      </c>
      <c r="D19" s="29"/>
      <c r="E19" s="4"/>
      <c r="H19" s="12"/>
      <c r="I19" s="4"/>
      <c r="J19" s="17"/>
      <c r="L19" s="25"/>
    </row>
    <row r="20" spans="1:12" ht="15.75" x14ac:dyDescent="0.25">
      <c r="A20" s="261" t="s">
        <v>44</v>
      </c>
      <c r="B20" s="261" t="s">
        <v>45</v>
      </c>
      <c r="C20" s="261"/>
      <c r="D20" s="21"/>
      <c r="I20" s="31"/>
      <c r="J20" s="32"/>
      <c r="K20" s="33"/>
      <c r="L20" s="34"/>
    </row>
    <row r="21" spans="1:12" ht="15.75" x14ac:dyDescent="0.25">
      <c r="A21" s="262">
        <f>B14+0.000001</f>
        <v>0.14123845657377856</v>
      </c>
      <c r="B21">
        <f>($B$10*$I$1/(A21-$B$14)-$B$13/(A21+$B$19)^2)/100</f>
        <v>27759127.036917463</v>
      </c>
      <c r="C21" s="262"/>
      <c r="I21" s="34"/>
      <c r="J21" s="34"/>
      <c r="K21" s="34"/>
      <c r="L21" s="3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29.75658356615866</v>
      </c>
      <c r="C22" s="262"/>
      <c r="E22" s="194"/>
      <c r="I22" s="34"/>
      <c r="J22" s="34"/>
      <c r="K22" s="34"/>
      <c r="L22" s="34"/>
    </row>
    <row r="23" spans="1:12" ht="15.75" x14ac:dyDescent="0.25">
      <c r="A23" s="262">
        <f t="shared" ref="A23:A86" si="1">A22*$C$19</f>
        <v>0.19334132320384545</v>
      </c>
      <c r="B23">
        <f t="shared" si="0"/>
        <v>-290.04263676478456</v>
      </c>
      <c r="C23" s="262"/>
      <c r="I23" s="34"/>
      <c r="J23" s="34"/>
      <c r="K23" s="34"/>
      <c r="L23" s="34"/>
    </row>
    <row r="24" spans="1:12" ht="15.75" x14ac:dyDescent="0.25">
      <c r="A24" s="262">
        <f t="shared" si="1"/>
        <v>0.22620934814849916</v>
      </c>
      <c r="B24">
        <f t="shared" si="0"/>
        <v>-274.38975209553217</v>
      </c>
      <c r="C24" s="262"/>
      <c r="I24" s="34"/>
      <c r="J24" s="32"/>
      <c r="K24" s="32"/>
      <c r="L24" s="34"/>
    </row>
    <row r="25" spans="1:12" ht="15.75" x14ac:dyDescent="0.25">
      <c r="A25" s="262">
        <f t="shared" si="1"/>
        <v>0.26466493733374402</v>
      </c>
      <c r="B25">
        <f t="shared" si="0"/>
        <v>-214.19242064836689</v>
      </c>
      <c r="C25" s="262"/>
      <c r="I25" s="34"/>
      <c r="J25" s="32"/>
      <c r="K25" s="32"/>
      <c r="L25" s="34"/>
    </row>
    <row r="26" spans="1:12" ht="15.75" x14ac:dyDescent="0.25">
      <c r="A26" s="262">
        <f t="shared" si="1"/>
        <v>0.30965797668048051</v>
      </c>
      <c r="B26">
        <f t="shared" si="0"/>
        <v>-155.94429263344799</v>
      </c>
      <c r="C26" s="262"/>
      <c r="I26" s="34"/>
      <c r="J26" s="32"/>
      <c r="K26" s="32"/>
      <c r="L26" s="34"/>
    </row>
    <row r="27" spans="1:12" ht="15.75" x14ac:dyDescent="0.25">
      <c r="A27" s="262">
        <f t="shared" si="1"/>
        <v>0.36229983271616217</v>
      </c>
      <c r="B27">
        <f t="shared" si="0"/>
        <v>-108.75115449879929</v>
      </c>
      <c r="C27" s="262"/>
      <c r="I27" s="34"/>
      <c r="J27" s="34"/>
      <c r="K27" s="34"/>
      <c r="L27" s="34"/>
    </row>
    <row r="28" spans="1:12" ht="15.75" x14ac:dyDescent="0.25">
      <c r="A28" s="262">
        <f t="shared" si="1"/>
        <v>0.42389080427790971</v>
      </c>
      <c r="B28">
        <f t="shared" si="0"/>
        <v>-72.966404703740466</v>
      </c>
      <c r="C28" s="262"/>
      <c r="I28" s="34"/>
      <c r="J28" s="34"/>
      <c r="K28" s="34"/>
      <c r="L28" s="34"/>
    </row>
    <row r="29" spans="1:12" ht="15.75" x14ac:dyDescent="0.25">
      <c r="A29" s="262">
        <f t="shared" si="1"/>
        <v>0.49595224100515434</v>
      </c>
      <c r="B29">
        <f t="shared" si="0"/>
        <v>-46.788055885587575</v>
      </c>
      <c r="C29" s="262"/>
      <c r="D29"/>
      <c r="E29"/>
      <c r="F29"/>
      <c r="I29" s="34"/>
      <c r="J29" s="34"/>
      <c r="K29" s="34"/>
      <c r="L29" s="34"/>
    </row>
    <row r="30" spans="1:12" ht="15.75" x14ac:dyDescent="0.25">
      <c r="A30" s="262">
        <f t="shared" si="1"/>
        <v>0.5802641219760305</v>
      </c>
      <c r="B30">
        <f t="shared" si="0"/>
        <v>-28.118413063492973</v>
      </c>
      <c r="C30" s="262"/>
      <c r="D30"/>
      <c r="E30"/>
      <c r="F30"/>
      <c r="I30" s="34"/>
      <c r="J30" s="31"/>
      <c r="K30" s="35"/>
      <c r="L30" s="34"/>
    </row>
    <row r="31" spans="1:12" ht="15.75" x14ac:dyDescent="0.25">
      <c r="A31" s="262">
        <f t="shared" si="1"/>
        <v>0.67890902271195563</v>
      </c>
      <c r="B31">
        <f t="shared" si="0"/>
        <v>-15.101663153641157</v>
      </c>
      <c r="C31" s="262"/>
      <c r="D31"/>
      <c r="E31"/>
      <c r="F31"/>
      <c r="I31" s="34"/>
      <c r="J31" s="31"/>
      <c r="K31" s="35"/>
      <c r="L31" s="34"/>
    </row>
    <row r="32" spans="1:12" ht="15.75" x14ac:dyDescent="0.25">
      <c r="A32" s="262">
        <f t="shared" si="1"/>
        <v>0.79432355657298803</v>
      </c>
      <c r="B32">
        <f t="shared" si="0"/>
        <v>-6.2424110310349628</v>
      </c>
      <c r="C32" s="262"/>
      <c r="D32"/>
      <c r="E32"/>
      <c r="F32"/>
      <c r="I32" s="34"/>
      <c r="J32" s="31"/>
      <c r="K32" s="36"/>
      <c r="L32" s="34"/>
    </row>
    <row r="33" spans="1:12" ht="15.75" x14ac:dyDescent="0.25">
      <c r="A33" s="262">
        <f t="shared" si="1"/>
        <v>0.92935856119039595</v>
      </c>
      <c r="B33">
        <f t="shared" si="0"/>
        <v>-0.38817422174412514</v>
      </c>
      <c r="C33" s="262"/>
      <c r="D33"/>
      <c r="E33"/>
      <c r="F33"/>
      <c r="I33" s="34"/>
      <c r="J33" s="31"/>
      <c r="K33" s="33"/>
      <c r="L33" s="34"/>
    </row>
    <row r="34" spans="1:12" ht="15.75" x14ac:dyDescent="0.25">
      <c r="A34" s="262">
        <f t="shared" si="1"/>
        <v>1.0873495165927631</v>
      </c>
      <c r="B34">
        <f t="shared" si="0"/>
        <v>3.3267653096701313</v>
      </c>
      <c r="C34" s="262"/>
      <c r="D34"/>
      <c r="E34"/>
      <c r="F34"/>
      <c r="I34" s="34"/>
      <c r="J34" s="34"/>
      <c r="K34" s="34"/>
      <c r="L34" s="34"/>
    </row>
    <row r="35" spans="1:12" ht="15.75" x14ac:dyDescent="0.25">
      <c r="A35" s="262">
        <f t="shared" si="1"/>
        <v>1.2721989344135327</v>
      </c>
      <c r="B35">
        <f t="shared" si="0"/>
        <v>5.5417134690592027</v>
      </c>
      <c r="C35" s="262"/>
      <c r="D35"/>
      <c r="E35"/>
      <c r="F35"/>
      <c r="I35" s="34"/>
      <c r="J35" s="34"/>
      <c r="K35" s="34"/>
      <c r="L35" s="34"/>
    </row>
    <row r="36" spans="1:12" ht="15.75" x14ac:dyDescent="0.25">
      <c r="A36" s="262">
        <f t="shared" si="1"/>
        <v>1.4884727532638331</v>
      </c>
      <c r="B36">
        <f t="shared" si="0"/>
        <v>6.7227113789343802</v>
      </c>
      <c r="C36" s="262"/>
      <c r="D36"/>
      <c r="E36"/>
      <c r="F36"/>
    </row>
    <row r="37" spans="1:12" ht="15.75" x14ac:dyDescent="0.25">
      <c r="A37" s="262">
        <f t="shared" si="1"/>
        <v>1.7415131213186845</v>
      </c>
      <c r="B37">
        <f t="shared" si="0"/>
        <v>7.2057491056667287</v>
      </c>
      <c r="C37" s="262"/>
      <c r="D37"/>
      <c r="E37"/>
      <c r="F37"/>
    </row>
    <row r="38" spans="1:12" ht="15.75" x14ac:dyDescent="0.25">
      <c r="A38" s="262">
        <f t="shared" si="1"/>
        <v>2.0375703519428607</v>
      </c>
      <c r="B38">
        <f t="shared" si="0"/>
        <v>7.2304979164546799</v>
      </c>
      <c r="C38" s="262"/>
      <c r="D38"/>
      <c r="E38"/>
      <c r="F38"/>
    </row>
    <row r="39" spans="1:12" ht="15.75" x14ac:dyDescent="0.25">
      <c r="A39" s="262">
        <f t="shared" si="1"/>
        <v>2.383957311773147</v>
      </c>
      <c r="B39">
        <f t="shared" si="0"/>
        <v>6.9660178755694577</v>
      </c>
      <c r="C39" s="262"/>
      <c r="D39"/>
      <c r="E39"/>
      <c r="F39"/>
    </row>
    <row r="40" spans="1:12" ht="15.75" x14ac:dyDescent="0.25">
      <c r="A40" s="262">
        <f t="shared" si="1"/>
        <v>2.7892300547745816</v>
      </c>
      <c r="B40">
        <f t="shared" si="0"/>
        <v>6.5300472899575652</v>
      </c>
      <c r="C40" s="262"/>
    </row>
    <row r="41" spans="1:12" ht="15.75" x14ac:dyDescent="0.25">
      <c r="A41" s="262">
        <f t="shared" si="1"/>
        <v>3.2633991640862603</v>
      </c>
      <c r="B41">
        <f t="shared" si="0"/>
        <v>6.0033180293159809</v>
      </c>
      <c r="C41" s="262"/>
    </row>
    <row r="42" spans="1:12" ht="15.75" x14ac:dyDescent="0.25">
      <c r="A42" s="262">
        <f t="shared" si="1"/>
        <v>3.8181770219809241</v>
      </c>
      <c r="B42">
        <f t="shared" si="0"/>
        <v>5.4400902603307362</v>
      </c>
      <c r="C42" s="262"/>
    </row>
    <row r="43" spans="1:12" ht="15.75" x14ac:dyDescent="0.25">
      <c r="A43" s="262">
        <f t="shared" si="1"/>
        <v>4.4672671157176813</v>
      </c>
      <c r="B43">
        <f t="shared" si="0"/>
        <v>4.875851045389143</v>
      </c>
      <c r="C43" s="262"/>
    </row>
    <row r="44" spans="1:12" ht="15.75" x14ac:dyDescent="0.25">
      <c r="A44" s="262">
        <f t="shared" si="1"/>
        <v>5.2267025253896868</v>
      </c>
      <c r="B44">
        <f t="shared" si="0"/>
        <v>4.3329051889018357</v>
      </c>
      <c r="C44" s="262"/>
    </row>
    <row r="45" spans="1:12" ht="15.75" x14ac:dyDescent="0.25">
      <c r="A45" s="262">
        <f t="shared" si="1"/>
        <v>6.1152419547059331</v>
      </c>
      <c r="B45">
        <f t="shared" si="0"/>
        <v>3.8244108786220519</v>
      </c>
      <c r="C45" s="262"/>
    </row>
    <row r="46" spans="1:12" ht="15.75" x14ac:dyDescent="0.25">
      <c r="A46" s="262">
        <f t="shared" si="1"/>
        <v>7.1548330870059411</v>
      </c>
      <c r="B46">
        <f t="shared" si="0"/>
        <v>3.3572745581140198</v>
      </c>
      <c r="C46" s="262"/>
    </row>
    <row r="47" spans="1:12" ht="15.75" x14ac:dyDescent="0.25">
      <c r="A47" s="262">
        <f t="shared" si="1"/>
        <v>8.3711547117969509</v>
      </c>
      <c r="B47">
        <f t="shared" si="0"/>
        <v>2.9342133274242683</v>
      </c>
      <c r="C47" s="262"/>
    </row>
    <row r="48" spans="1:12" ht="15.75" x14ac:dyDescent="0.25">
      <c r="A48" s="262">
        <f t="shared" si="1"/>
        <v>9.794251012802432</v>
      </c>
      <c r="B48">
        <f t="shared" si="0"/>
        <v>2.555212768376792</v>
      </c>
      <c r="C48" s="262"/>
    </row>
    <row r="49" spans="1:3" ht="15.75" x14ac:dyDescent="0.25">
      <c r="A49" s="262">
        <f t="shared" si="1"/>
        <v>11.459273684978845</v>
      </c>
      <c r="B49">
        <f t="shared" si="0"/>
        <v>2.2185477979124655</v>
      </c>
      <c r="C49" s="262"/>
    </row>
    <row r="50" spans="1:3" ht="15.75" x14ac:dyDescent="0.25">
      <c r="A50" s="262">
        <f t="shared" si="1"/>
        <v>13.407350211425248</v>
      </c>
      <c r="B50">
        <f t="shared" si="0"/>
        <v>1.9214892717531027</v>
      </c>
      <c r="C50" s="262"/>
    </row>
    <row r="51" spans="1:3" ht="15.75" x14ac:dyDescent="0.25">
      <c r="A51" s="262">
        <f t="shared" si="1"/>
        <v>15.68659974736754</v>
      </c>
      <c r="B51">
        <f t="shared" si="0"/>
        <v>1.6607858409430796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1.4329860874250713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1.234647999699404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1.0624697084328252</v>
      </c>
      <c r="C54" s="262"/>
    </row>
    <row r="55" spans="1:3" ht="15.75" x14ac:dyDescent="0.25">
      <c r="A55" s="262">
        <f t="shared" si="1"/>
        <v>29.394918634981256</v>
      </c>
      <c r="B55">
        <f t="shared" si="0"/>
        <v>0.91336581972341435</v>
      </c>
      <c r="C55" s="262"/>
    </row>
    <row r="56" spans="1:3" ht="15.75" x14ac:dyDescent="0.25">
      <c r="A56" s="262">
        <f t="shared" si="1"/>
        <v>34.392054802928065</v>
      </c>
      <c r="B56">
        <f t="shared" si="0"/>
        <v>0.78450671832107755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0.6733331658959909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0.57755487455850241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0.49513911348748452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0.42429352789487462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0.36344601042278207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0.31122351619004179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0.26643104523783284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0.22803155086477753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0.19512721177973863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0.16694228847489076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0.14280763963311258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0.12214688105026117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0.10446411190943866</v>
      </c>
      <c r="C69" s="262"/>
    </row>
    <row r="70" spans="1:3" ht="15.75" x14ac:dyDescent="0.25">
      <c r="A70" s="262">
        <f t="shared" si="1"/>
        <v>309.78485983186488</v>
      </c>
      <c r="B70">
        <f t="shared" si="0"/>
        <v>8.9333100162519774E-2</v>
      </c>
      <c r="C70" s="262"/>
    </row>
    <row r="71" spans="1:3" ht="15.75" x14ac:dyDescent="0.25">
      <c r="A71" s="262">
        <f t="shared" si="1"/>
        <v>362.44828600328191</v>
      </c>
      <c r="B71">
        <f t="shared" si="0"/>
        <v>7.6387802336124272E-2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6.5314087684664526E-2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5.5842538330001058E-2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4.7742203120202886E-2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4.0815191528505733E-2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3.4892003725266817E-2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2.9827503147651892E-2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2.5497447922524584E-2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2.1795507035617598E-2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1.8630695996508694E-2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1.5925174833395637E-2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1.3612358537654348E-2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1.1635296580357517E-2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9.9452838811722438E-3</v>
      </c>
      <c r="C84" s="262"/>
    </row>
    <row r="85" spans="1:3" ht="15.75" x14ac:dyDescent="0.25">
      <c r="A85" s="262">
        <f t="shared" si="1"/>
        <v>3264.7363502766616</v>
      </c>
      <c r="B85">
        <f t="shared" si="0"/>
        <v>8.5006706783407691E-3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7.265843187502407E-3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87"/>
  <sheetViews>
    <sheetView workbookViewId="0"/>
  </sheetViews>
  <sheetFormatPr defaultColWidth="8" defaultRowHeight="12.75" x14ac:dyDescent="0.2"/>
  <cols>
    <col min="1" max="16384" width="8" style="2"/>
  </cols>
  <sheetData>
    <row r="1" spans="1:16" ht="18" x14ac:dyDescent="0.25">
      <c r="A1" s="143" t="str">
        <f>' T = Tb'!A1</f>
        <v>Cyclohexane</v>
      </c>
      <c r="E1" s="2" t="s">
        <v>0</v>
      </c>
      <c r="F1" s="2">
        <v>1</v>
      </c>
      <c r="H1" s="3" t="s">
        <v>1</v>
      </c>
      <c r="I1" s="2">
        <f>' T = Tb'!O12</f>
        <v>345.32516199894849</v>
      </c>
      <c r="J1" s="2" t="s">
        <v>2</v>
      </c>
    </row>
    <row r="2" spans="1:16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 T = Tb'!F2</f>
        <v>3.9300199999999998</v>
      </c>
      <c r="H2" s="3" t="s">
        <v>16</v>
      </c>
      <c r="I2" s="2">
        <f>1-I1/B3</f>
        <v>0.37610630171825021</v>
      </c>
      <c r="M2" s="4"/>
    </row>
    <row r="3" spans="1:16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 T = Tb'!F3</f>
        <v>1182.7739999999999</v>
      </c>
      <c r="H3" s="3" t="s">
        <v>6</v>
      </c>
      <c r="I3" s="144">
        <f>10^(F2-F3/(I1+F4-273.15))</f>
        <v>0.77695697672529052</v>
      </c>
      <c r="J3" s="2" t="s">
        <v>7</v>
      </c>
      <c r="M3" s="4"/>
    </row>
    <row r="4" spans="1:16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 T = Tb'!F4</f>
        <v>220.61799999999999</v>
      </c>
      <c r="H4" s="3" t="s">
        <v>6</v>
      </c>
      <c r="I4" s="2">
        <f>I3*100</f>
        <v>77.69569767252905</v>
      </c>
      <c r="J4" s="2" t="s">
        <v>9</v>
      </c>
      <c r="M4" s="4"/>
      <c r="N4" s="6"/>
    </row>
    <row r="5" spans="1:16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 T = Tb'!F5</f>
        <v>0</v>
      </c>
      <c r="H5" s="4"/>
      <c r="M5" s="4"/>
      <c r="N5" s="6"/>
    </row>
    <row r="6" spans="1:16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6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3.3093459259037217E-3</v>
      </c>
    </row>
    <row r="8" spans="1:16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6" ht="13.5" thickBot="1" x14ac:dyDescent="0.25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6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6" x14ac:dyDescent="0.2">
      <c r="A11" s="10" t="s">
        <v>13</v>
      </c>
      <c r="G11" s="283">
        <f>B16^3</f>
        <v>46738.072570237506</v>
      </c>
      <c r="H11" s="34"/>
      <c r="I11" s="34"/>
      <c r="J11" s="34"/>
      <c r="K11" s="279"/>
      <c r="M11" s="12"/>
    </row>
    <row r="12" spans="1:16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-48132.503989867371</v>
      </c>
      <c r="H12" s="31" t="s">
        <v>32</v>
      </c>
      <c r="I12" s="221">
        <f>(2*B19)-B14-(B10*I1/I4)</f>
        <v>-37.095787048153717</v>
      </c>
      <c r="J12" s="32">
        <f>-(B18+B15+B16)</f>
        <v>-37.095787048153717</v>
      </c>
      <c r="K12" s="280"/>
      <c r="N12" s="4"/>
      <c r="O12" s="18"/>
      <c r="P12" s="15"/>
    </row>
    <row r="13" spans="1:16" ht="18.75" x14ac:dyDescent="0.3">
      <c r="A13" s="13" t="s">
        <v>33</v>
      </c>
      <c r="B13" s="19">
        <v>3019.5581553594379</v>
      </c>
      <c r="C13" s="12">
        <f>' T = Tb'!P12</f>
        <v>3017.9641282565062</v>
      </c>
      <c r="E13" s="192">
        <f>ABS(B10*I1*LN((B16-B14)/(B15-B14))+B13*(1/(B16+B19)-1/(B15+B19))-I4*(B16-B15))</f>
        <v>5.9512603911571205E-7</v>
      </c>
      <c r="F13" s="21">
        <f>E13+E15+E16</f>
        <v>1.3908567702003438E-6</v>
      </c>
      <c r="G13" s="284">
        <f>I13*B16</f>
        <v>1399.9204585314958</v>
      </c>
      <c r="H13" s="31" t="s">
        <v>34</v>
      </c>
      <c r="I13" s="221">
        <f>(B19^2)-(2*B19*B14)-(2*B10*I1*B19/I4)+(B13/I4)</f>
        <v>38.863904254856394</v>
      </c>
      <c r="J13" s="32">
        <f>B15*B16+B15*B18+B18*B16</f>
        <v>38.863904257306807</v>
      </c>
      <c r="K13" s="280"/>
      <c r="L13" s="17">
        <f>B13/B12</f>
        <v>1.3764658715813296</v>
      </c>
      <c r="N13" s="4"/>
      <c r="O13" s="18"/>
      <c r="P13" s="15"/>
    </row>
    <row r="14" spans="1:16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-5.4890389894827685</v>
      </c>
      <c r="H14" s="31" t="s">
        <v>36</v>
      </c>
      <c r="I14" s="221">
        <f>(-B14*(B19^2))-(B10*I1*(B19^2)/I4)-(B13*B14/I4)</f>
        <v>-5.4890389894827685</v>
      </c>
      <c r="J14" s="32">
        <f>-(B18*B15*B16)</f>
        <v>-5.4890389898953451</v>
      </c>
      <c r="K14" s="280"/>
      <c r="L14" s="17">
        <f>B15/B14</f>
        <v>1.1900617865024741</v>
      </c>
      <c r="N14" s="4"/>
      <c r="O14" s="18"/>
    </row>
    <row r="15" spans="1:16" ht="17.25" thickBot="1" x14ac:dyDescent="0.35">
      <c r="A15" s="135" t="s">
        <v>37</v>
      </c>
      <c r="B15" s="136">
        <v>0.1680812998912565</v>
      </c>
      <c r="C15" s="125">
        <f>B15-2*$B$14</f>
        <v>-0.11439361325630062</v>
      </c>
      <c r="D15" s="24" t="s">
        <v>38</v>
      </c>
      <c r="E15" s="25">
        <f>1000000*ABS(B15^3+I12*B15^2+I13*B15+I14)</f>
        <v>7.0787820050099981E-7</v>
      </c>
      <c r="G15" s="286">
        <f>SUM(G11:G14)</f>
        <v>-8.785253058363196E-8</v>
      </c>
      <c r="H15" s="281"/>
      <c r="I15" s="281"/>
      <c r="J15" s="281"/>
      <c r="K15" s="282"/>
      <c r="L15" s="23"/>
    </row>
    <row r="16" spans="1:16" ht="17.25" thickTop="1" x14ac:dyDescent="0.3">
      <c r="A16" s="135" t="s">
        <v>39</v>
      </c>
      <c r="B16" s="137">
        <v>36.02109683451485</v>
      </c>
      <c r="C16" s="125">
        <f>B16-2*$B$14</f>
        <v>35.73862192136729</v>
      </c>
      <c r="D16" s="24" t="s">
        <v>40</v>
      </c>
      <c r="E16" s="25">
        <f>ABS(B16^3+I12*B16^2+I13*B16+I14)</f>
        <v>8.785253058363196E-8</v>
      </c>
      <c r="L16" s="26"/>
    </row>
    <row r="17" spans="1:12" ht="16.5" x14ac:dyDescent="0.3">
      <c r="A17" s="139" t="s">
        <v>41</v>
      </c>
      <c r="B17" s="147">
        <f>B10*I1/I4</f>
        <v>36.954549591579941</v>
      </c>
      <c r="C17" s="125"/>
      <c r="D17" s="24" t="s">
        <v>42</v>
      </c>
      <c r="E17" s="29">
        <f>1000*ABS(B18^3+I12*B18^2+I13*B18+I14)</f>
        <v>1.8089849618263543E-6</v>
      </c>
      <c r="H17" s="12"/>
      <c r="I17" s="4"/>
      <c r="J17" s="17"/>
      <c r="L17" s="25"/>
    </row>
    <row r="18" spans="1:12" ht="15.75" x14ac:dyDescent="0.25">
      <c r="A18" s="135" t="s">
        <v>43</v>
      </c>
      <c r="B18" s="138">
        <f>-I12-B15-B16</f>
        <v>0.90660891374761121</v>
      </c>
      <c r="C18" s="125">
        <f>B18-2*$B$14</f>
        <v>0.62413400060005408</v>
      </c>
      <c r="D18" s="4"/>
      <c r="E18" s="29"/>
      <c r="H18" s="12"/>
      <c r="I18" s="4"/>
      <c r="J18" s="17"/>
      <c r="L18" s="25"/>
    </row>
    <row r="19" spans="1:12" ht="15.75" x14ac:dyDescent="0.25">
      <c r="A19" s="148" t="s">
        <v>135</v>
      </c>
      <c r="B19" s="264">
        <v>0</v>
      </c>
      <c r="C19" s="263">
        <v>1.17</v>
      </c>
      <c r="D19" s="29" t="s">
        <v>197</v>
      </c>
      <c r="E19" s="4"/>
      <c r="H19" s="12"/>
      <c r="I19" s="4"/>
      <c r="J19" s="17"/>
      <c r="L19" s="25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28710581.435041208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89.990045546069595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-256.72674924104138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-252.1944046314471</v>
      </c>
      <c r="C24" s="262"/>
    </row>
    <row r="25" spans="1:12" ht="15.75" x14ac:dyDescent="0.25">
      <c r="A25" s="262">
        <f t="shared" si="1"/>
        <v>0.26466493733374402</v>
      </c>
      <c r="B25">
        <f t="shared" si="0"/>
        <v>-198.44956155479773</v>
      </c>
      <c r="C25" s="262"/>
      <c r="J25" s="17"/>
      <c r="K25" s="17"/>
    </row>
    <row r="26" spans="1:12" ht="15.75" x14ac:dyDescent="0.25">
      <c r="A26" s="262">
        <f t="shared" si="1"/>
        <v>0.30965797668048051</v>
      </c>
      <c r="B26">
        <f t="shared" si="0"/>
        <v>-144.42588748889168</v>
      </c>
      <c r="C26" s="262"/>
      <c r="J26" s="5"/>
      <c r="K26" s="17"/>
    </row>
    <row r="27" spans="1:12" ht="15.75" x14ac:dyDescent="0.25">
      <c r="A27" s="262">
        <f t="shared" si="1"/>
        <v>0.36229983271616217</v>
      </c>
      <c r="B27">
        <f t="shared" si="0"/>
        <v>-100.15967435989562</v>
      </c>
      <c r="C27" s="262"/>
      <c r="J27" s="5"/>
      <c r="K27" s="17"/>
    </row>
    <row r="28" spans="1:12" ht="15.75" x14ac:dyDescent="0.25">
      <c r="A28" s="262">
        <f t="shared" si="1"/>
        <v>0.42389080427790971</v>
      </c>
      <c r="B28">
        <f t="shared" si="0"/>
        <v>-66.468202384916196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-41.817749729424996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-24.279815305548937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-12.111100116999296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-3.8936142936503528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1.4706380050648931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4.8083877537313944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6.7306963214340065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7.682938209524564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7.9858534067977587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7.8677749019881285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7.4892735688119778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6.9616887552411786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6.3608969298432747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5.7374497092454293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5.1239827542519372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4.5405938506129031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3.9987214583755555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3.5039230026229999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3.0578503156928787</v>
      </c>
      <c r="C47" s="262"/>
    </row>
    <row r="48" spans="1:11" ht="15.75" x14ac:dyDescent="0.25">
      <c r="A48" s="262">
        <f t="shared" si="1"/>
        <v>9.794251012802432</v>
      </c>
      <c r="B48">
        <f t="shared" si="0"/>
        <v>2.6596422661169221</v>
      </c>
      <c r="C48" s="262"/>
    </row>
    <row r="49" spans="1:3" ht="15.75" x14ac:dyDescent="0.25">
      <c r="A49" s="262">
        <f t="shared" si="1"/>
        <v>11.459273684978845</v>
      </c>
      <c r="B49">
        <f t="shared" si="0"/>
        <v>2.3068964734568738</v>
      </c>
      <c r="C49" s="262"/>
    </row>
    <row r="50" spans="1:3" ht="15.75" x14ac:dyDescent="0.25">
      <c r="A50" s="262">
        <f t="shared" si="1"/>
        <v>13.407350211425248</v>
      </c>
      <c r="B50">
        <f t="shared" si="0"/>
        <v>1.9963386740810041</v>
      </c>
      <c r="C50" s="262"/>
    </row>
    <row r="51" spans="1:3" ht="15.75" x14ac:dyDescent="0.25">
      <c r="A51" s="262">
        <f t="shared" si="1"/>
        <v>15.68659974736754</v>
      </c>
      <c r="B51">
        <f t="shared" si="0"/>
        <v>1.7242761984534589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1.4868983516609402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1.2804691108140764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1.1014448400058925</v>
      </c>
      <c r="C54" s="262"/>
    </row>
    <row r="55" spans="1:3" ht="15.75" x14ac:dyDescent="0.25">
      <c r="A55" s="262">
        <f t="shared" si="1"/>
        <v>29.394918634981256</v>
      </c>
      <c r="B55">
        <f t="shared" si="0"/>
        <v>0.9465404547825409</v>
      </c>
      <c r="C55" s="262"/>
    </row>
    <row r="56" spans="1:3" ht="15.75" x14ac:dyDescent="0.25">
      <c r="A56" s="262">
        <f t="shared" si="1"/>
        <v>34.392054802928065</v>
      </c>
      <c r="B56">
        <f t="shared" si="0"/>
        <v>0.81276073282253147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0.69740858984922027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0.59807862020563141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0.51264167208350653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0.43922441790985295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0.37618659291006823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0.32209766472286822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0.27571405865279847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0.2359576199671386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0.20189569087374129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0.17272297512803975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0.14774522849746341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0.12636472760832451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0.10806741799200018</v>
      </c>
      <c r="C69" s="262"/>
    </row>
    <row r="70" spans="1:3" ht="15.75" x14ac:dyDescent="0.25">
      <c r="A70" s="262">
        <f t="shared" si="1"/>
        <v>309.78485983186488</v>
      </c>
      <c r="B70">
        <f t="shared" si="0"/>
        <v>9.2411613710535398E-2</v>
      </c>
      <c r="C70" s="262"/>
    </row>
    <row r="71" spans="1:3" ht="15.75" x14ac:dyDescent="0.25">
      <c r="A71" s="262">
        <f t="shared" si="1"/>
        <v>362.44828600328191</v>
      </c>
      <c r="B71">
        <f t="shared" si="0"/>
        <v>7.9018108161930375E-2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6.7561553169866173E-2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5.7762967491225253E-2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4.9383243822284963E-2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4.2217533469649397E-2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3.6090398878208828E-2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3.0851635391230106E-2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2.6372674460870851E-2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2.254349073427275E-2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1.9269944850474556E-2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1.6471502327640098E-2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1.4079276589266396E-2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1.2034351000578834E-2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1.0286340813137465E-2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8.792161209698824E-3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7.5149722705792534E-3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87"/>
  <sheetViews>
    <sheetView workbookViewId="0"/>
  </sheetViews>
  <sheetFormatPr defaultColWidth="8" defaultRowHeight="12.75" x14ac:dyDescent="0.2"/>
  <cols>
    <col min="1" max="2" width="8" style="2" customWidth="1"/>
    <col min="3" max="3" width="8.375" style="2" bestFit="1" customWidth="1"/>
    <col min="4" max="4" width="8" style="2" customWidth="1"/>
    <col min="5" max="5" width="9.375" style="2" bestFit="1" customWidth="1"/>
    <col min="6" max="6" width="8" style="2" customWidth="1"/>
    <col min="7" max="7" width="8.375" style="2" bestFit="1" customWidth="1"/>
    <col min="8" max="16384" width="8" style="2"/>
  </cols>
  <sheetData>
    <row r="1" spans="1:15" ht="18" x14ac:dyDescent="0.25">
      <c r="A1" s="143" t="str">
        <f>' T = Tb'!A1</f>
        <v>Cyclohexane</v>
      </c>
      <c r="E1" s="2" t="s">
        <v>0</v>
      </c>
      <c r="F1" s="2">
        <v>1</v>
      </c>
      <c r="H1" s="3" t="s">
        <v>1</v>
      </c>
      <c r="I1" s="2">
        <f>' T = Tb'!O13</f>
        <v>357.16030193407204</v>
      </c>
      <c r="J1" s="2" t="s">
        <v>2</v>
      </c>
    </row>
    <row r="2" spans="1:15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 T = Tb'!F2</f>
        <v>3.9300199999999998</v>
      </c>
      <c r="H2" s="3" t="s">
        <v>16</v>
      </c>
      <c r="I2" s="2">
        <f>1-I1/B3</f>
        <v>0.35472393507846067</v>
      </c>
      <c r="M2" s="4"/>
    </row>
    <row r="3" spans="1:15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 T = Tb'!F3</f>
        <v>1182.7739999999999</v>
      </c>
      <c r="H3" s="3" t="s">
        <v>6</v>
      </c>
      <c r="I3" s="144">
        <f>10^(F2-F3/(I1+F4-273.15))</f>
        <v>1.1151690481244323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 T = Tb'!F4</f>
        <v>220.61799999999999</v>
      </c>
      <c r="H4" s="3" t="s">
        <v>6</v>
      </c>
      <c r="I4" s="2">
        <f>I3*100</f>
        <v>111.51690481244323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 T = Tb'!F5</f>
        <v>0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2.3056768028603069E-3</v>
      </c>
    </row>
    <row r="8" spans="1:15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5" ht="13.5" thickBot="1" x14ac:dyDescent="0.25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5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5" x14ac:dyDescent="0.2">
      <c r="A11" s="10" t="s">
        <v>13</v>
      </c>
      <c r="G11" s="283">
        <f>B16^3</f>
        <v>17061.911309070831</v>
      </c>
      <c r="H11" s="34"/>
      <c r="I11" s="34"/>
      <c r="J11" s="34"/>
      <c r="K11" s="279"/>
      <c r="M11" s="12"/>
    </row>
    <row r="12" spans="1:15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-17742.232432893579</v>
      </c>
      <c r="H12" s="31" t="s">
        <v>32</v>
      </c>
      <c r="I12" s="221">
        <f>(2*B19)-B14-(B10*I1/I4)</f>
        <v>-26.770499692898934</v>
      </c>
      <c r="J12" s="32">
        <f>-(B18+B15+B16)</f>
        <v>-26.770499692898934</v>
      </c>
      <c r="K12" s="280"/>
      <c r="N12" s="4"/>
      <c r="O12" s="18"/>
    </row>
    <row r="13" spans="1:15" ht="18.75" x14ac:dyDescent="0.3">
      <c r="A13" s="13" t="s">
        <v>33</v>
      </c>
      <c r="B13" s="154">
        <v>2963.2477865852852</v>
      </c>
      <c r="C13" s="155">
        <f>' T = Tb'!P13</f>
        <v>2963.7258515728045</v>
      </c>
      <c r="E13" s="192">
        <f>ABS(B10*I1*LN((B16-B14)/(B15-B14))+B13*(1/(B16+B19)-1/(B15+B19))-I4*(B16-B15))</f>
        <v>2.5968488444050308E-6</v>
      </c>
      <c r="F13" s="21">
        <f>E13+E15+E16</f>
        <v>3.8059140923252244E-6</v>
      </c>
      <c r="G13" s="284">
        <f>I13*B16</f>
        <v>684.07411158825846</v>
      </c>
      <c r="H13" s="31" t="s">
        <v>34</v>
      </c>
      <c r="I13" s="221">
        <f>(B19^2)-(2*B19*B14)-(2*B10*I1*B19/I4)+(B13/I4)</f>
        <v>26.572184652802893</v>
      </c>
      <c r="J13" s="32">
        <f>B15*B16+B15*B18+B18*B16</f>
        <v>26.572184653211959</v>
      </c>
      <c r="K13" s="280"/>
      <c r="L13" s="26">
        <f>B13/B12</f>
        <v>1.350796784633556</v>
      </c>
      <c r="N13" s="4"/>
      <c r="O13" s="18"/>
    </row>
    <row r="14" spans="1:15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-3.752987775970674</v>
      </c>
      <c r="H14" s="31" t="s">
        <v>36</v>
      </c>
      <c r="I14" s="221">
        <f>(-B14*(B19^2))-(B10*I1*(B19^2)/I4)-(B13*B14/I4)</f>
        <v>-3.752987775970674</v>
      </c>
      <c r="J14" s="32">
        <f>-(B18*B15*B16)</f>
        <v>-3.7529877760404831</v>
      </c>
      <c r="K14" s="280"/>
      <c r="L14" s="26">
        <f>B15/B14</f>
        <v>1.2054503726542944</v>
      </c>
      <c r="N14" s="4"/>
      <c r="O14" s="18"/>
    </row>
    <row r="15" spans="1:15" ht="17.25" thickBot="1" x14ac:dyDescent="0.35">
      <c r="A15" s="22" t="s">
        <v>37</v>
      </c>
      <c r="B15" s="23">
        <v>0.17025474465960611</v>
      </c>
      <c r="C15" s="125">
        <f>B15-2*$B$14</f>
        <v>-0.11222016848795102</v>
      </c>
      <c r="D15" s="24" t="s">
        <v>38</v>
      </c>
      <c r="E15" s="25">
        <f>1000000*ABS(B15^3+I12*B15^2+I13*B15+I14)</f>
        <v>1.6298074001497298E-7</v>
      </c>
      <c r="G15" s="286">
        <f>SUM(G11:G14)</f>
        <v>-1.0460845079052206E-8</v>
      </c>
      <c r="H15" s="281"/>
      <c r="I15" s="281"/>
      <c r="J15" s="281"/>
      <c r="K15" s="282"/>
      <c r="L15" s="26">
        <f>B16/B17</f>
        <v>0.96675573901593737</v>
      </c>
    </row>
    <row r="16" spans="1:15" ht="17.25" thickTop="1" x14ac:dyDescent="0.3">
      <c r="A16" s="22" t="s">
        <v>39</v>
      </c>
      <c r="B16" s="269">
        <v>25.743992092727716</v>
      </c>
      <c r="C16" s="125">
        <f>B16-2*$B$14</f>
        <v>25.461517179580159</v>
      </c>
      <c r="D16" s="24" t="s">
        <v>40</v>
      </c>
      <c r="E16" s="25">
        <f>100*ABS(B16^3+I12*B16^2+I13*B16+I14)</f>
        <v>1.0460845079052206E-6</v>
      </c>
      <c r="L16" s="26"/>
    </row>
    <row r="17" spans="1:12" ht="16.5" x14ac:dyDescent="0.3">
      <c r="A17" s="27" t="s">
        <v>41</v>
      </c>
      <c r="B17" s="28">
        <f>B10*I1/I4</f>
        <v>26.629262236325154</v>
      </c>
      <c r="C17" s="125"/>
      <c r="D17" s="24" t="s">
        <v>42</v>
      </c>
      <c r="E17" s="29">
        <f>1000*ABS(B18^3+I12*B18^2+I13*B18+I14)</f>
        <v>2.8045521460740019E-7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0.85625285551161312</v>
      </c>
      <c r="C18" s="125">
        <f>B18-2*$B$14</f>
        <v>0.57377794236405599</v>
      </c>
      <c r="D18" s="4"/>
      <c r="E18" s="29"/>
      <c r="H18" s="12"/>
      <c r="I18" s="4"/>
      <c r="J18" s="17"/>
      <c r="L18" s="25"/>
    </row>
    <row r="19" spans="1:12" ht="15.75" x14ac:dyDescent="0.25">
      <c r="A19" s="148" t="s">
        <v>135</v>
      </c>
      <c r="B19" s="264">
        <v>0</v>
      </c>
      <c r="C19" s="263">
        <v>1.17</v>
      </c>
      <c r="D19" s="29"/>
      <c r="H19" s="12"/>
      <c r="I19" s="4"/>
      <c r="J19" s="17"/>
      <c r="L19" s="25"/>
    </row>
    <row r="20" spans="1:12" ht="15.75" x14ac:dyDescent="0.25">
      <c r="A20" s="261" t="s">
        <v>44</v>
      </c>
      <c r="B20" s="261" t="s">
        <v>45</v>
      </c>
      <c r="C20" s="261"/>
      <c r="D20" s="21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29694643.556611944</v>
      </c>
      <c r="C21" s="262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151.59280393605309</v>
      </c>
      <c r="C22" s="262"/>
    </row>
    <row r="23" spans="1:12" ht="15.75" x14ac:dyDescent="0.25">
      <c r="A23" s="262">
        <f t="shared" ref="A23:A86" si="1">A22*$C$19</f>
        <v>0.19334132320384545</v>
      </c>
      <c r="B23">
        <f t="shared" si="0"/>
        <v>-222.7767894806021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-229.60928273014412</v>
      </c>
      <c r="C24" s="262"/>
    </row>
    <row r="25" spans="1:12" ht="15.75" x14ac:dyDescent="0.25">
      <c r="A25" s="262">
        <f t="shared" si="1"/>
        <v>0.26466493733374402</v>
      </c>
      <c r="B25">
        <f t="shared" si="0"/>
        <v>-182.43811417866291</v>
      </c>
      <c r="C25" s="262"/>
      <c r="J25" s="17"/>
      <c r="K25" s="17"/>
    </row>
    <row r="26" spans="1:12" ht="15.75" x14ac:dyDescent="0.25">
      <c r="A26" s="262">
        <f t="shared" si="1"/>
        <v>0.30965797668048051</v>
      </c>
      <c r="B26">
        <f t="shared" si="0"/>
        <v>-132.71065692076274</v>
      </c>
      <c r="C26" s="262"/>
      <c r="J26" s="5"/>
      <c r="K26" s="17"/>
    </row>
    <row r="27" spans="1:12" ht="15.75" x14ac:dyDescent="0.25">
      <c r="A27" s="262">
        <f t="shared" si="1"/>
        <v>0.36229983271616217</v>
      </c>
      <c r="B27">
        <f t="shared" si="0"/>
        <v>-91.418339933546619</v>
      </c>
      <c r="C27" s="262"/>
      <c r="J27" s="5"/>
      <c r="K27" s="17"/>
    </row>
    <row r="28" spans="1:12" ht="15.75" x14ac:dyDescent="0.25">
      <c r="A28" s="262">
        <f t="shared" si="1"/>
        <v>0.42389080427790971</v>
      </c>
      <c r="B28">
        <f t="shared" si="0"/>
        <v>-59.852920663290895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-36.754263085230924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-20.366028804484696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-9.0592217732867546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-1.4944000735690406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3.371181311502669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6.3247360161517694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7.948701585982783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8.6675076754018665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8.7864357100352457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8.5223213164230653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8.0271228902324143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7.4056839888006722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6.7289487437004505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6.0436984799087057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5.3796674781324763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4.7547057446273202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4.1784985521096099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3.6552266862474196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3.1854537995551353</v>
      </c>
      <c r="C47" s="262"/>
    </row>
    <row r="48" spans="1:11" ht="15.75" x14ac:dyDescent="0.25">
      <c r="A48" s="262">
        <f t="shared" si="1"/>
        <v>9.794251012802432</v>
      </c>
      <c r="B48">
        <f t="shared" si="0"/>
        <v>2.7674529612865397</v>
      </c>
      <c r="C48" s="262"/>
    </row>
    <row r="49" spans="1:3" ht="15.75" x14ac:dyDescent="0.25">
      <c r="A49" s="262">
        <f t="shared" si="1"/>
        <v>11.459273684978845</v>
      </c>
      <c r="B49">
        <f t="shared" si="0"/>
        <v>2.3981285371405692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2.073647762277004</v>
      </c>
      <c r="C50" s="262"/>
    </row>
    <row r="51" spans="1:3" ht="15.75" x14ac:dyDescent="0.25">
      <c r="A51" s="262">
        <f t="shared" si="1"/>
        <v>15.68659974736754</v>
      </c>
      <c r="B51">
        <f t="shared" si="0"/>
        <v>1.789865393690576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1.542601975043747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1.3278194619922092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1.1417256756741714</v>
      </c>
      <c r="C54" s="262"/>
    </row>
    <row r="55" spans="1:3" ht="15.75" x14ac:dyDescent="0.25">
      <c r="A55" s="262">
        <f t="shared" si="1"/>
        <v>29.394918634981256</v>
      </c>
      <c r="B55">
        <f t="shared" si="0"/>
        <v>0.98083009994735082</v>
      </c>
      <c r="C55" s="262"/>
    </row>
    <row r="56" spans="1:3" ht="15.75" x14ac:dyDescent="0.25">
      <c r="A56" s="262">
        <f t="shared" si="1"/>
        <v>34.392054802928065</v>
      </c>
      <c r="B56">
        <f t="shared" si="0"/>
        <v>0.84196703523107386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0.72229741546499693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0.61929720175054048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0.53073783075196479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0.45466245638835551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0.38936048813583485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0.33334205834230213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0.28531344223434318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0.24415403350761811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0.20889519166312343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0.17870108560253942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0.1528515333086129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0.1307267594980667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0.11179394747205354</v>
      </c>
      <c r="C69" s="262"/>
    </row>
    <row r="70" spans="1:3" ht="15.75" x14ac:dyDescent="0.25">
      <c r="A70" s="262">
        <f t="shared" si="1"/>
        <v>309.78485983186488</v>
      </c>
      <c r="B70">
        <f t="shared" si="0"/>
        <v>9.5595437688982376E-2</v>
      </c>
      <c r="C70" s="262"/>
    </row>
    <row r="71" spans="1:3" ht="15.75" x14ac:dyDescent="0.25">
      <c r="A71" s="262">
        <f t="shared" si="1"/>
        <v>362.44828600328191</v>
      </c>
      <c r="B71">
        <f t="shared" si="0"/>
        <v>8.1738416538729902E-2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6.9885939263943819E-2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5.9749137367227131E-2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5.1080470689319091E-2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4.3667895962341878E-2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3.7329835914243395E-2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3.1910845200684858E-2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2.7277881118610604E-2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2.331709795077103E-2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1.993109377023548E-2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1.7036547551583504E-2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1.4562192499378158E-2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1.2447078657250405E-2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1.0639084164685217E-2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9.093640055480974E-3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7.7726383172733874E-3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87"/>
  <sheetViews>
    <sheetView workbookViewId="0"/>
  </sheetViews>
  <sheetFormatPr defaultColWidth="8" defaultRowHeight="12.75" x14ac:dyDescent="0.2"/>
  <cols>
    <col min="1" max="1" width="8" style="2" customWidth="1"/>
    <col min="2" max="2" width="12.25" style="2" customWidth="1"/>
    <col min="3" max="3" width="10.75" style="2" customWidth="1"/>
    <col min="4" max="4" width="8" style="2" customWidth="1"/>
    <col min="5" max="5" width="13.625" style="2" customWidth="1"/>
    <col min="6" max="16384" width="8" style="2"/>
  </cols>
  <sheetData>
    <row r="1" spans="1:15" ht="18" x14ac:dyDescent="0.25">
      <c r="A1" s="143" t="str">
        <f>' T = Tb'!A1</f>
        <v>Cyclohexane</v>
      </c>
      <c r="E1" s="2" t="s">
        <v>0</v>
      </c>
      <c r="F1" s="2">
        <v>1</v>
      </c>
      <c r="H1" s="3" t="s">
        <v>1</v>
      </c>
      <c r="I1" s="2">
        <f>' T = Tb'!O14</f>
        <v>369.40106113097517</v>
      </c>
      <c r="J1" s="2" t="s">
        <v>2</v>
      </c>
    </row>
    <row r="2" spans="1:15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 T = Tb'!F2</f>
        <v>3.9300199999999998</v>
      </c>
      <c r="H2" s="3" t="s">
        <v>16</v>
      </c>
      <c r="I2" s="2">
        <f>1-I1/B3</f>
        <v>0.33260874231079463</v>
      </c>
      <c r="M2" s="4"/>
    </row>
    <row r="3" spans="1:15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 T = Tb'!F3</f>
        <v>1182.7739999999999</v>
      </c>
      <c r="H3" s="3" t="s">
        <v>6</v>
      </c>
      <c r="I3" s="144">
        <f>10^(F2-F3/(I1+F4-273.15))</f>
        <v>1.5751790376191113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 T = Tb'!F4</f>
        <v>220.61799999999999</v>
      </c>
      <c r="H4" s="3" t="s">
        <v>6</v>
      </c>
      <c r="I4" s="2">
        <f>I3*100</f>
        <v>157.51790376191113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 T = Tb'!F5</f>
        <v>0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1.6323347023553083E-3</v>
      </c>
    </row>
    <row r="8" spans="1:15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5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5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5" x14ac:dyDescent="0.2">
      <c r="A11" s="10" t="s">
        <v>13</v>
      </c>
      <c r="K11" s="11"/>
      <c r="M11" s="12"/>
    </row>
    <row r="12" spans="1:15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H12" s="4" t="s">
        <v>32</v>
      </c>
      <c r="I12" s="190">
        <f>(2*B19)-B14-(B10*I1/I4)</f>
        <v>-19.639902328514431</v>
      </c>
      <c r="J12" s="17">
        <f>-(B18+B15+B16)</f>
        <v>-19.639902328514431</v>
      </c>
      <c r="K12" s="6"/>
      <c r="N12" s="4"/>
      <c r="O12" s="18"/>
    </row>
    <row r="13" spans="1:15" ht="18.75" x14ac:dyDescent="0.3">
      <c r="A13" s="13" t="s">
        <v>33</v>
      </c>
      <c r="B13" s="29">
        <v>2906.9258413535481</v>
      </c>
      <c r="C13" s="38">
        <f>' T = Tb'!P14</f>
        <v>2908.6539282946437</v>
      </c>
      <c r="E13" s="192">
        <f>ABS(B10*I1*LN((B16-B14)/(B15-B14))+B13*(1/(B16+B19)-1/(B15+B19))-I4*(B16-B15))</f>
        <v>1.0211446351604536E-5</v>
      </c>
      <c r="F13" s="21">
        <f>E13+E15+E16</f>
        <v>1.3214596968680326E-5</v>
      </c>
      <c r="H13" s="4" t="s">
        <v>34</v>
      </c>
      <c r="I13" s="190">
        <f>(B19^2)-(2*B19*B14)-(2*B10*I1*B19/I4)+(B13/I4)</f>
        <v>18.454574190800411</v>
      </c>
      <c r="J13" s="17">
        <f>B15*B16+B15*B18+B18*B16</f>
        <v>18.454574190960344</v>
      </c>
      <c r="K13" s="6"/>
      <c r="L13" s="17">
        <f>B13/B12</f>
        <v>1.3251224205564944</v>
      </c>
      <c r="N13" s="4"/>
      <c r="O13" s="18"/>
    </row>
    <row r="14" spans="1:15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0">
        <f>(-B14*(B19^2))-(B10*I1*(B19^2)/I4)-(B13*B14/I4)</f>
        <v>-2.606477120860748</v>
      </c>
      <c r="J14" s="17">
        <f>-(B18*B15*B16)</f>
        <v>-2.6064771208884152</v>
      </c>
      <c r="K14" s="6"/>
      <c r="L14" s="17">
        <f>B15/B14</f>
        <v>1.2227556938636515</v>
      </c>
      <c r="N14" s="4"/>
      <c r="O14" s="18"/>
    </row>
    <row r="15" spans="1:15" ht="16.5" x14ac:dyDescent="0.3">
      <c r="A15" s="22" t="s">
        <v>37</v>
      </c>
      <c r="B15" s="23">
        <v>0.17269890421240794</v>
      </c>
      <c r="C15" s="125">
        <f>B15-2*$B$14</f>
        <v>-0.10977600893514919</v>
      </c>
      <c r="D15" s="24" t="s">
        <v>38</v>
      </c>
      <c r="E15" s="25">
        <f>1000000*ABS(B15^3+I12*B15^2+I13*B15+I14)</f>
        <v>4.75175454539567E-8</v>
      </c>
      <c r="K15" s="4"/>
      <c r="L15" s="23"/>
    </row>
    <row r="16" spans="1:15" ht="16.5" x14ac:dyDescent="0.3">
      <c r="A16" s="22" t="s">
        <v>39</v>
      </c>
      <c r="B16" s="39">
        <v>18.658308586849238</v>
      </c>
      <c r="C16" s="125">
        <f>B16-2*$B$14</f>
        <v>18.375833673701681</v>
      </c>
      <c r="D16" s="24" t="s">
        <v>40</v>
      </c>
      <c r="E16" s="25">
        <f>1000*ABS(B16^3+I12*B16^2+I13*B16+I14)</f>
        <v>2.9556330716218326E-6</v>
      </c>
      <c r="L16" s="26"/>
    </row>
    <row r="17" spans="1:12" ht="16.5" x14ac:dyDescent="0.3">
      <c r="A17" s="27" t="s">
        <v>41</v>
      </c>
      <c r="B17" s="40">
        <f>B10*I1/I4</f>
        <v>19.498664871940651</v>
      </c>
      <c r="C17" s="125"/>
      <c r="D17" s="24" t="s">
        <v>42</v>
      </c>
      <c r="E17" s="29">
        <f>1000*ABS(B18^3+I12*B18^2+I13*B18+I14)</f>
        <v>1.0170264630460224E-7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0.80889483745278667</v>
      </c>
      <c r="C18" s="125">
        <f>B18-2*$B$14</f>
        <v>0.52641992430522955</v>
      </c>
      <c r="D18" s="4"/>
      <c r="E18" s="29"/>
      <c r="H18" s="12"/>
      <c r="I18" s="4"/>
      <c r="J18" s="17"/>
      <c r="L18" s="25"/>
    </row>
    <row r="19" spans="1:12" ht="15.75" x14ac:dyDescent="0.25">
      <c r="A19" s="148" t="s">
        <v>135</v>
      </c>
      <c r="B19" s="264">
        <v>0</v>
      </c>
      <c r="C19" s="263">
        <v>1.17</v>
      </c>
      <c r="D19" s="29"/>
      <c r="E19" s="4"/>
      <c r="H19" s="12"/>
      <c r="I19" s="4"/>
      <c r="J19" s="17"/>
      <c r="L19" s="25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30712430.938068464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214.60434537205452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-188.1764631271339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-206.62499956140621</v>
      </c>
      <c r="C24" s="262"/>
    </row>
    <row r="25" spans="1:12" ht="15.75" x14ac:dyDescent="0.25">
      <c r="A25" s="262">
        <f t="shared" si="1"/>
        <v>0.26466493733374402</v>
      </c>
      <c r="B25">
        <f t="shared" si="0"/>
        <v>-166.15177471829949</v>
      </c>
      <c r="C25" s="262"/>
      <c r="J25" s="17"/>
      <c r="K25" s="17"/>
    </row>
    <row r="26" spans="1:12" ht="15.75" x14ac:dyDescent="0.25">
      <c r="A26" s="262">
        <f t="shared" si="1"/>
        <v>0.30965797668048051</v>
      </c>
      <c r="B26">
        <f t="shared" si="0"/>
        <v>-120.79397473465696</v>
      </c>
      <c r="C26" s="262"/>
      <c r="J26" s="5"/>
      <c r="K26" s="17"/>
    </row>
    <row r="27" spans="1:12" ht="15.75" x14ac:dyDescent="0.25">
      <c r="A27" s="262">
        <f t="shared" si="1"/>
        <v>0.36229983271616217</v>
      </c>
      <c r="B27">
        <f t="shared" si="0"/>
        <v>-82.523563666048418</v>
      </c>
      <c r="C27" s="262"/>
      <c r="J27" s="5"/>
      <c r="K27" s="17"/>
    </row>
    <row r="28" spans="1:12" ht="15.75" x14ac:dyDescent="0.25">
      <c r="A28" s="262">
        <f t="shared" si="1"/>
        <v>0.42389080427790971</v>
      </c>
      <c r="B28">
        <f t="shared" si="0"/>
        <v>-53.117678009519352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-31.595228690339155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-16.375080252670251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-5.9443676308842619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0.95663745148230195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5.3146506193799317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7.8768283426646208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9.1965983616137095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9.6771623275444245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9.608130836114622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9.1946800732740854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8.5800302390362759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7.8624302612436123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7.1078133198652464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6.3591272904603997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5.6431538934952554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4.975453571403162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4.3639240760336548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3.8113411853763983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3.3171568203507649</v>
      </c>
      <c r="C47" s="262"/>
    </row>
    <row r="48" spans="1:11" ht="15.75" x14ac:dyDescent="0.25">
      <c r="A48" s="262">
        <f t="shared" si="1"/>
        <v>9.794251012802432</v>
      </c>
      <c r="B48">
        <f t="shared" si="0"/>
        <v>2.878758617183927</v>
      </c>
      <c r="C48" s="262"/>
    </row>
    <row r="49" spans="1:3" ht="15.75" x14ac:dyDescent="0.25">
      <c r="A49" s="262">
        <f t="shared" si="1"/>
        <v>11.459273684978845</v>
      </c>
      <c r="B49">
        <f t="shared" si="0"/>
        <v>2.4923412620583294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2.1534997052006482</v>
      </c>
      <c r="C50" s="262"/>
    </row>
    <row r="51" spans="1:3" ht="15.75" x14ac:dyDescent="0.25">
      <c r="A51" s="262">
        <f t="shared" si="1"/>
        <v>15.68659974736754</v>
      </c>
      <c r="B51">
        <f t="shared" si="0"/>
        <v>1.8576245330463581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1.6001577484956169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1.3767510232863314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1.1833566431416607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1.0162727341396123</v>
      </c>
      <c r="C55" s="262"/>
    </row>
    <row r="56" spans="1:3" ht="15.75" x14ac:dyDescent="0.25">
      <c r="A56" s="262">
        <f t="shared" si="1"/>
        <v>34.392054802928065</v>
      </c>
      <c r="B56">
        <f t="shared" si="0"/>
        <v>0.87215809096520913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0.74802739449363298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0.64123434122973211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0.54944786663951406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0.4706249756194994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0.40298251104441751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0.34496936014257146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0.29524001968809782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0.25263004291791274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0.21613362164807459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0.18488337866035759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0.15813233094329748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0.13523791433586083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0.11564792061853638</v>
      </c>
      <c r="C69" s="262"/>
    </row>
    <row r="70" spans="1:3" ht="15.75" x14ac:dyDescent="0.25">
      <c r="A70" s="262">
        <f t="shared" si="1"/>
        <v>309.78485983186488</v>
      </c>
      <c r="B70">
        <f t="shared" si="0"/>
        <v>9.8888179226741452E-2</v>
      </c>
      <c r="C70" s="262"/>
    </row>
    <row r="71" spans="1:3" ht="15.75" x14ac:dyDescent="0.25">
      <c r="A71" s="262">
        <f t="shared" si="1"/>
        <v>362.44828600328191</v>
      </c>
      <c r="B71">
        <f t="shared" si="0"/>
        <v>8.4551810527552534E-2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7.2289881094607281E-2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6.1803300227894133E-2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5.283580875582912E-2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4.5167924348043523E-2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3.8611721117481776E-2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3.3006334535086473E-2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2.8214095216185266E-2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2.4117206740422597E-2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2.0614893233082947E-2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1.7620951940757155E-2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1.5061654504910293E-2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1.2873948129977114E-2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1.1003914431964253E-2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9.4054495206430614E-3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8.0391338963287425E-3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87"/>
  <sheetViews>
    <sheetView workbookViewId="0"/>
  </sheetViews>
  <sheetFormatPr defaultColWidth="8" defaultRowHeight="12.75" x14ac:dyDescent="0.2"/>
  <cols>
    <col min="1" max="16384" width="8" style="2"/>
  </cols>
  <sheetData>
    <row r="1" spans="1:14" ht="18" x14ac:dyDescent="0.25">
      <c r="A1" s="143" t="str">
        <f>' T = Tb'!A1</f>
        <v>Cyclohexane</v>
      </c>
      <c r="E1" s="2" t="s">
        <v>0</v>
      </c>
      <c r="F1" s="290">
        <v>2</v>
      </c>
      <c r="H1" s="3" t="s">
        <v>1</v>
      </c>
      <c r="I1" s="2">
        <f>' T = Tb'!O15</f>
        <v>382.06134115621563</v>
      </c>
      <c r="J1" s="2" t="s">
        <v>2</v>
      </c>
      <c r="K1" s="4" t="s">
        <v>10</v>
      </c>
      <c r="L1" s="2">
        <v>0.43429000000000001</v>
      </c>
    </row>
    <row r="2" spans="1:14" ht="15.75" x14ac:dyDescent="0.3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90">
        <v>3.9300199999999998</v>
      </c>
      <c r="H2" s="3" t="s">
        <v>16</v>
      </c>
      <c r="I2" s="2">
        <f>1-I1/B3</f>
        <v>0.30973560766718045</v>
      </c>
      <c r="K2" s="219" t="s">
        <v>200</v>
      </c>
      <c r="L2" s="2"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90">
        <v>1182.77</v>
      </c>
      <c r="H3" s="3" t="s">
        <v>6</v>
      </c>
      <c r="I3" s="144">
        <f>10^(F2-F3/(I1+F4-273.15)+L1*I5^F5+L2*I5^8+L3*I5^12)</f>
        <v>2.1951194728688952</v>
      </c>
      <c r="J3" s="2" t="s">
        <v>7</v>
      </c>
      <c r="K3" s="219" t="s">
        <v>201</v>
      </c>
      <c r="L3" s="2"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90">
        <v>220.61799999999999</v>
      </c>
      <c r="H4" s="3" t="s">
        <v>6</v>
      </c>
      <c r="I4" s="2">
        <f>I3*100</f>
        <v>219.51194728688952</v>
      </c>
      <c r="J4" s="2" t="s">
        <v>9</v>
      </c>
      <c r="K4" s="219" t="s">
        <v>202</v>
      </c>
      <c r="L4" s="2"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219" t="s">
        <v>203</v>
      </c>
      <c r="F5" s="290">
        <v>3.4040699999999999</v>
      </c>
      <c r="H5" s="289" t="s">
        <v>199</v>
      </c>
      <c r="I5" s="2">
        <f>(I1-L4-273.15)/B3</f>
        <v>0.15160133903561998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90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90">
        <f>' T = Tb'!F7</f>
        <v>553.5</v>
      </c>
      <c r="G7" s="7">
        <f>F7/B3</f>
        <v>1</v>
      </c>
      <c r="H7" s="2" t="s">
        <v>25</v>
      </c>
      <c r="I7" s="2">
        <f>I6/I3</f>
        <v>1.1713346072083615E-3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291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90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H12" s="4" t="s">
        <v>32</v>
      </c>
      <c r="I12" s="190">
        <f>(2*B19)-B14-(B10*I1/I4)</f>
        <v>-14.612672296086471</v>
      </c>
      <c r="J12" s="17">
        <f>-(B18+B15+B16)</f>
        <v>-14.612672296086471</v>
      </c>
      <c r="K12" s="6"/>
    </row>
    <row r="13" spans="1:14" ht="18.75" x14ac:dyDescent="0.3">
      <c r="A13" s="13" t="s">
        <v>33</v>
      </c>
      <c r="B13" s="29">
        <v>2849.7599239768392</v>
      </c>
      <c r="C13" s="151">
        <f>' T = Tb'!P15</f>
        <v>2852.770881401359</v>
      </c>
      <c r="E13" s="192">
        <f>ABS(B10*I1*LN((B16-B14)/(B15-B14))+B13*(1/(B16+B19)-1/(B15+B19))-I4*(B16-B15))</f>
        <v>3.7372667065938003E-5</v>
      </c>
      <c r="F13" s="21">
        <f>E13+E15+E16</f>
        <v>4.3571144797027728E-5</v>
      </c>
      <c r="H13" s="4" t="s">
        <v>34</v>
      </c>
      <c r="I13" s="190">
        <f>(B19^2)-(2*B19*B14)-(2*B10*I1*B19/I4)+(B13/I4)</f>
        <v>12.982254310980014</v>
      </c>
      <c r="J13" s="17">
        <f>B15*B16+B15*B18+B18*B16</f>
        <v>12.982254311412945</v>
      </c>
      <c r="K13" s="6"/>
      <c r="L13" s="26">
        <f>B13/B12</f>
        <v>1.299063331697081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0">
        <f>(-B14*(B19^2))-(B10*I1*(B19^2)/I4)-(B13*B14/I4)</f>
        <v>-1.8335805794767892</v>
      </c>
      <c r="J14" s="17">
        <f>-(B18*B15*B16)</f>
        <v>-1.8335805795531164</v>
      </c>
      <c r="K14" s="6"/>
      <c r="L14" s="26">
        <f>B15/B14</f>
        <v>1.2424665590458448</v>
      </c>
      <c r="N14" s="4"/>
    </row>
    <row r="15" spans="1:14" ht="16.5" x14ac:dyDescent="0.3">
      <c r="A15" s="22" t="s">
        <v>37</v>
      </c>
      <c r="B15" s="23">
        <v>0.17548281667760959</v>
      </c>
      <c r="C15" s="125">
        <f>B15-2*$B$14</f>
        <v>-0.10699209646994753</v>
      </c>
      <c r="D15" s="24" t="s">
        <v>38</v>
      </c>
      <c r="E15" s="25">
        <f>1000000*ABS(B15^3+I12*B15^2+I13*B15+I14)</f>
        <v>3.5527136788005009E-7</v>
      </c>
      <c r="K15" s="4"/>
      <c r="L15" s="26">
        <f>B16/B17</f>
        <v>0.9448267675942531</v>
      </c>
    </row>
    <row r="16" spans="1:14" ht="16.5" x14ac:dyDescent="0.3">
      <c r="A16" s="22" t="s">
        <v>39</v>
      </c>
      <c r="B16" s="23">
        <v>13.672999001867636</v>
      </c>
      <c r="C16" s="125">
        <f>B16-2*$B$14</f>
        <v>13.390524088720079</v>
      </c>
      <c r="D16" s="24" t="s">
        <v>40</v>
      </c>
      <c r="E16" s="25">
        <f>1000*ABS(B16^3+I12*B16^2+I13*B16+I14)</f>
        <v>5.8432063632096742E-6</v>
      </c>
      <c r="L16" s="26"/>
    </row>
    <row r="17" spans="1:12" ht="16.5" x14ac:dyDescent="0.3">
      <c r="A17" s="27" t="s">
        <v>41</v>
      </c>
      <c r="B17" s="28">
        <f>B10*I1/I4</f>
        <v>14.471434839512693</v>
      </c>
      <c r="C17" s="125"/>
      <c r="D17" s="24" t="s">
        <v>42</v>
      </c>
      <c r="E17" s="29">
        <f>1000*ABS(B18^3+I12*B18^2+I13*B18+I14)</f>
        <v>2.5451418750321864E-7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0.76419047754122538</v>
      </c>
      <c r="C18" s="125">
        <f>B18-2*$B$14</f>
        <v>0.48171556439366825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31765099.843828846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279.37763312608467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-152.68090705296993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-183.06528195402592</v>
      </c>
      <c r="C24" s="262"/>
      <c r="J24" s="5"/>
    </row>
    <row r="25" spans="1:12" ht="15.75" x14ac:dyDescent="0.25">
      <c r="A25" s="262">
        <f t="shared" si="1"/>
        <v>0.26466493733374402</v>
      </c>
      <c r="B25">
        <f t="shared" si="0"/>
        <v>-149.46234560501642</v>
      </c>
      <c r="C25" s="262"/>
      <c r="J25" s="17"/>
      <c r="K25" s="17"/>
    </row>
    <row r="26" spans="1:12" ht="15.75" x14ac:dyDescent="0.25">
      <c r="A26" s="262">
        <f t="shared" si="1"/>
        <v>0.30965797668048051</v>
      </c>
      <c r="B26">
        <f t="shared" si="0"/>
        <v>-108.58216896161589</v>
      </c>
      <c r="C26" s="262"/>
      <c r="J26" s="5"/>
      <c r="K26" s="17"/>
    </row>
    <row r="27" spans="1:12" ht="15.75" x14ac:dyDescent="0.25">
      <c r="A27" s="262">
        <f t="shared" si="1"/>
        <v>0.36229983271616217</v>
      </c>
      <c r="B27">
        <f t="shared" si="0"/>
        <v>-73.406701728134266</v>
      </c>
      <c r="C27" s="262"/>
      <c r="J27" s="17"/>
      <c r="K27" s="17"/>
    </row>
    <row r="28" spans="1:12" ht="15.75" x14ac:dyDescent="0.25">
      <c r="A28" s="262">
        <f t="shared" si="1"/>
        <v>0.42389080427790971</v>
      </c>
      <c r="B28">
        <f t="shared" si="0"/>
        <v>-46.212059466056964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-26.303546480143378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-12.279615197851854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-2.7463284236630443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3.4744608430045991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7.312149988265146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9.4729267195435884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10.480551690710593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10.716517165260859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10.454405647744956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9.8874656443885609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9.1499756393132436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8.3334340162051941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7.4986424744384488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6.6846214670244626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5.9151262901849213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5.2033693166559702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4.5554140980058762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3.9725939047923147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3.4532186069553417</v>
      </c>
      <c r="C47" s="262"/>
    </row>
    <row r="48" spans="1:11" ht="15.75" x14ac:dyDescent="0.25">
      <c r="A48" s="262">
        <f t="shared" si="1"/>
        <v>9.794251012802432</v>
      </c>
      <c r="B48">
        <f t="shared" si="0"/>
        <v>2.9937657468711905</v>
      </c>
      <c r="C48" s="262"/>
    </row>
    <row r="49" spans="1:3" ht="15.75" x14ac:dyDescent="0.25">
      <c r="A49" s="262">
        <f t="shared" si="1"/>
        <v>11.459273684978845</v>
      </c>
      <c r="B49">
        <f t="shared" si="0"/>
        <v>2.5897001618179769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2.2360279373548102</v>
      </c>
      <c r="C50" s="262"/>
    </row>
    <row r="51" spans="1:3" ht="15.75" x14ac:dyDescent="0.25">
      <c r="A51" s="262">
        <f t="shared" si="1"/>
        <v>15.68659974736754</v>
      </c>
      <c r="B51">
        <f t="shared" si="0"/>
        <v>1.9276617973803667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1.6596538495391224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1.4273360301814941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1.2263971957840527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1.0529175020548545</v>
      </c>
      <c r="C55" s="262"/>
    </row>
    <row r="56" spans="1:3" ht="15.75" x14ac:dyDescent="0.25">
      <c r="A56" s="262">
        <f t="shared" si="1"/>
        <v>34.392054802928065</v>
      </c>
      <c r="B56">
        <f t="shared" si="0"/>
        <v>0.90337468400306098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0.77463249380635024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0.6639184191156754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0.56879556097439976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0.48713195402294152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0.41706948341914318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0.35699376232205632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0.30550578566648839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0.26139580110386501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0.22361958625390099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0.19127715657050787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0.16359382408956569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0.13990346539051329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0.11963382391741578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0.10229365789226855</v>
      </c>
      <c r="C70" s="262"/>
    </row>
    <row r="71" spans="1:3" ht="15.75" x14ac:dyDescent="0.25">
      <c r="A71" s="262">
        <f t="shared" si="1"/>
        <v>362.44828600328191</v>
      </c>
      <c r="B71">
        <f t="shared" si="0"/>
        <v>8.7461543733628966E-2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7.4776151497675705E-2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6.3927820157214987E-2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5.4651274324774422E-2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4.6719338834820955E-2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3.9937522466334245E-2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3.4139356407692285E-2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2.9182386485765179E-2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2.4944730513490179E-2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2.1322123280853752E-2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1.8225381722244104E-2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1.5578231683476827E-2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1.3315445556216242E-2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1.1381246931768568E-2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9.7279444414352031E-3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8.3147621877029381E-3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87"/>
  <sheetViews>
    <sheetView workbookViewId="0"/>
  </sheetViews>
  <sheetFormatPr defaultColWidth="8" defaultRowHeight="12.75" x14ac:dyDescent="0.2"/>
  <cols>
    <col min="1" max="2" width="8" style="2" customWidth="1"/>
    <col min="3" max="3" width="9.5" style="2" customWidth="1"/>
    <col min="4" max="4" width="8" style="2" customWidth="1"/>
    <col min="5" max="5" width="11.75" style="2" customWidth="1"/>
    <col min="6" max="16384" width="8" style="2"/>
  </cols>
  <sheetData>
    <row r="1" spans="1:14" ht="18" x14ac:dyDescent="0.25">
      <c r="A1" s="143" t="str">
        <f>' T = Tb'!A1</f>
        <v>Cyclohexane</v>
      </c>
      <c r="E1" s="2" t="s">
        <v>0</v>
      </c>
      <c r="F1" s="5">
        <f>'T10#'!F1</f>
        <v>2</v>
      </c>
      <c r="G1" s="5">
        <f>'T10#'!G1</f>
        <v>0</v>
      </c>
      <c r="H1" s="5" t="str">
        <f>'T10#'!H1</f>
        <v xml:space="preserve">T = </v>
      </c>
      <c r="I1" s="5">
        <f>' T = Tb'!O16</f>
        <v>395.15552001711933</v>
      </c>
      <c r="J1" s="5" t="str">
        <f>'T10#'!J1</f>
        <v>K</v>
      </c>
      <c r="K1" s="5" t="str">
        <f>'T10#'!K1</f>
        <v xml:space="preserve">VP D = </v>
      </c>
      <c r="L1" s="5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'T10#'!F2</f>
        <v>3.9300199999999998</v>
      </c>
      <c r="G2" s="5">
        <f>'T10#'!G2</f>
        <v>0</v>
      </c>
      <c r="H2" s="5" t="str">
        <f>'T10#'!H2</f>
        <v xml:space="preserve">1 - TR = </v>
      </c>
      <c r="I2" s="2">
        <f>1-I1/B3</f>
        <v>0.28607855462128395</v>
      </c>
      <c r="J2" s="5">
        <f>'T10#'!J2</f>
        <v>0</v>
      </c>
      <c r="K2" s="5" t="str">
        <f>'T10#'!K2</f>
        <v xml:space="preserve">VP E = </v>
      </c>
      <c r="L2" s="5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'T10#'!F3</f>
        <v>1182.77</v>
      </c>
      <c r="G3" s="5">
        <f>'T10#'!G3</f>
        <v>0</v>
      </c>
      <c r="H3" s="5" t="str">
        <f>'T10#'!H3</f>
        <v xml:space="preserve">P = </v>
      </c>
      <c r="I3" s="144">
        <f>10^(F2-F3/(I1+F4-273.15)+L1*I5^F5+L2*I5^8+L3*I5^12)</f>
        <v>3.0136125409209025</v>
      </c>
      <c r="J3" s="5" t="str">
        <f>'T10#'!J3</f>
        <v>bar</v>
      </c>
      <c r="K3" s="5" t="str">
        <f>'T10#'!K3</f>
        <v xml:space="preserve">VP F = </v>
      </c>
      <c r="L3" s="5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'T10#'!F4</f>
        <v>220.61799999999999</v>
      </c>
      <c r="G4" s="5">
        <f>'T10#'!G4</f>
        <v>0</v>
      </c>
      <c r="H4" s="5" t="str">
        <f>'T10#'!H4</f>
        <v xml:space="preserve">P = </v>
      </c>
      <c r="I4" s="2">
        <f>I3*100</f>
        <v>301.36125409209023</v>
      </c>
      <c r="J4" s="5" t="str">
        <f>'T10#'!J4</f>
        <v>kPa</v>
      </c>
      <c r="K4" s="5" t="str">
        <f>'T10#'!K4</f>
        <v xml:space="preserve">VP to = </v>
      </c>
      <c r="L4" s="5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'T10#'!F5</f>
        <v>3.4040699999999999</v>
      </c>
      <c r="G5" s="5">
        <f>'T10#'!G5</f>
        <v>0</v>
      </c>
      <c r="H5" s="5" t="str">
        <f>'T10#'!H5</f>
        <v xml:space="preserve">x = </v>
      </c>
      <c r="I5" s="2">
        <f>(I1-L4-273.15)/B3</f>
        <v>0.17525839208151645</v>
      </c>
      <c r="J5" s="5">
        <f>'T10#'!J5</f>
        <v>0</v>
      </c>
      <c r="K5" s="5">
        <f>'T10#'!K5</f>
        <v>0</v>
      </c>
      <c r="L5" s="5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8.5320172073036216E-4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H12" s="4" t="s">
        <v>32</v>
      </c>
      <c r="I12" s="190">
        <f>(2*B19)-B14-(B10*I1/I4)</f>
        <v>-11.043516625260624</v>
      </c>
      <c r="J12" s="17">
        <f>-(B18+B15+B16)</f>
        <v>-11.043516625260624</v>
      </c>
      <c r="K12" s="6"/>
    </row>
    <row r="13" spans="1:14" ht="18.75" x14ac:dyDescent="0.3">
      <c r="A13" s="13" t="s">
        <v>33</v>
      </c>
      <c r="B13" s="154">
        <v>2792.9565171684917</v>
      </c>
      <c r="C13" s="155">
        <f>' T = Tb'!P17</f>
        <v>2738.6745512165721</v>
      </c>
      <c r="E13" s="192">
        <f>ABS(B10*I1*LN((B16-B14)/(B15-B14))+B13*(1/(B16+B19)-1/(B15+B19))-I4*(B16-B15))</f>
        <v>1.2844331331507419E-4</v>
      </c>
      <c r="F13" s="21">
        <f>E13+E15+E16</f>
        <v>1.3168069967406382E-4</v>
      </c>
      <c r="H13" s="4" t="s">
        <v>34</v>
      </c>
      <c r="I13" s="190">
        <f>(B19^2)-(2*B19*B14)-(2*B10*I1*B19/I4)+(B13/I4)</f>
        <v>9.2678022779763776</v>
      </c>
      <c r="J13" s="17">
        <f>B15*B16+B15*B18+B18*B16</f>
        <v>9.2678022783013123</v>
      </c>
      <c r="K13" s="6"/>
      <c r="L13" s="26">
        <f>B13/B12</f>
        <v>1.273169493314646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0">
        <f>(-B14*(B19^2))-(B10*I1*(B19^2)/I4)-(B13*B14/I4)</f>
        <v>-1.3089608217700546</v>
      </c>
      <c r="J14" s="17">
        <f>-(B18*B15*B16)</f>
        <v>-1.3089608218281059</v>
      </c>
      <c r="K14" s="6"/>
      <c r="L14" s="26">
        <f>B15/B14</f>
        <v>1.264929117110722</v>
      </c>
      <c r="N14" s="4"/>
    </row>
    <row r="15" spans="1:14" ht="16.5" x14ac:dyDescent="0.3">
      <c r="A15" s="22" t="s">
        <v>37</v>
      </c>
      <c r="B15" s="23">
        <v>0.17865537124683364</v>
      </c>
      <c r="C15" s="23">
        <v>4.3774852878827923E-2</v>
      </c>
      <c r="D15" s="24" t="s">
        <v>38</v>
      </c>
      <c r="E15" s="25">
        <f>1000000*ABS(B15^3+I12*B15^2+I13*B15+I14)</f>
        <v>0</v>
      </c>
      <c r="K15" s="4"/>
      <c r="L15" s="26">
        <f>B16/B17</f>
        <v>0.93030823604691193</v>
      </c>
    </row>
    <row r="16" spans="1:14" ht="16.5" x14ac:dyDescent="0.3">
      <c r="A16" s="22" t="s">
        <v>39</v>
      </c>
      <c r="B16" s="23">
        <v>10.142480102312053</v>
      </c>
      <c r="C16" s="125">
        <f>B16-2*$B$14</f>
        <v>9.8600051891644966</v>
      </c>
      <c r="D16" s="24" t="s">
        <v>40</v>
      </c>
      <c r="E16" s="25">
        <f>1000*ABS(B16^3+I12*B16^2+I13*B16+I14)</f>
        <v>3.2373863589896246E-6</v>
      </c>
      <c r="L16" s="26"/>
    </row>
    <row r="17" spans="1:12" ht="16.5" x14ac:dyDescent="0.3">
      <c r="A17" s="27" t="s">
        <v>41</v>
      </c>
      <c r="B17" s="28">
        <f>B10*I1/I4</f>
        <v>10.902279168686846</v>
      </c>
      <c r="C17" s="125"/>
      <c r="D17" s="24" t="s">
        <v>42</v>
      </c>
      <c r="E17" s="29">
        <f>1000*ABS(B18^3+I12*B18^2+I13*B18+I14)</f>
        <v>1.7667467488990951E-7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0.72238115170173778</v>
      </c>
      <c r="C18" s="125">
        <f>B18-2*$B$14</f>
        <v>0.43990623855418065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32853845.129945256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345.52063608334794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-116.58993152729622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-159.15183723367809</v>
      </c>
      <c r="C24" s="262"/>
      <c r="J24" s="5"/>
    </row>
    <row r="25" spans="1:12" ht="15.75" x14ac:dyDescent="0.25">
      <c r="A25" s="262">
        <f t="shared" si="1"/>
        <v>0.26466493733374402</v>
      </c>
      <c r="B25">
        <f t="shared" si="0"/>
        <v>-132.53237903271565</v>
      </c>
      <c r="C25" s="262"/>
      <c r="J25" s="17"/>
      <c r="K25" s="17"/>
    </row>
    <row r="26" spans="1:12" ht="15.75" x14ac:dyDescent="0.25">
      <c r="A26" s="262">
        <f t="shared" si="1"/>
        <v>0.30965797668048051</v>
      </c>
      <c r="B26">
        <f t="shared" si="0"/>
        <v>-96.193963523378585</v>
      </c>
      <c r="C26" s="262"/>
      <c r="J26" s="5"/>
      <c r="K26" s="17"/>
    </row>
    <row r="27" spans="1:12" ht="15.75" x14ac:dyDescent="0.25">
      <c r="A27" s="262">
        <f t="shared" si="1"/>
        <v>0.36229983271616217</v>
      </c>
      <c r="B27">
        <f t="shared" si="0"/>
        <v>-64.154260991902234</v>
      </c>
      <c r="C27" s="262"/>
      <c r="J27" s="17"/>
      <c r="K27" s="17"/>
    </row>
    <row r="28" spans="1:12" ht="15.75" x14ac:dyDescent="0.25">
      <c r="A28" s="262">
        <f t="shared" si="1"/>
        <v>0.42389080427790971</v>
      </c>
      <c r="B28">
        <f t="shared" si="0"/>
        <v>-39.198980521531958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-20.92489652013839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-8.1127425458377829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0.51094357371698607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6.04177889308753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9.3512276154180931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11.104090408284533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11.794164232069834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11.781014012732472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11.322029153397766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10.598402434615734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9.7353692580261253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8.8175959249768265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7.9006862310128918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7.0196785553906214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6.1952564525377758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5.4382464173455709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4.7528461066206349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4.138919613912674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3.5936122501322165</v>
      </c>
      <c r="C47" s="262"/>
    </row>
    <row r="48" spans="1:11" ht="15.75" x14ac:dyDescent="0.25">
      <c r="A48" s="262">
        <f t="shared" si="1"/>
        <v>9.794251012802432</v>
      </c>
      <c r="B48">
        <f t="shared" si="0"/>
        <v>3.1124724231696881</v>
      </c>
      <c r="C48" s="262"/>
    </row>
    <row r="49" spans="1:3" ht="15.75" x14ac:dyDescent="0.25">
      <c r="A49" s="262">
        <f t="shared" si="1"/>
        <v>11.459273684978845</v>
      </c>
      <c r="B49">
        <f t="shared" si="0"/>
        <v>2.6902189838017239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2.3212554552056686</v>
      </c>
      <c r="C50" s="262"/>
    </row>
    <row r="51" spans="1:3" ht="15.75" x14ac:dyDescent="0.25">
      <c r="A51" s="262">
        <f t="shared" si="1"/>
        <v>15.68659974736754</v>
      </c>
      <c r="B51">
        <f t="shared" si="0"/>
        <v>2.0000050579614426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1.7211201020433686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1.4796043580596139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1.2708760714375966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1.090791306076152</v>
      </c>
      <c r="C55" s="262"/>
    </row>
    <row r="56" spans="1:3" ht="15.75" x14ac:dyDescent="0.25">
      <c r="A56" s="262">
        <f t="shared" si="1"/>
        <v>34.392054802928065</v>
      </c>
      <c r="B56">
        <f t="shared" si="0"/>
        <v>0.93564151736832046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0.80213507595952105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0.68736946102871888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0.58879869614574565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0.50419907709600031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0.43163516733964191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0.36942728716714074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0.31612120543513095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0.27046039139450256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0.23136095030144538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0.19788921539742141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0.16924187540429744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0.14472846296776487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0.1237560027158478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0.10581560873031817</v>
      </c>
      <c r="C70" s="262"/>
    </row>
    <row r="71" spans="1:3" ht="15.75" x14ac:dyDescent="0.25">
      <c r="A71" s="262">
        <f t="shared" si="1"/>
        <v>362.44828600328191</v>
      </c>
      <c r="B71">
        <f t="shared" si="0"/>
        <v>9.0470823896919794E-2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7.7347503376792401E-2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6.6125058279330823E-2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5.6528891452185322E-2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4.8323873769062414E-2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4.1308725510693041E-2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3.5311182858774263E-2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3.0183843850302497E-2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2.5800601221832545E-2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2.2053581365630782E-2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1.8850519145273664E-2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1.6112507640783823E-2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1.3772070099809493E-2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1.177150855959147E-2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1.0061489875537587E-2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8.5998353451128638E-3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87"/>
  <sheetViews>
    <sheetView workbookViewId="0"/>
  </sheetViews>
  <sheetFormatPr defaultColWidth="8" defaultRowHeight="12.75" x14ac:dyDescent="0.2"/>
  <cols>
    <col min="1" max="2" width="8" style="2"/>
    <col min="3" max="3" width="8.375" style="2" bestFit="1" customWidth="1"/>
    <col min="4" max="4" width="8" style="2"/>
    <col min="5" max="5" width="12.5" style="2" customWidth="1"/>
    <col min="6" max="16384" width="8" style="2"/>
  </cols>
  <sheetData>
    <row r="1" spans="1:14" ht="18" x14ac:dyDescent="0.25">
      <c r="A1" s="143" t="str">
        <f>' T = Tb'!A1</f>
        <v>Cyclohexane</v>
      </c>
      <c r="E1" s="2" t="s">
        <v>0</v>
      </c>
      <c r="F1" s="2">
        <f>'T10#'!F1</f>
        <v>2</v>
      </c>
      <c r="G1" s="2">
        <f>'T10#'!G1</f>
        <v>0</v>
      </c>
      <c r="H1" s="2" t="str">
        <f>'T10#'!H1</f>
        <v xml:space="preserve">T = </v>
      </c>
      <c r="I1" s="2">
        <f>' T = Tb'!O17</f>
        <v>408.69846849057387</v>
      </c>
      <c r="J1" s="2" t="str">
        <f>'T10#'!J1</f>
        <v>K</v>
      </c>
      <c r="K1" s="2" t="str">
        <f>'T10#'!K1</f>
        <v xml:space="preserve">VP D = </v>
      </c>
      <c r="L1" s="2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'T10#'!F2</f>
        <v>3.9300199999999998</v>
      </c>
      <c r="G2" s="2">
        <f>'T10#'!G2</f>
        <v>0</v>
      </c>
      <c r="H2" s="2" t="str">
        <f>'T10#'!H2</f>
        <v xml:space="preserve">1 - TR = </v>
      </c>
      <c r="I2" s="2">
        <f>1-I1/B3</f>
        <v>0.26161071636752686</v>
      </c>
      <c r="J2" s="2">
        <f>'T10#'!J2</f>
        <v>0</v>
      </c>
      <c r="K2" s="2" t="str">
        <f>'T10#'!K2</f>
        <v xml:space="preserve">VP E = </v>
      </c>
      <c r="L2" s="2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'T10#'!F3</f>
        <v>1182.77</v>
      </c>
      <c r="G3" s="2">
        <f>'T10#'!G3</f>
        <v>0</v>
      </c>
      <c r="H3" s="2" t="str">
        <f>'T10#'!H3</f>
        <v xml:space="preserve">P = </v>
      </c>
      <c r="I3" s="144">
        <f>10^(F2-F3/(I1+F4-273.15)+L1*I5^F5+L2*I5^8+L3*I5^12)</f>
        <v>4.0833336596706147</v>
      </c>
      <c r="J3" s="2" t="str">
        <f>'T10#'!J3</f>
        <v>bar</v>
      </c>
      <c r="K3" s="2" t="str">
        <f>'T10#'!K3</f>
        <v xml:space="preserve">VP F = </v>
      </c>
      <c r="L3" s="2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'T10#'!F4</f>
        <v>220.61799999999999</v>
      </c>
      <c r="G4" s="2">
        <f>'T10#'!G4</f>
        <v>0</v>
      </c>
      <c r="H4" s="2" t="str">
        <f>'T10#'!H4</f>
        <v xml:space="preserve">P = </v>
      </c>
      <c r="I4" s="2">
        <f>I3*100</f>
        <v>408.33336596706147</v>
      </c>
      <c r="J4" s="2" t="str">
        <f>'T10#'!J4</f>
        <v>kPa</v>
      </c>
      <c r="K4" s="2" t="str">
        <f>'T10#'!K4</f>
        <v xml:space="preserve">VP to = </v>
      </c>
      <c r="L4" s="2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tr">
        <f>'T10#'!E5</f>
        <v xml:space="preserve">VP n = </v>
      </c>
      <c r="F5" s="2">
        <f>'T10#'!F5</f>
        <v>3.4040699999999999</v>
      </c>
      <c r="G5" s="2">
        <f>'T10#'!G5</f>
        <v>0</v>
      </c>
      <c r="H5" s="2" t="str">
        <f>'T10#'!H5</f>
        <v xml:space="preserve">x = </v>
      </c>
      <c r="I5" s="2">
        <f>(I1-L4-273.15)/B3</f>
        <v>0.19972623033527354</v>
      </c>
      <c r="J5" s="2">
        <f>'T10#'!J5</f>
        <v>0</v>
      </c>
      <c r="K5" s="2">
        <f>'T10#'!K5</f>
        <v>0</v>
      </c>
      <c r="L5" s="2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6.2968633470322929E-4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H12" s="4" t="s">
        <v>32</v>
      </c>
      <c r="I12" s="190">
        <f>(2*B19)-B14-(B10*I1/I4)</f>
        <v>-8.4631816974068279</v>
      </c>
      <c r="J12" s="17">
        <f>-(B18+B15+B16)</f>
        <v>-8.4631816974068279</v>
      </c>
      <c r="K12" s="6"/>
    </row>
    <row r="13" spans="1:14" ht="18.75" x14ac:dyDescent="0.3">
      <c r="A13" s="13" t="s">
        <v>33</v>
      </c>
      <c r="B13" s="154">
        <v>2736.0189936276879</v>
      </c>
      <c r="C13" s="155">
        <f>' T = Tb'!P16</f>
        <v>2796.1018258708873</v>
      </c>
      <c r="E13" s="192">
        <f>ABS(B10*I1*LN((B16-B14)/(B15-B14))+B13*(1/(B16+B19)-1/(B15+B19))-I4*(B16-B15))</f>
        <v>4.2234805187035818E-4</v>
      </c>
      <c r="F13" s="21">
        <f>E13+E15+E16</f>
        <v>4.2490240693116021E-4</v>
      </c>
      <c r="H13" s="4" t="s">
        <v>34</v>
      </c>
      <c r="I13" s="190">
        <f>(B19^2)-(2*B19*B14)-(2*B10*I1*B19/I4)+(B13/I4)</f>
        <v>6.7004541427760547</v>
      </c>
      <c r="J13" s="17">
        <f>B15*B16+B15*B18+B18*B16</f>
        <v>6.7004541430736921</v>
      </c>
      <c r="K13" s="6"/>
      <c r="L13" s="26">
        <f>B13/B12</f>
        <v>1.2472145178069973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0">
        <f>(-B14*(B19^2))-(B10*I1*(B19^2)/I4)-(B13*B14/I4)</f>
        <v>-0.9463551010149277</v>
      </c>
      <c r="J14" s="17">
        <f>-(B18*B15*B16)</f>
        <v>-0.94635510106953979</v>
      </c>
      <c r="K14" s="6"/>
      <c r="L14" s="26">
        <f>B15/B14</f>
        <v>1.2908546641929597</v>
      </c>
      <c r="N14" s="4"/>
    </row>
    <row r="15" spans="1:14" ht="16.5" x14ac:dyDescent="0.3">
      <c r="A15" s="22" t="s">
        <v>37</v>
      </c>
      <c r="B15" s="23">
        <v>0.18231702957701265</v>
      </c>
      <c r="C15" s="125">
        <f>B15-2*$B$14</f>
        <v>-0.10015788357054448</v>
      </c>
      <c r="D15" s="24" t="s">
        <v>38</v>
      </c>
      <c r="E15" s="25">
        <f>1000000*ABS(B15^3+I12*B15^2+I13*B15+I14)</f>
        <v>3.4761082901013651E-7</v>
      </c>
      <c r="K15" s="4"/>
      <c r="L15" s="26">
        <f>B16/B17</f>
        <v>0.91296773073950388</v>
      </c>
    </row>
    <row r="16" spans="1:14" ht="16.5" x14ac:dyDescent="0.3">
      <c r="A16" s="22" t="s">
        <v>39</v>
      </c>
      <c r="B16" s="23">
        <v>7.5976665488940327</v>
      </c>
      <c r="C16" s="125">
        <f>B16-2*$B$14</f>
        <v>7.3151916357464755</v>
      </c>
      <c r="D16" s="24" t="s">
        <v>40</v>
      </c>
      <c r="E16" s="25">
        <f>1000*ABS(B16^3+I12*B16^2+I13*B16+I14)</f>
        <v>2.2067442317919017E-6</v>
      </c>
      <c r="L16" s="26"/>
    </row>
    <row r="17" spans="1:12" ht="16.5" x14ac:dyDescent="0.3">
      <c r="A17" s="27" t="s">
        <v>41</v>
      </c>
      <c r="B17" s="28">
        <f>B10*I1/I4</f>
        <v>8.3219442408330497</v>
      </c>
      <c r="C17" s="125"/>
      <c r="D17" s="24" t="s">
        <v>42</v>
      </c>
      <c r="E17" s="29">
        <f>1000*ABS(B18^3+I12*B18^2+I13*B18+I14)</f>
        <v>1.4873313691765588E-7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0.68319811893578297</v>
      </c>
      <c r="C18" s="125">
        <f>B18-2*$B$14</f>
        <v>0.40072320578822584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33979903.477606289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413.26671409591739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-79.746950393042937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-134.77306120870387</v>
      </c>
      <c r="C24" s="262"/>
      <c r="J24" s="5"/>
    </row>
    <row r="25" spans="1:12" ht="15.75" x14ac:dyDescent="0.25">
      <c r="A25" s="262">
        <f t="shared" si="1"/>
        <v>0.26466493733374402</v>
      </c>
      <c r="B25">
        <f t="shared" si="0"/>
        <v>-115.28095890405861</v>
      </c>
      <c r="C25" s="262"/>
      <c r="J25" s="17"/>
      <c r="K25" s="17"/>
    </row>
    <row r="26" spans="1:12" ht="15.75" x14ac:dyDescent="0.25">
      <c r="A26" s="262">
        <f t="shared" si="1"/>
        <v>0.30965797668048051</v>
      </c>
      <c r="B26">
        <f t="shared" si="0"/>
        <v>-83.570224679119562</v>
      </c>
      <c r="C26" s="262"/>
      <c r="J26" s="5"/>
      <c r="K26" s="17"/>
    </row>
    <row r="27" spans="1:12" ht="15.75" x14ac:dyDescent="0.25">
      <c r="A27" s="262">
        <f t="shared" si="1"/>
        <v>0.36229983271616217</v>
      </c>
      <c r="B27">
        <f t="shared" si="0"/>
        <v>-54.722813269062641</v>
      </c>
      <c r="C27" s="262"/>
      <c r="J27" s="17"/>
      <c r="K27" s="17"/>
    </row>
    <row r="28" spans="1:12" ht="15.75" x14ac:dyDescent="0.25">
      <c r="A28" s="262">
        <f t="shared" si="1"/>
        <v>0.42389080427790971</v>
      </c>
      <c r="B28">
        <f t="shared" si="0"/>
        <v>-32.046427781778803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-15.435602425366124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-3.8568964303835673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3.8405227219014524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8.6683559214668371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11.439202285026949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12.775826680457353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13.141597703778572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12.873812177149555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12.213411474186428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11.329338660496067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10.337636247900209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9.3160212739550623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8.314806934192978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7.3649754801356213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6.4840790480103507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5.6805097961905702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4.9565598722236972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4.3105916168824203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3.7385588557499627</v>
      </c>
      <c r="C47" s="262"/>
    </row>
    <row r="48" spans="1:11" ht="15.75" x14ac:dyDescent="0.25">
      <c r="A48" s="262">
        <f t="shared" si="1"/>
        <v>9.794251012802432</v>
      </c>
      <c r="B48">
        <f t="shared" si="0"/>
        <v>3.2350585049597114</v>
      </c>
      <c r="C48" s="262"/>
    </row>
    <row r="49" spans="1:3" ht="15.75" x14ac:dyDescent="0.25">
      <c r="A49" s="262">
        <f t="shared" si="1"/>
        <v>11.459273684978845</v>
      </c>
      <c r="B49">
        <f t="shared" si="0"/>
        <v>2.7940447919775022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2.4093030887509217</v>
      </c>
      <c r="C50" s="262"/>
    </row>
    <row r="51" spans="1:3" ht="15.75" x14ac:dyDescent="0.25">
      <c r="A51" s="262">
        <f t="shared" si="1"/>
        <v>15.68659974736754</v>
      </c>
      <c r="B51">
        <f t="shared" si="0"/>
        <v>2.0747540342448572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1.7846391402896244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1.5336247382419004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1.3168506296701243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1.1299421596654178</v>
      </c>
      <c r="C55" s="262"/>
    </row>
    <row r="56" spans="1:3" ht="15.75" x14ac:dyDescent="0.25">
      <c r="A56" s="262">
        <f t="shared" si="1"/>
        <v>34.392054802928065</v>
      </c>
      <c r="B56">
        <f t="shared" si="0"/>
        <v>0.96899888910577814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0.83056904382637764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0.71161604939423773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0.60948141347952278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0.52184676799736618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0.44669686476178233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0.38228461037082506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0.32709874028358388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0.27983440453582437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0.23936672193208783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0.20472722242695351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0.17508301476145177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0.14971847109048103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0.12801920012207879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0.10945807657240998</v>
      </c>
      <c r="C70" s="262"/>
    </row>
    <row r="71" spans="1:3" ht="15.75" x14ac:dyDescent="0.25">
      <c r="A71" s="262">
        <f t="shared" si="1"/>
        <v>362.44828600328191</v>
      </c>
      <c r="B71">
        <f t="shared" si="0"/>
        <v>9.3583101485516296E-2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8.0006880989995768E-2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6.8397527503828937E-2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5.8470805330518072E-2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4.9983360754000249E-2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4.2726894339383176E-2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3.6523149705342262E-2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3.1219608295155851E-2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2.6685793527067951E-2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2.2810100137389214E-2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1.949707558856479E-2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1.6665090182496366E-2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1.4244341099126557E-2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1.2175143082136811E-2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1.0406465028735112E-2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8.8946774161676959E-3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87"/>
  <sheetViews>
    <sheetView topLeftCell="A9" workbookViewId="0">
      <selection activeCell="B13" sqref="B13:B16"/>
    </sheetView>
  </sheetViews>
  <sheetFormatPr defaultColWidth="8" defaultRowHeight="12.75" x14ac:dyDescent="0.2"/>
  <cols>
    <col min="1" max="2" width="8" style="2" customWidth="1"/>
    <col min="3" max="3" width="9" style="2" customWidth="1"/>
    <col min="4" max="4" width="8" style="2" customWidth="1"/>
    <col min="5" max="5" width="11.375" style="2" customWidth="1"/>
    <col min="6" max="16384" width="8" style="2"/>
  </cols>
  <sheetData>
    <row r="1" spans="1:14" ht="18" x14ac:dyDescent="0.25">
      <c r="A1" s="143" t="str">
        <f>' T = Tb'!A1</f>
        <v>Cyclohexane</v>
      </c>
      <c r="E1" s="2" t="s">
        <v>0</v>
      </c>
      <c r="F1" s="5">
        <f>'T10#'!F1</f>
        <v>2</v>
      </c>
      <c r="G1" s="5">
        <f>'T10#'!G1</f>
        <v>0</v>
      </c>
      <c r="H1" s="5" t="str">
        <f>'T10#'!H1</f>
        <v xml:space="preserve">T = </v>
      </c>
      <c r="I1" s="5">
        <f>' T = Tb'!$O$18</f>
        <v>422.70556701144949</v>
      </c>
      <c r="J1" s="5" t="str">
        <f>'T10#'!J1</f>
        <v>K</v>
      </c>
      <c r="K1" s="5" t="str">
        <f>'T10#'!K1</f>
        <v xml:space="preserve">VP D = </v>
      </c>
      <c r="L1" s="5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'T10#'!F2</f>
        <v>3.9300199999999998</v>
      </c>
      <c r="G2" s="5">
        <f>'T10#'!G2</f>
        <v>0</v>
      </c>
      <c r="H2" s="5" t="str">
        <f>'T10#'!H2</f>
        <v xml:space="preserve">1 - TR = </v>
      </c>
      <c r="I2" s="2">
        <f>1-I1/B3</f>
        <v>0.23630430530903435</v>
      </c>
      <c r="J2" s="5">
        <f>'T10#'!J2</f>
        <v>0</v>
      </c>
      <c r="K2" s="5" t="str">
        <f>'T10#'!K2</f>
        <v xml:space="preserve">VP E = </v>
      </c>
      <c r="L2" s="5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'T10#'!F3</f>
        <v>1182.77</v>
      </c>
      <c r="G3" s="5">
        <f>'T10#'!G3</f>
        <v>0</v>
      </c>
      <c r="H3" s="5" t="str">
        <f>'T10#'!H3</f>
        <v xml:space="preserve">P = </v>
      </c>
      <c r="I3" s="144">
        <f>10^(F2-F3/(I1+F4-273.15)+L1*I5^F5+L2*I5^8+L3*I5^12)</f>
        <v>5.4653241467681433</v>
      </c>
      <c r="J3" s="5" t="str">
        <f>'T10#'!J3</f>
        <v>bar</v>
      </c>
      <c r="K3" s="5" t="str">
        <f>'T10#'!K3</f>
        <v xml:space="preserve">VP F = </v>
      </c>
      <c r="L3" s="5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'T10#'!F4</f>
        <v>220.61799999999999</v>
      </c>
      <c r="G4" s="5">
        <f>'T10#'!G4</f>
        <v>0</v>
      </c>
      <c r="H4" s="5" t="str">
        <f>'T10#'!H4</f>
        <v xml:space="preserve">P = </v>
      </c>
      <c r="I4" s="2">
        <f>I3*100</f>
        <v>546.53241467681437</v>
      </c>
      <c r="J4" s="5" t="str">
        <f>'T10#'!J4</f>
        <v>kPa</v>
      </c>
      <c r="K4" s="5" t="str">
        <f>'T10#'!K4</f>
        <v xml:space="preserve">VP to = </v>
      </c>
      <c r="L4" s="5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'T10#'!F5</f>
        <v>3.4040699999999999</v>
      </c>
      <c r="G5" s="5">
        <f>'T10#'!G5</f>
        <v>0</v>
      </c>
      <c r="H5" s="5" t="str">
        <f>'T10#'!H5</f>
        <v xml:space="preserve">x = </v>
      </c>
      <c r="I5" s="2">
        <f>(I1-L4-273.15)/B3</f>
        <v>0.22503264139376605</v>
      </c>
      <c r="J5" s="5">
        <f>'T10#'!J5</f>
        <v>0</v>
      </c>
      <c r="K5" s="5">
        <f>'T10#'!K5</f>
        <v>0</v>
      </c>
      <c r="L5" s="5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4.7046055027656023E-4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H12" s="4" t="s">
        <v>32</v>
      </c>
      <c r="I12" s="190">
        <f>(2*B19)-B14-(B10*I1/I4)</f>
        <v>-6.571944162324578</v>
      </c>
      <c r="J12" s="17">
        <f>-(B18+B15+B16)</f>
        <v>-6.571944162324578</v>
      </c>
      <c r="K12" s="6"/>
    </row>
    <row r="13" spans="1:14" ht="18.75" x14ac:dyDescent="0.3">
      <c r="A13" s="13" t="s">
        <v>33</v>
      </c>
      <c r="B13" s="154">
        <v>2678.9243050311352</v>
      </c>
      <c r="C13" s="38">
        <f>' T = Tb'!P18</f>
        <v>2680.5195982640239</v>
      </c>
      <c r="E13" s="192">
        <f>ABS(B10*I1*LN((B16-B14)/(B15-B14))+B13*(1/(B16+B19)-1/(B15+B19))-I4*(B16-B15))</f>
        <v>1.3441955779853743E-3</v>
      </c>
      <c r="F13" s="21">
        <f>E13+E15+E16</f>
        <v>1.6917798726652222E-3</v>
      </c>
      <c r="H13" s="4" t="s">
        <v>34</v>
      </c>
      <c r="I13" s="190">
        <f>(B19^2)-(2*B19*B14)-(2*B10*I1*B19/I4)+(B13/I4)</f>
        <v>4.9016750573070516</v>
      </c>
      <c r="J13" s="17">
        <f>B15*B16+B15*B18+B18*B16</f>
        <v>4.9016750573696539</v>
      </c>
      <c r="K13" s="6"/>
      <c r="L13" s="26">
        <f>B13/B12</f>
        <v>1.2211878985937754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0">
        <f>(-B14*(B19^2))-(B10*I1*(B19^2)/I4)-(B13*B14/I4)</f>
        <v>-0.69230011804517821</v>
      </c>
      <c r="J14" s="17">
        <f>-(B18*B15*B16)</f>
        <v>-0.69230011805687108</v>
      </c>
      <c r="K14" s="6"/>
      <c r="L14" s="26">
        <f>B15/B14</f>
        <v>1.321130544867239</v>
      </c>
      <c r="N14" s="4"/>
    </row>
    <row r="15" spans="1:14" ht="16.5" x14ac:dyDescent="0.3">
      <c r="A15" s="22" t="s">
        <v>37</v>
      </c>
      <c r="B15" s="23">
        <v>0.18659311795897909</v>
      </c>
      <c r="C15" s="125">
        <f>B15-2*$B$14</f>
        <v>-9.5881795188578034E-2</v>
      </c>
      <c r="D15" s="24" t="s">
        <v>38</v>
      </c>
      <c r="E15" s="25">
        <f>1000000*ABS(B15^3+I12*B15^2+I13*B15+I14)</f>
        <v>1.1879386363489175E-8</v>
      </c>
      <c r="K15" s="4"/>
      <c r="L15" s="26">
        <f>B16/B17</f>
        <v>0.89241236024642934</v>
      </c>
    </row>
    <row r="16" spans="1:14" ht="16.5" x14ac:dyDescent="0.3">
      <c r="A16" s="22" t="s">
        <v>39</v>
      </c>
      <c r="B16" s="23">
        <v>5.738842149331612</v>
      </c>
      <c r="C16" s="125">
        <f>B16-2*$B$14</f>
        <v>5.4563672361840547</v>
      </c>
      <c r="D16" s="24" t="s">
        <v>40</v>
      </c>
      <c r="E16" s="25">
        <f>1000000*ABS(B16^3+I12*B16^2+I13*B16+I14)</f>
        <v>3.4757241529348448E-4</v>
      </c>
      <c r="L16" s="26"/>
    </row>
    <row r="17" spans="1:12" ht="16.5" x14ac:dyDescent="0.3">
      <c r="A17" s="27" t="s">
        <v>41</v>
      </c>
      <c r="B17" s="28">
        <f>B10*I1/I4</f>
        <v>6.4307067057507998</v>
      </c>
      <c r="C17" s="125"/>
      <c r="D17" s="24" t="s">
        <v>42</v>
      </c>
      <c r="E17" s="29">
        <f>1000*ABS(B18^3+I12*B18^2+I13*B18+I14)</f>
        <v>2.8779867378148083E-8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0.64650889503398723</v>
      </c>
      <c r="C18" s="125">
        <f>B18-2*$B$14</f>
        <v>0.3640339818864301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35144553.706161305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482.67756559290166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-42.121254408992684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-109.90939989878498</v>
      </c>
      <c r="C24" s="262"/>
    </row>
    <row r="25" spans="1:12" ht="15.75" x14ac:dyDescent="0.25">
      <c r="A25" s="262">
        <f t="shared" si="1"/>
        <v>0.26466493733374402</v>
      </c>
      <c r="B25">
        <f t="shared" si="0"/>
        <v>-97.694434032700599</v>
      </c>
      <c r="C25" s="262"/>
    </row>
    <row r="26" spans="1:12" ht="15.75" x14ac:dyDescent="0.25">
      <c r="A26" s="262">
        <f t="shared" si="1"/>
        <v>0.30965797668048051</v>
      </c>
      <c r="B26">
        <f t="shared" si="0"/>
        <v>-70.700955813820613</v>
      </c>
      <c r="C26" s="262"/>
      <c r="K26" s="17"/>
    </row>
    <row r="27" spans="1:12" ht="15.75" x14ac:dyDescent="0.25">
      <c r="A27" s="262">
        <f t="shared" si="1"/>
        <v>0.36229983271616217</v>
      </c>
      <c r="B27">
        <f t="shared" si="0"/>
        <v>-45.104817818435166</v>
      </c>
      <c r="C27" s="262"/>
      <c r="K27" s="17"/>
    </row>
    <row r="28" spans="1:12" ht="15.75" x14ac:dyDescent="0.25">
      <c r="A28" s="262">
        <f t="shared" si="1"/>
        <v>0.42389080427790971</v>
      </c>
      <c r="B28">
        <f t="shared" si="0"/>
        <v>-24.748594230970738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-9.8311219806437471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0.49152049616455767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7.2452874921700001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11.356515323603471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13.577963453645298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14.489682121250812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14.524125238381517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13.995964897208523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13.129427722445508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12.081004195794158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10.957387367730599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9.8292226237866931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8.7414358165624222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7.7208758424455395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6.7819012336253675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5.9304193534013754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5.1667756201715713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4.4877967487579955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3.8882170980998634</v>
      </c>
      <c r="C47" s="262"/>
    </row>
    <row r="48" spans="1:11" ht="15.75" x14ac:dyDescent="0.25">
      <c r="A48" s="262">
        <f t="shared" si="1"/>
        <v>9.794251012802432</v>
      </c>
      <c r="B48">
        <f t="shared" si="0"/>
        <v>3.3616588724981584</v>
      </c>
      <c r="C48" s="262"/>
    </row>
    <row r="49" spans="1:3" ht="15.75" x14ac:dyDescent="0.25">
      <c r="A49" s="262">
        <f t="shared" si="1"/>
        <v>11.459273684978845</v>
      </c>
      <c r="B49">
        <f t="shared" si="0"/>
        <v>2.9012923300269606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2.5002685167558023</v>
      </c>
      <c r="C50" s="262"/>
    </row>
    <row r="51" spans="1:3" ht="15.75" x14ac:dyDescent="0.25">
      <c r="A51" s="262">
        <f t="shared" si="1"/>
        <v>15.68659974736754</v>
      </c>
      <c r="B51">
        <f t="shared" si="0"/>
        <v>2.1519919258679812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1.8502818660625515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1.5894576180203002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1.3643724235157901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1.1704140439898132</v>
      </c>
      <c r="C55" s="262"/>
    </row>
    <row r="56" spans="1:3" ht="15.75" x14ac:dyDescent="0.25">
      <c r="A56" s="262">
        <f t="shared" si="1"/>
        <v>34.392054802928065</v>
      </c>
      <c r="B56">
        <f t="shared" si="0"/>
        <v>1.0034843306384831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0.85996643223845326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0.73668553278866566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0.63086706473714005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0.54009496863576123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0.46227160773804066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0.39558028024975128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0.33845081810234745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0.28952845785923959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0.24764597228419027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0.21179892820954754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0.18112386469375896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0.15487914867759348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0.13242825182156065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0.11322519375447568</v>
      </c>
      <c r="C70" s="262"/>
    </row>
    <row r="71" spans="1:3" ht="15.75" x14ac:dyDescent="0.25">
      <c r="A71" s="262">
        <f t="shared" si="1"/>
        <v>362.44828600328191</v>
      </c>
      <c r="B71">
        <f t="shared" si="0"/>
        <v>9.6801907878283883E-2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8.2757302221071513E-2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7.0747806934587057E-2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6.0479220114623151E-2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5.1699683531137818E-2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4.4193638877185144E-2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3.7776632870621808E-2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3.2290855764013783E-2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2.7601312466122629E-2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2.3592538570528138E-2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2.016578519524451E-2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1.7236606764551941E-2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1.4732794829005896E-2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1.2592608844991195E-2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1.0763261642835227E-2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9.1996232181350071E-3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87"/>
  <sheetViews>
    <sheetView workbookViewId="0">
      <selection activeCell="L5" sqref="E1:L5"/>
    </sheetView>
  </sheetViews>
  <sheetFormatPr defaultColWidth="8" defaultRowHeight="12.75" x14ac:dyDescent="0.2"/>
  <cols>
    <col min="1" max="2" width="8" style="2"/>
    <col min="3" max="3" width="8.375" style="2" bestFit="1" customWidth="1"/>
    <col min="4" max="4" width="8" style="2"/>
    <col min="5" max="5" width="10.375" style="2" customWidth="1"/>
    <col min="6" max="16384" width="8" style="2"/>
  </cols>
  <sheetData>
    <row r="1" spans="1:14" ht="18" x14ac:dyDescent="0.25">
      <c r="A1" s="143" t="str">
        <f>' T = Tb'!A1</f>
        <v>Cyclohexane</v>
      </c>
      <c r="E1" s="2" t="s">
        <v>0</v>
      </c>
      <c r="F1" s="5">
        <f>'T10#'!F1</f>
        <v>2</v>
      </c>
      <c r="G1" s="5">
        <f>'T10#'!G1</f>
        <v>0</v>
      </c>
      <c r="H1" s="5" t="str">
        <f>'T10#'!H1</f>
        <v xml:space="preserve">T = </v>
      </c>
      <c r="I1" s="5">
        <f>' T = Tb'!$O$19</f>
        <v>437.19272313982765</v>
      </c>
      <c r="J1" s="5" t="str">
        <f>'T10#'!J1</f>
        <v>K</v>
      </c>
      <c r="K1" s="5" t="str">
        <f>'T10#'!K1</f>
        <v xml:space="preserve">VP D = </v>
      </c>
      <c r="L1" s="5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'T10#'!F2</f>
        <v>3.9300199999999998</v>
      </c>
      <c r="G2" s="5">
        <f>'T10#'!G2</f>
        <v>0</v>
      </c>
      <c r="H2" s="5" t="str">
        <f>'T10#'!H2</f>
        <v xml:space="preserve">1 - TR = </v>
      </c>
      <c r="I2" s="2">
        <f>1-I1/B3</f>
        <v>0.21013058149985975</v>
      </c>
      <c r="J2" s="5">
        <f>'T10#'!J2</f>
        <v>0</v>
      </c>
      <c r="K2" s="5" t="str">
        <f>'T10#'!K2</f>
        <v xml:space="preserve">VP E = </v>
      </c>
      <c r="L2" s="5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'T10#'!F3</f>
        <v>1182.77</v>
      </c>
      <c r="G3" s="5">
        <f>'T10#'!G3</f>
        <v>0</v>
      </c>
      <c r="H3" s="5" t="str">
        <f>'T10#'!H3</f>
        <v xml:space="preserve">P = </v>
      </c>
      <c r="I3" s="144">
        <f>10^(F2-F3/(I1+F4-273.15)+L1*I5^F5+L2*I5^8+L3*I5^12)</f>
        <v>7.2322144341739794</v>
      </c>
      <c r="J3" s="5" t="str">
        <f>'T10#'!J3</f>
        <v>bar</v>
      </c>
      <c r="K3" s="5" t="str">
        <f>'T10#'!K3</f>
        <v xml:space="preserve">VP F = </v>
      </c>
      <c r="L3" s="5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'T10#'!F4</f>
        <v>220.61799999999999</v>
      </c>
      <c r="G4" s="5">
        <f>'T10#'!G4</f>
        <v>0</v>
      </c>
      <c r="H4" s="5" t="str">
        <f>'T10#'!H4</f>
        <v xml:space="preserve">P = </v>
      </c>
      <c r="I4" s="2">
        <f>I3*100</f>
        <v>723.22144341739795</v>
      </c>
      <c r="J4" s="5" t="str">
        <f>'T10#'!J4</f>
        <v>kPa</v>
      </c>
      <c r="K4" s="5" t="str">
        <f>'T10#'!K4</f>
        <v xml:space="preserve">VP to = </v>
      </c>
      <c r="L4" s="5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'T10#'!F5</f>
        <v>3.4040699999999999</v>
      </c>
      <c r="G5" s="5">
        <f>'T10#'!G5</f>
        <v>0</v>
      </c>
      <c r="H5" s="5" t="str">
        <f>'T10#'!H5</f>
        <v xml:space="preserve">x = </v>
      </c>
      <c r="I5" s="2">
        <f>(I1-L4-273.15)/B3</f>
        <v>0.25120636520294071</v>
      </c>
      <c r="J5" s="5">
        <f>'T10#'!J5</f>
        <v>0</v>
      </c>
      <c r="K5" s="5">
        <f>'T10#'!K5</f>
        <v>0</v>
      </c>
      <c r="L5" s="5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3.555231152133257E-4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H12" s="4" t="s">
        <v>32</v>
      </c>
      <c r="I12" s="190">
        <f>(2*B19)-B14-(B10*I1/I4)</f>
        <v>-5.1674203796033575</v>
      </c>
      <c r="J12" s="17">
        <f>-(B18+B15+B16)</f>
        <v>-5.1674203796033575</v>
      </c>
      <c r="K12" s="6"/>
    </row>
    <row r="13" spans="1:14" ht="18.75" x14ac:dyDescent="0.3">
      <c r="A13" s="13" t="s">
        <v>33</v>
      </c>
      <c r="B13" s="154">
        <v>2621.6182330722486</v>
      </c>
      <c r="C13" s="155">
        <f>' T = Tb'!P19</f>
        <v>2621.6703291407352</v>
      </c>
      <c r="E13" s="192">
        <f>ABS(B10*I1*LN((B16-B14)/(B15-B14))+B13*(1/(B16+B19)-1/(B15+B19))-I4*(B16-B15))</f>
        <v>4.179093174116133E-3</v>
      </c>
      <c r="F13" s="21">
        <f>E13+E15+E16</f>
        <v>4.5824494114157233E-3</v>
      </c>
      <c r="H13" s="4" t="s">
        <v>34</v>
      </c>
      <c r="I13" s="190">
        <f>(B19^2)-(2*B19*B14)-(2*B10*I1*B19/I4)+(B13/I4)</f>
        <v>3.6249177301553202</v>
      </c>
      <c r="J13" s="17">
        <f>B15*B16+B15*B18+B18*B16</f>
        <v>3.624917730252001</v>
      </c>
      <c r="K13" s="6"/>
      <c r="L13" s="26">
        <f>B13/B12</f>
        <v>1.1950649202547803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0">
        <f>(-B14*(B19^2))-(B10*I1*(B19^2)/I4)-(B13*B14/I4)</f>
        <v>-0.51197416049633204</v>
      </c>
      <c r="J14" s="17">
        <f>-(B18*B15*B16)</f>
        <v>-0.51197416051502886</v>
      </c>
      <c r="K14" s="6"/>
      <c r="L14" s="26">
        <f>B15/B14</f>
        <v>1.3570046502867785</v>
      </c>
      <c r="N14" s="4"/>
    </row>
    <row r="15" spans="1:14" ht="16.5" x14ac:dyDescent="0.3">
      <c r="A15" s="22" t="s">
        <v>37</v>
      </c>
      <c r="B15" s="23">
        <v>0.19165988536529444</v>
      </c>
      <c r="C15" s="125">
        <f>B15-2*$B$14</f>
        <v>-9.0815027782262692E-2</v>
      </c>
      <c r="D15" s="24" t="s">
        <v>38</v>
      </c>
      <c r="E15" s="25">
        <f>1000000*ABS(B15^3+I12*B15^2+I13*B15+I14)</f>
        <v>1.6686652060116103E-7</v>
      </c>
      <c r="K15" s="4"/>
      <c r="L15" s="26">
        <f>B16/B17</f>
        <v>0.86817158623699842</v>
      </c>
    </row>
    <row r="16" spans="1:14" ht="16.5" x14ac:dyDescent="0.3">
      <c r="A16" s="22" t="s">
        <v>39</v>
      </c>
      <c r="B16" s="23">
        <v>4.3635892010039035</v>
      </c>
      <c r="C16" s="125">
        <f>B16-2*$B$14</f>
        <v>4.0811142878563462</v>
      </c>
      <c r="D16" s="24" t="s">
        <v>40</v>
      </c>
      <c r="E16" s="25">
        <f>1000000*ABS(B16^3+I12*B16^2+I13*B16+I14)</f>
        <v>4.0318937077898909E-4</v>
      </c>
      <c r="L16" s="26"/>
    </row>
    <row r="17" spans="1:12" ht="16.5" x14ac:dyDescent="0.3">
      <c r="A17" s="27" t="s">
        <v>41</v>
      </c>
      <c r="B17" s="28">
        <f>B10*I1/I4</f>
        <v>5.0261829230295794</v>
      </c>
      <c r="C17" s="125"/>
      <c r="D17" s="24" t="s">
        <v>42</v>
      </c>
      <c r="E17" s="29">
        <f>1000*ABS(B18^3+I12*B18^2+I13*B18+I14)</f>
        <v>4.0488390418147446E-8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0.61217129323415964</v>
      </c>
      <c r="C18" s="125">
        <f>B18-2*$B$14</f>
        <v>0.32969638008660251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36349118.478463426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553.82812884082261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-3.6729546844268044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-84.534692154025691</v>
      </c>
      <c r="C24" s="262"/>
    </row>
    <row r="25" spans="1:12" ht="15.75" x14ac:dyDescent="0.25">
      <c r="A25" s="262">
        <f t="shared" si="1"/>
        <v>0.26466493733374402</v>
      </c>
      <c r="B25">
        <f t="shared" si="0"/>
        <v>-79.75434830880215</v>
      </c>
      <c r="C25" s="262"/>
    </row>
    <row r="26" spans="1:12" ht="15.75" x14ac:dyDescent="0.25">
      <c r="A26" s="262">
        <f t="shared" si="1"/>
        <v>0.30965797668048051</v>
      </c>
      <c r="B26">
        <f t="shared" si="0"/>
        <v>-57.572649420029371</v>
      </c>
      <c r="C26" s="262"/>
      <c r="K26" s="17"/>
    </row>
    <row r="27" spans="1:12" ht="15.75" x14ac:dyDescent="0.25">
      <c r="A27" s="262">
        <f t="shared" si="1"/>
        <v>0.36229983271616217</v>
      </c>
      <c r="B27">
        <f t="shared" si="0"/>
        <v>-35.29016098480799</v>
      </c>
      <c r="C27" s="262"/>
      <c r="K27" s="17"/>
    </row>
    <row r="28" spans="1:12" ht="15.75" x14ac:dyDescent="0.25">
      <c r="A28" s="262">
        <f t="shared" si="1"/>
        <v>0.42389080427790971</v>
      </c>
      <c r="B28">
        <f t="shared" si="0"/>
        <v>-17.297783077740043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-4.1055221785929827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4.9371311428028459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10.728874129568249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14.109141620603232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15.769817074354464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16.247513272116457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15.943251307982001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15.148698630589884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14.071083172169429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12.854227103952748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11.595307763926662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10.357769151732075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9.1810474165865479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8.0877765439934564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7.0890559165891753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6.1882550173300475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5.3837292473234148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4.6707341824663162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4.0427554249176589</v>
      </c>
      <c r="C47" s="262"/>
    </row>
    <row r="48" spans="1:11" ht="15.75" x14ac:dyDescent="0.25">
      <c r="A48" s="262">
        <f t="shared" si="1"/>
        <v>9.794251012802432</v>
      </c>
      <c r="B48">
        <f t="shared" si="0"/>
        <v>3.492416195705268</v>
      </c>
      <c r="C48" s="262"/>
    </row>
    <row r="49" spans="1:3" ht="15.75" x14ac:dyDescent="0.25">
      <c r="A49" s="262">
        <f t="shared" si="1"/>
        <v>11.459273684978845</v>
      </c>
      <c r="B49">
        <f t="shared" si="0"/>
        <v>3.0120825877054034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2.594254455738672</v>
      </c>
      <c r="C50" s="262"/>
    </row>
    <row r="51" spans="1:3" ht="15.75" x14ac:dyDescent="0.25">
      <c r="A51" s="262">
        <f t="shared" si="1"/>
        <v>15.68659974736754</v>
      </c>
      <c r="B51">
        <f t="shared" si="0"/>
        <v>2.2318060185371973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1.918122513026663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1.6471661752151858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1.4134952541575938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1.2122527991550796</v>
      </c>
      <c r="C55" s="262"/>
    </row>
    <row r="56" spans="1:3" ht="15.75" x14ac:dyDescent="0.25">
      <c r="A56" s="262">
        <f t="shared" si="1"/>
        <v>34.392054802928065</v>
      </c>
      <c r="B56">
        <f t="shared" si="0"/>
        <v>1.0391369165291213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0.89036056156880106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0.76260633415695045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0.65297990213050849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0.55896437752315475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0.47837706548460729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0.40932938276095071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0.35019032123099886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0.2995535534085827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0.25620809860319055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0.21911236004218199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0.18737128282489462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0.16021635452520397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0.1369881635640533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0.11712123740341968</v>
      </c>
      <c r="C70" s="262"/>
    </row>
    <row r="71" spans="1:3" ht="15.75" x14ac:dyDescent="0.25">
      <c r="A71" s="262">
        <f t="shared" si="1"/>
        <v>362.44828600328191</v>
      </c>
      <c r="B71">
        <f t="shared" si="0"/>
        <v>0.10013089779567858</v>
      </c>
      <c r="C71" s="262"/>
    </row>
    <row r="72" spans="1:3" ht="15.75" x14ac:dyDescent="0.25">
      <c r="A72" s="262">
        <f t="shared" si="1"/>
        <v>424.06449462383978</v>
      </c>
      <c r="B72">
        <f t="shared" si="0"/>
        <v>8.5601890073451675E-2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7.3178565301803736E-2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6.2556416402674189E-2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5.3474791060999817E-2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4.571062470605157E-2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3.907305578555291E-2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3.3398802759778655E-2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2.8548197708554771E-2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2.4401785215614858E-2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2.0857407369412072E-2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1.7827706420456536E-2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1.5237985997151107E-2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1.3024379941386135E-2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1.1132284914100676E-2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9.5150190641129177E-3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87"/>
  <sheetViews>
    <sheetView tabSelected="1" workbookViewId="0">
      <selection activeCell="N5" sqref="N5"/>
    </sheetView>
  </sheetViews>
  <sheetFormatPr defaultColWidth="8" defaultRowHeight="12.75" x14ac:dyDescent="0.2"/>
  <cols>
    <col min="1" max="2" width="8" style="2"/>
    <col min="3" max="3" width="8.375" style="2" bestFit="1" customWidth="1"/>
    <col min="4" max="4" width="8" style="2"/>
    <col min="5" max="5" width="11.125" style="2" customWidth="1"/>
    <col min="6" max="16384" width="8" style="2"/>
  </cols>
  <sheetData>
    <row r="1" spans="1:14" ht="18" x14ac:dyDescent="0.25">
      <c r="A1" s="1" t="str">
        <f>' T = Tb'!A1</f>
        <v>Cyclohexane</v>
      </c>
      <c r="E1" s="2" t="s">
        <v>0</v>
      </c>
      <c r="F1" s="5">
        <f>'T10#'!F1</f>
        <v>2</v>
      </c>
      <c r="G1" s="5">
        <f>'T10#'!G1</f>
        <v>0</v>
      </c>
      <c r="H1" s="5" t="str">
        <f>'T10#'!H1</f>
        <v xml:space="preserve">T = </v>
      </c>
      <c r="I1" s="5">
        <f>' T = Tb'!$O$20</f>
        <v>452.1763896268742</v>
      </c>
      <c r="J1" s="5" t="str">
        <f>'T10#'!J1</f>
        <v>K</v>
      </c>
      <c r="K1" s="5" t="str">
        <f>'T10#'!K1</f>
        <v xml:space="preserve">VP D = </v>
      </c>
      <c r="L1" s="5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'T10#'!F2</f>
        <v>3.9300199999999998</v>
      </c>
      <c r="G2" s="5">
        <f>'T10#'!G2</f>
        <v>0</v>
      </c>
      <c r="H2" s="5" t="str">
        <f>'T10#'!H2</f>
        <v xml:space="preserve">1 - TR = </v>
      </c>
      <c r="I2" s="2">
        <f>1-I1/B3</f>
        <v>0.18305982000564736</v>
      </c>
      <c r="J2" s="5">
        <f>'T10#'!J2</f>
        <v>0</v>
      </c>
      <c r="K2" s="5" t="str">
        <f>'T10#'!K2</f>
        <v xml:space="preserve">VP E = </v>
      </c>
      <c r="L2" s="5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'T10#'!F3</f>
        <v>1182.77</v>
      </c>
      <c r="G3" s="5">
        <f>'T10#'!G3</f>
        <v>0</v>
      </c>
      <c r="H3" s="5" t="str">
        <f>'T10#'!H3</f>
        <v xml:space="preserve">P = </v>
      </c>
      <c r="I3" s="144">
        <f>10^(F2-F3/(I1+F4-273.15)+L1*I5^F5+L2*I5^8+L3*I5^12)</f>
        <v>9.4706375657707227</v>
      </c>
      <c r="J3" s="5" t="str">
        <f>'T10#'!J3</f>
        <v>bar</v>
      </c>
      <c r="K3" s="5" t="str">
        <f>'T10#'!K3</f>
        <v xml:space="preserve">VP F = </v>
      </c>
      <c r="L3" s="5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'T10#'!F4</f>
        <v>220.61799999999999</v>
      </c>
      <c r="G4" s="5">
        <f>'T10#'!G4</f>
        <v>0</v>
      </c>
      <c r="H4" s="5" t="str">
        <f>'T10#'!H4</f>
        <v xml:space="preserve">P = </v>
      </c>
      <c r="I4" s="2">
        <f>I3*100</f>
        <v>947.06375657707224</v>
      </c>
      <c r="J4" s="5" t="str">
        <f>'T10#'!J4</f>
        <v>kPa</v>
      </c>
      <c r="K4" s="5" t="str">
        <f>'T10#'!K4</f>
        <v xml:space="preserve">VP to = </v>
      </c>
      <c r="L4" s="5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'T10#'!F5</f>
        <v>3.4040699999999999</v>
      </c>
      <c r="G5" s="5">
        <f>'T10#'!G5</f>
        <v>0</v>
      </c>
      <c r="H5" s="5" t="str">
        <f>'T10#'!H5</f>
        <v xml:space="preserve">x = </v>
      </c>
      <c r="I5" s="2">
        <f>(I1-L4-273.15)/B3</f>
        <v>0.27827712669715304</v>
      </c>
      <c r="J5" s="5">
        <f>'T10#'!J5</f>
        <v>0</v>
      </c>
      <c r="K5" s="5">
        <f>'T10#'!K5</f>
        <v>0</v>
      </c>
      <c r="L5" s="5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2.7149380257368832E-4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v>1601.9820369453239</v>
      </c>
      <c r="C12" s="15"/>
      <c r="E12" s="16" t="s">
        <v>14</v>
      </c>
      <c r="H12" s="4" t="s">
        <v>32</v>
      </c>
      <c r="I12" s="190">
        <f>(2*B19)-B14-(B10*I1/I4)</f>
        <v>-4.1110072711264722</v>
      </c>
      <c r="J12" s="17">
        <f>-(B18+B15+B16)</f>
        <v>-4.1110072711264722</v>
      </c>
      <c r="K12" s="6"/>
    </row>
    <row r="13" spans="1:14" ht="18.75" x14ac:dyDescent="0.3">
      <c r="A13" s="13" t="s">
        <v>33</v>
      </c>
      <c r="B13" s="154">
        <v>2563.9927684110266</v>
      </c>
      <c r="C13" s="155">
        <f>' T = Tb'!P20</f>
        <v>2562.1629893910299</v>
      </c>
      <c r="E13" s="192">
        <f>ABS(B10*I1*LN((B16-B14)/(B15-B14))+B13*(1/(B16+B19)-1/(B15+B19))-I4*(B16-B15))</f>
        <v>1.2773596024089784E-2</v>
      </c>
      <c r="F13" s="21">
        <f>E13+E15+E16</f>
        <v>1.2933139735665122E-2</v>
      </c>
      <c r="H13" s="4" t="s">
        <v>34</v>
      </c>
      <c r="I13" s="190">
        <f>(B19^2)-(2*B19*B14)-(2*B10*I1*B19/I4)+(B13/I4)</f>
        <v>2.7073074548623257</v>
      </c>
      <c r="J13" s="17">
        <f>B15*B16+B15*B18+B18*B16</f>
        <v>2.7073074549132108</v>
      </c>
      <c r="K13" s="6"/>
      <c r="L13" s="26">
        <f>B13/B12</f>
        <v>1.6005128080587439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0">
        <f>(-B14*(B19^2))-(B10*I1*(B19^2)/I4)-(B13*B14/I4)</f>
        <v>-0.38237321908798472</v>
      </c>
      <c r="J14" s="17">
        <f>-(B18*B15*B16)</f>
        <v>-0.38237321909852118</v>
      </c>
      <c r="K14" s="6"/>
      <c r="L14" s="26">
        <f>B15/B14</f>
        <v>1.4003094605382505</v>
      </c>
      <c r="N14" s="4"/>
    </row>
    <row r="15" spans="1:14" ht="16.5" x14ac:dyDescent="0.3">
      <c r="A15" s="22" t="s">
        <v>37</v>
      </c>
      <c r="B15" s="23">
        <v>0.19777614662262244</v>
      </c>
      <c r="C15" s="125">
        <f>B15-2*$B$14</f>
        <v>-8.4698766524934688E-2</v>
      </c>
      <c r="D15" s="24" t="s">
        <v>38</v>
      </c>
      <c r="E15" s="25">
        <f>1000000*ABS(B15^3+I12*B15^2+I13*B15+I14)</f>
        <v>4.7251091928046662E-7</v>
      </c>
      <c r="K15" s="4"/>
      <c r="L15" s="26">
        <f>B16/B17</f>
        <v>0.83964530069309107</v>
      </c>
    </row>
    <row r="16" spans="1:14" ht="16.5" x14ac:dyDescent="0.3">
      <c r="A16" s="22" t="s">
        <v>39</v>
      </c>
      <c r="B16" s="25">
        <v>3.3331985696224531</v>
      </c>
      <c r="C16" s="125">
        <f>B16-2*$B$14</f>
        <v>3.0507236564748959</v>
      </c>
      <c r="D16" s="24" t="s">
        <v>40</v>
      </c>
      <c r="E16" s="25">
        <f>1000000*ABS(B16^3+I12*B16^2+I13*B16+I14)</f>
        <v>1.5907120065605795E-4</v>
      </c>
      <c r="L16" s="26"/>
    </row>
    <row r="17" spans="1:12" ht="16.5" x14ac:dyDescent="0.3">
      <c r="A17" s="27" t="s">
        <v>41</v>
      </c>
      <c r="B17" s="28">
        <f>B10*I1/I4</f>
        <v>3.9697698145526941</v>
      </c>
      <c r="C17" s="125"/>
      <c r="D17" s="24" t="s">
        <v>42</v>
      </c>
      <c r="E17" s="29">
        <f>1000*ABS(B18^3+I12*B18^2+I13*B18+I14)</f>
        <v>1.8978596472152276E-8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0.58003255488139649</v>
      </c>
      <c r="C18" s="125">
        <f>B18-2*$B$14</f>
        <v>0.29755764173383936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37594965.81429825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626.81492840562726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35.653097654511654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-58.611731271142347</v>
      </c>
      <c r="C24" s="262"/>
    </row>
    <row r="25" spans="1:12" ht="15.75" x14ac:dyDescent="0.25">
      <c r="A25" s="262">
        <f t="shared" si="1"/>
        <v>0.26466493733374402</v>
      </c>
      <c r="B25">
        <f t="shared" si="0"/>
        <v>-61.434199143340521</v>
      </c>
      <c r="C25" s="262"/>
      <c r="J25" s="5"/>
      <c r="K25" s="17"/>
    </row>
    <row r="26" spans="1:12" ht="15.75" x14ac:dyDescent="0.25">
      <c r="A26" s="262">
        <f t="shared" si="1"/>
        <v>0.30965797668048051</v>
      </c>
      <c r="B26">
        <f t="shared" si="0"/>
        <v>-44.165919069031844</v>
      </c>
      <c r="C26" s="262"/>
      <c r="J26" s="5"/>
      <c r="K26" s="17"/>
    </row>
    <row r="27" spans="1:12" ht="15.75" x14ac:dyDescent="0.25">
      <c r="A27" s="262">
        <f t="shared" si="1"/>
        <v>0.36229983271616217</v>
      </c>
      <c r="B27">
        <f t="shared" si="0"/>
        <v>-25.264426042143167</v>
      </c>
      <c r="C27" s="262"/>
      <c r="J27" s="17"/>
      <c r="K27" s="17"/>
    </row>
    <row r="28" spans="1:12" ht="15.75" x14ac:dyDescent="0.25">
      <c r="A28" s="262">
        <f t="shared" si="1"/>
        <v>0.42389080427790971</v>
      </c>
      <c r="B28">
        <f t="shared" si="0"/>
        <v>-9.6831435016906831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1.7494446871757099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9.4862592342647716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14.296170229701692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16.930041282909087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18.017749409100578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18.051679544605509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17.400852818770844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16.333516270132169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15.039588783990039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13.649988916522121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12.252197443274767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10.902316295552103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9.6341813005908605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8.4661237122012061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7.4059134367058688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6.4543253203513924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5.6076786225048307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4.8596200618685996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4.2023554679623896</v>
      </c>
      <c r="C47" s="262"/>
    </row>
    <row r="48" spans="1:11" ht="15.75" x14ac:dyDescent="0.25">
      <c r="A48" s="262">
        <f t="shared" si="1"/>
        <v>9.794251012802432</v>
      </c>
      <c r="B48">
        <f t="shared" si="0"/>
        <v>3.6274834479167861</v>
      </c>
      <c r="C48" s="262"/>
    </row>
    <row r="49" spans="1:3" ht="15.75" x14ac:dyDescent="0.25">
      <c r="A49" s="262">
        <f t="shared" si="1"/>
        <v>11.459273684978845</v>
      </c>
      <c r="B49">
        <f t="shared" si="0"/>
        <v>3.1265446562142438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2.6913700316221241</v>
      </c>
      <c r="C50" s="262"/>
    </row>
    <row r="51" spans="1:3" ht="15.75" x14ac:dyDescent="0.25">
      <c r="A51" s="262">
        <f t="shared" si="1"/>
        <v>15.68659974736754</v>
      </c>
      <c r="B51">
        <f t="shared" si="0"/>
        <v>2.3142886999495658</v>
      </c>
      <c r="C51" s="262"/>
    </row>
    <row r="52" spans="1:3" ht="15.75" x14ac:dyDescent="0.25">
      <c r="A52" s="262">
        <f t="shared" si="1"/>
        <v>18.353321704420019</v>
      </c>
      <c r="B52">
        <f t="shared" si="0"/>
        <v>1.9882394007617317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1.7068168791717631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1.4642755894295811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1.2555064373516922</v>
      </c>
      <c r="C55" s="262"/>
    </row>
    <row r="56" spans="1:3" ht="15.75" x14ac:dyDescent="0.25">
      <c r="A56" s="262">
        <f t="shared" si="1"/>
        <v>34.392054802928065</v>
      </c>
      <c r="B56">
        <f t="shared" si="0"/>
        <v>1.0759974995834063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0.92178621490206547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0.7894080848734859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0.67584518021759843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0.57847652759737633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0.4950316041263334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0.4235475876202468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0.36233062226276608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0.30992110590306871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0.26506284621355947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0.22667583933938873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0.19383237568762535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0.16573615836535527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0.14170412006650435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0.12115063664532176</v>
      </c>
      <c r="C70" s="262"/>
    </row>
    <row r="71" spans="1:3" ht="15.75" x14ac:dyDescent="0.25">
      <c r="A71" s="262">
        <f t="shared" si="1"/>
        <v>362.44828600328191</v>
      </c>
      <c r="B71">
        <f t="shared" si="0"/>
        <v>0.10357385516759722</v>
      </c>
      <c r="C71" s="262"/>
    </row>
    <row r="72" spans="1:3" ht="15.75" x14ac:dyDescent="0.25">
      <c r="A72" s="262">
        <f t="shared" si="1"/>
        <v>424.06449462383978</v>
      </c>
      <c r="B72">
        <f t="shared" si="0"/>
        <v>8.8543877471426599E-2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7.5692564909235413E-2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6.4704754495649594E-2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5.5310700225571115E-2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4.7279575313927652E-2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4.0413891266329383E-2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3.4544707916771909E-2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2.9527524876556629E-2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2.5238759310232534E-2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2.1572727712900239E-2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1.8439060552671506E-2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1.5760488413762656E-2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1.3470946779589243E-2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1.1513953974587867E-2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9.8412231717922485E-3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87"/>
  <sheetViews>
    <sheetView workbookViewId="0">
      <selection activeCell="L5" sqref="E1:L5"/>
    </sheetView>
  </sheetViews>
  <sheetFormatPr defaultColWidth="8" defaultRowHeight="12.75" x14ac:dyDescent="0.2"/>
  <cols>
    <col min="1" max="2" width="8" style="2"/>
    <col min="3" max="3" width="10.625" style="2" bestFit="1" customWidth="1"/>
    <col min="4" max="16384" width="8" style="2"/>
  </cols>
  <sheetData>
    <row r="1" spans="1:14" ht="18" x14ac:dyDescent="0.25">
      <c r="A1" s="1" t="str">
        <f>' T = Tb'!A1</f>
        <v>Cyclohexane</v>
      </c>
      <c r="E1" s="2" t="s">
        <v>0</v>
      </c>
      <c r="F1" s="5">
        <f>'T10#'!F1</f>
        <v>2</v>
      </c>
      <c r="G1" s="5">
        <f>'T10#'!G1</f>
        <v>0</v>
      </c>
      <c r="H1" s="5" t="str">
        <f>'T10#'!H1</f>
        <v xml:space="preserve">T = </v>
      </c>
      <c r="I1" s="5">
        <f>' T = Tb'!$O$21</f>
        <v>467.6735830998748</v>
      </c>
      <c r="J1" s="5" t="str">
        <f>'T10#'!J1</f>
        <v>K</v>
      </c>
      <c r="K1" s="5" t="str">
        <f>'T10#'!K1</f>
        <v xml:space="preserve">VP D = </v>
      </c>
      <c r="L1" s="5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'T10#'!F2</f>
        <v>3.9300199999999998</v>
      </c>
      <c r="G2" s="5">
        <f>'T10#'!G2</f>
        <v>0</v>
      </c>
      <c r="H2" s="5" t="str">
        <f>'T10#'!H2</f>
        <v xml:space="preserve">1 - TR = </v>
      </c>
      <c r="I2" s="2">
        <f>1-I1/B3</f>
        <v>0.15506127714566431</v>
      </c>
      <c r="J2" s="5">
        <f>'T10#'!J2</f>
        <v>0</v>
      </c>
      <c r="K2" s="5" t="str">
        <f>'T10#'!K2</f>
        <v xml:space="preserve">VP E = </v>
      </c>
      <c r="L2" s="5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'T10#'!F3</f>
        <v>1182.77</v>
      </c>
      <c r="G3" s="5">
        <f>'T10#'!G3</f>
        <v>0</v>
      </c>
      <c r="H3" s="5" t="str">
        <f>'T10#'!H3</f>
        <v xml:space="preserve">P = </v>
      </c>
      <c r="I3" s="144">
        <f>10^(F2-F3/(I1+F4-273.15)+L1*I5^F5+L2*I5^8+L3*I5^12)</f>
        <v>12.284868054237537</v>
      </c>
      <c r="J3" s="5" t="str">
        <f>'T10#'!J3</f>
        <v>bar</v>
      </c>
      <c r="K3" s="5" t="str">
        <f>'T10#'!K3</f>
        <v xml:space="preserve">VP F = </v>
      </c>
      <c r="L3" s="5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'T10#'!F4</f>
        <v>220.61799999999999</v>
      </c>
      <c r="G4" s="5">
        <f>'T10#'!G4</f>
        <v>0</v>
      </c>
      <c r="H4" s="5" t="str">
        <f>'T10#'!H4</f>
        <v xml:space="preserve">P = </v>
      </c>
      <c r="I4" s="2">
        <f>I3*100</f>
        <v>1228.4868054237536</v>
      </c>
      <c r="J4" s="5" t="str">
        <f>'T10#'!J4</f>
        <v>kPa</v>
      </c>
      <c r="K4" s="5" t="str">
        <f>'T10#'!K4</f>
        <v xml:space="preserve">VP to = </v>
      </c>
      <c r="L4" s="5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'T10#'!F5</f>
        <v>3.4040699999999999</v>
      </c>
      <c r="G5" s="5">
        <f>'T10#'!G5</f>
        <v>0</v>
      </c>
      <c r="H5" s="5" t="str">
        <f>'T10#'!H5</f>
        <v xml:space="preserve">x = </v>
      </c>
      <c r="I5" s="2">
        <f>(I1-L4-273.15)/B3</f>
        <v>0.30627566955713609</v>
      </c>
      <c r="J5" s="5">
        <f>'T10#'!J5</f>
        <v>0</v>
      </c>
      <c r="K5" s="5">
        <f>'T10#'!K5</f>
        <v>0</v>
      </c>
      <c r="L5" s="5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2.0929971686927461E-4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H12" s="4" t="s">
        <v>32</v>
      </c>
      <c r="I12" s="190">
        <f>(2*B19)-B14-(B10*I1/I4)</f>
        <v>-3.3064946382155882</v>
      </c>
      <c r="J12" s="17">
        <f>-(B18+B15+B16)</f>
        <v>-3.3064946382155882</v>
      </c>
      <c r="K12" s="6"/>
    </row>
    <row r="13" spans="1:14" ht="18.75" x14ac:dyDescent="0.3">
      <c r="A13" s="13" t="s">
        <v>33</v>
      </c>
      <c r="B13" s="154">
        <v>2505.8574756560688</v>
      </c>
      <c r="C13" s="14">
        <f>' T = Tb'!P21</f>
        <v>2502.0367610720259</v>
      </c>
      <c r="E13" s="192">
        <f>ABS(B10*I1*LN((B16-B14)/(B15-B14))+B13*(1/(B16+B19)-1/(B15+B19))-I4*(B16-B15))</f>
        <v>3.8394879723455233E-2</v>
      </c>
      <c r="F13" s="21">
        <f>E13+E15+E16</f>
        <v>3.8497780577959162E-2</v>
      </c>
      <c r="H13" s="4" t="s">
        <v>34</v>
      </c>
      <c r="I13" s="190">
        <f>(B19^2)-(2*B19*B14)-(2*B10*I1*B19/I4)+(B13/I4)</f>
        <v>2.0397919331267866</v>
      </c>
      <c r="J13" s="17">
        <f>B15*B16+B15*B18+B18*B16</f>
        <v>2.0397919331706511</v>
      </c>
      <c r="K13" s="6"/>
      <c r="L13" s="26">
        <f>B13/B12</f>
        <v>1.1422953680045738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0">
        <f>(-B14*(B19^2))-(B10*I1*(B19^2)/I4)-(B13*B14/I4)</f>
        <v>-0.28809502457453834</v>
      </c>
      <c r="J14" s="17">
        <f>-(B18*B15*B16)</f>
        <v>-0.28809502458375336</v>
      </c>
      <c r="K14" s="6"/>
      <c r="L14" s="26">
        <f>B15/B14</f>
        <v>1.4538884268556522</v>
      </c>
      <c r="N14" s="4"/>
    </row>
    <row r="15" spans="1:14" ht="16.5" x14ac:dyDescent="0.3">
      <c r="A15" s="22" t="s">
        <v>37</v>
      </c>
      <c r="B15" s="23">
        <v>0.20534350355114442</v>
      </c>
      <c r="C15" s="125">
        <f>B15-2*$B$14</f>
        <v>-7.7131409596412709E-2</v>
      </c>
      <c r="D15" s="24" t="s">
        <v>38</v>
      </c>
      <c r="E15" s="25">
        <f>1000000*ABS(B15^3+I12*B15^2+I13*B15+I14)</f>
        <v>2.0772272790736679E-7</v>
      </c>
      <c r="K15" s="4"/>
      <c r="L15" s="26">
        <f>B16/B17</f>
        <v>0.80600790385338295</v>
      </c>
    </row>
    <row r="16" spans="1:14" ht="16.5" x14ac:dyDescent="0.3">
      <c r="A16" s="22" t="s">
        <v>39</v>
      </c>
      <c r="B16" s="23">
        <v>2.5512223061319816</v>
      </c>
      <c r="C16" s="125">
        <f>B16-2*$B$14</f>
        <v>2.2687473929844244</v>
      </c>
      <c r="D16" s="24" t="s">
        <v>40</v>
      </c>
      <c r="E16" s="25">
        <f>1000000*ABS(B16^3+I12*B16^2+I13*B16+I14)</f>
        <v>1.0269313177602157E-4</v>
      </c>
      <c r="L16" s="26"/>
    </row>
    <row r="17" spans="1:12" ht="16.5" x14ac:dyDescent="0.3">
      <c r="A17" s="27" t="s">
        <v>41</v>
      </c>
      <c r="B17" s="28">
        <f>B10*I1/I4</f>
        <v>3.1652571816418096</v>
      </c>
      <c r="C17" s="125"/>
      <c r="D17" s="24" t="s">
        <v>42</v>
      </c>
      <c r="E17" s="29">
        <f>1000*ABS(B18^3+I12*B18^2+I13*B18+I14)</f>
        <v>1.4907242107398133E-8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0.54992882853246217</v>
      </c>
      <c r="C18" s="125">
        <f>B18-2*$B$14</f>
        <v>0.26745391538490504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38883510.658307575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701.76662609405287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75.935001622316193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-32.086650727427696</v>
      </c>
      <c r="C24" s="262"/>
    </row>
    <row r="25" spans="1:12" ht="15.75" x14ac:dyDescent="0.25">
      <c r="A25" s="262">
        <f t="shared" si="1"/>
        <v>0.26466493733374402</v>
      </c>
      <c r="B25">
        <f t="shared" si="0"/>
        <v>-42.69533694001337</v>
      </c>
      <c r="C25" s="262"/>
      <c r="J25" s="5"/>
      <c r="K25" s="17"/>
    </row>
    <row r="26" spans="1:12" ht="15.75" x14ac:dyDescent="0.25">
      <c r="A26" s="262">
        <f t="shared" si="1"/>
        <v>0.30965797668048051</v>
      </c>
      <c r="B26">
        <f t="shared" si="0"/>
        <v>-30.452503890065781</v>
      </c>
      <c r="C26" s="262"/>
      <c r="J26" s="5"/>
      <c r="K26" s="17"/>
    </row>
    <row r="27" spans="1:12" ht="15.75" x14ac:dyDescent="0.25">
      <c r="A27" s="262">
        <f t="shared" si="1"/>
        <v>0.36229983271616217</v>
      </c>
      <c r="B27">
        <f t="shared" si="0"/>
        <v>-15.006704635818169</v>
      </c>
      <c r="C27" s="262"/>
      <c r="J27" s="17"/>
      <c r="K27" s="17"/>
    </row>
    <row r="28" spans="1:12" ht="15.75" x14ac:dyDescent="0.25">
      <c r="A28" s="262">
        <f t="shared" si="1"/>
        <v>0.42389080427790971</v>
      </c>
      <c r="B28">
        <f t="shared" si="0"/>
        <v>-1.8890715197823011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7.7455095754319885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14.147783294277906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17.953938889471956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19.824398948909778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20.325760536047373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19.905287054054316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18.899357408964637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17.552327542560132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16.036456591633726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14.469494424316395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12.929022350567623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11.463643147066714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10.101469448266261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8.8564327647397203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7.7328962742336138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6.7289781863004414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5.8389115037659405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5.0546933169592743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4.3672163180541617</v>
      </c>
      <c r="C47" s="262"/>
    </row>
    <row r="48" spans="1:11" ht="15.75" x14ac:dyDescent="0.25">
      <c r="A48" s="262">
        <f t="shared" si="1"/>
        <v>9.794251012802432</v>
      </c>
      <c r="B48">
        <f t="shared" si="0"/>
        <v>3.7670270518986282</v>
      </c>
      <c r="C48" s="262"/>
    </row>
    <row r="49" spans="1:3" ht="15.75" x14ac:dyDescent="0.25">
      <c r="A49" s="262">
        <f t="shared" si="1"/>
        <v>11.459273684978845</v>
      </c>
      <c r="B49">
        <f t="shared" si="0"/>
        <v>3.2448180461024019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2.7917324898255873</v>
      </c>
      <c r="C50" s="262"/>
    </row>
    <row r="51" spans="1:3" ht="15.75" x14ac:dyDescent="0.25">
      <c r="A51" s="262">
        <f t="shared" si="1"/>
        <v>15.68659974736754</v>
      </c>
      <c r="B51">
        <f t="shared" si="0"/>
        <v>2.3995387234273822</v>
      </c>
      <c r="C51" s="262"/>
    </row>
    <row r="52" spans="1:3" ht="15.75" x14ac:dyDescent="0.25">
      <c r="A52" s="262">
        <f t="shared" si="1"/>
        <v>18.353321704420019</v>
      </c>
      <c r="B52">
        <f t="shared" si="0"/>
        <v>2.0607158701633512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1.7684801845945071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1.5167730796567427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1.3002255273619803</v>
      </c>
      <c r="C55" s="262"/>
    </row>
    <row r="56" spans="1:3" ht="15.75" x14ac:dyDescent="0.25">
      <c r="A56" s="262">
        <f t="shared" si="1"/>
        <v>34.392054802928065</v>
      </c>
      <c r="B56">
        <f t="shared" si="0"/>
        <v>1.1141089983011117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0.95427985363110457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0.81712178703304228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0.69948927855618726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0.59865387932493352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0.5122543577032741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0.43825120273219598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0.37488562599326086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0.32064297525057661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0.27422033386777411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0.2344980015164736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0.20051451441582416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0.17144485332674286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0.14658149496831679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0.12531798060656901</v>
      </c>
      <c r="C70" s="262"/>
    </row>
    <row r="71" spans="1:3" ht="15.75" x14ac:dyDescent="0.25">
      <c r="A71" s="262">
        <f t="shared" si="1"/>
        <v>362.44828600328191</v>
      </c>
      <c r="B71">
        <f t="shared" si="0"/>
        <v>0.10713469960111138</v>
      </c>
      <c r="C71" s="262"/>
    </row>
    <row r="72" spans="1:3" ht="15.75" x14ac:dyDescent="0.25">
      <c r="A72" s="262">
        <f t="shared" si="1"/>
        <v>424.06449462383978</v>
      </c>
      <c r="B72">
        <f t="shared" si="0"/>
        <v>9.1586612517218405E-2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7.8292665929522651E-2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6.6926677923983643E-2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5.7209498736919599E-2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4.8902274503605021E-2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4.1800663516890192E-2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3.5729873671094634E-2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3.0540406942537571E-2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2.6104411951525068E-2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2.231255901140056E-2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1.9071363763731121E-2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1.6300895693329747E-2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1.3932816676469532E-2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1.190870239489694E-2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1.0178606089818475E-2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87"/>
  <sheetViews>
    <sheetView workbookViewId="0">
      <selection activeCell="E1" sqref="E1:L5"/>
    </sheetView>
  </sheetViews>
  <sheetFormatPr defaultColWidth="8" defaultRowHeight="12.75" x14ac:dyDescent="0.2"/>
  <cols>
    <col min="1" max="2" width="8" style="2"/>
    <col min="3" max="3" width="10.625" style="2" bestFit="1" customWidth="1"/>
    <col min="4" max="4" width="8" style="2"/>
    <col min="5" max="5" width="10.5" style="2" customWidth="1"/>
    <col min="6" max="16384" width="8" style="2"/>
  </cols>
  <sheetData>
    <row r="1" spans="1:14" ht="18" x14ac:dyDescent="0.25">
      <c r="A1" s="1" t="s">
        <v>134</v>
      </c>
      <c r="E1" s="2" t="s">
        <v>0</v>
      </c>
      <c r="F1" s="5">
        <f>'T10#'!F1</f>
        <v>2</v>
      </c>
      <c r="G1" s="5">
        <f>'T10#'!G1</f>
        <v>0</v>
      </c>
      <c r="H1" s="5" t="str">
        <f>'T10#'!H1</f>
        <v xml:space="preserve">T = </v>
      </c>
      <c r="I1" s="5">
        <f>' T = Tb'!$O$22</f>
        <v>483.70190338765184</v>
      </c>
      <c r="J1" s="5" t="str">
        <f>'T10#'!J1</f>
        <v>K</v>
      </c>
      <c r="K1" s="5" t="str">
        <f>'T10#'!K1</f>
        <v xml:space="preserve">VP D = </v>
      </c>
      <c r="L1" s="5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'T10#'!F2</f>
        <v>3.9300199999999998</v>
      </c>
      <c r="G2" s="5">
        <f>'T10#'!G2</f>
        <v>0</v>
      </c>
      <c r="H2" s="5" t="str">
        <f>'T10#'!H2</f>
        <v xml:space="preserve">1 - TR = </v>
      </c>
      <c r="I2" s="2">
        <f>1-I1/B3</f>
        <v>0.12610315557786478</v>
      </c>
      <c r="J2" s="5">
        <f>'T10#'!J2</f>
        <v>0</v>
      </c>
      <c r="K2" s="5" t="str">
        <f>'T10#'!K2</f>
        <v xml:space="preserve">VP E = </v>
      </c>
      <c r="L2" s="5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'T10#'!F3</f>
        <v>1182.77</v>
      </c>
      <c r="G3" s="5">
        <f>'T10#'!G3</f>
        <v>0</v>
      </c>
      <c r="H3" s="5" t="str">
        <f>'T10#'!H3</f>
        <v xml:space="preserve">P = </v>
      </c>
      <c r="I3" s="144">
        <f>10^(F2-F3/(I1+F4-273.15)+L1*I5^F5+L2*I5^8+L3*I5^12)</f>
        <v>15.802389576581332</v>
      </c>
      <c r="J3" s="5" t="str">
        <f>'T10#'!J3</f>
        <v>bar</v>
      </c>
      <c r="K3" s="5" t="str">
        <f>'T10#'!K3</f>
        <v xml:space="preserve">VP F = </v>
      </c>
      <c r="L3" s="5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'T10#'!F4</f>
        <v>220.61799999999999</v>
      </c>
      <c r="G4" s="5">
        <f>'T10#'!G4</f>
        <v>0</v>
      </c>
      <c r="H4" s="5" t="str">
        <f>'T10#'!H4</f>
        <v xml:space="preserve">P = </v>
      </c>
      <c r="I4" s="2">
        <f>I3*100</f>
        <v>1580.2389576581331</v>
      </c>
      <c r="J4" s="5" t="str">
        <f>'T10#'!J4</f>
        <v>kPa</v>
      </c>
      <c r="K4" s="5" t="str">
        <f>'T10#'!K4</f>
        <v xml:space="preserve">VP to = </v>
      </c>
      <c r="L4" s="5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'T10#'!F5</f>
        <v>3.4040699999999999</v>
      </c>
      <c r="G5" s="5">
        <f>'T10#'!G5</f>
        <v>0</v>
      </c>
      <c r="H5" s="5" t="str">
        <f>'T10#'!H5</f>
        <v xml:space="preserve">x = </v>
      </c>
      <c r="I5" s="2">
        <f>(I1-L4-273.15)/B3</f>
        <v>0.33523379112493562</v>
      </c>
      <c r="J5" s="5">
        <f>'T10#'!J5</f>
        <v>0</v>
      </c>
      <c r="K5" s="5">
        <f>'T10#'!K5</f>
        <v>0</v>
      </c>
      <c r="L5" s="5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1.6271079719100098E-4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tr">
        <f>' T = Tb'!A1</f>
        <v>Cyclohexane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H12" s="4" t="s">
        <v>32</v>
      </c>
      <c r="I12" s="191">
        <f>(2*B19)-B14-(B10*I1/I4)</f>
        <v>-2.6862603426667588</v>
      </c>
      <c r="J12" s="41">
        <f>-(B18+B15+B16)</f>
        <v>-2.6862603426667588</v>
      </c>
      <c r="K12" s="6"/>
    </row>
    <row r="13" spans="1:14" ht="18.75" x14ac:dyDescent="0.3">
      <c r="A13" s="13" t="s">
        <v>33</v>
      </c>
      <c r="B13" s="272">
        <v>2446.8845743504285</v>
      </c>
      <c r="C13" s="14">
        <f>' T = Tb'!P22</f>
        <v>2441.3338056339926</v>
      </c>
      <c r="E13" s="192">
        <f>ABS(B10*I1*LN((B16-B14)/(B15-B14))+B13*(1/(B16+B19)-1/(B15+B19))-I4*(B16-B15))</f>
        <v>5.2023096941411495E-10</v>
      </c>
      <c r="F13" s="21">
        <f>E13+E15+E16</f>
        <v>1.1677972366896938E-8</v>
      </c>
      <c r="H13" s="4" t="s">
        <v>34</v>
      </c>
      <c r="I13" s="191">
        <f>(B19^2)-(2*B19*B14)-(2*B10*I1*B19/I4)+(B13/I4)</f>
        <v>1.548426940427186</v>
      </c>
      <c r="J13" s="41">
        <f>B15*B16+B15*B18+B18*B16</f>
        <v>1.548426940427192</v>
      </c>
      <c r="K13" s="6"/>
      <c r="L13" s="26">
        <f>B13/B12</f>
        <v>1.1154125653497313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1">
        <f>(-B14*(B19^2))-(B10*I1*(B19^2)/I4)-(B13*B14/I4)</f>
        <v>-0.21869588275625346</v>
      </c>
      <c r="J14" s="41">
        <f>-(B18*B15*B16)</f>
        <v>-0.21869588275625598</v>
      </c>
      <c r="K14" s="6"/>
      <c r="L14" s="26">
        <f>B15/B14</f>
        <v>1.5224999897041045</v>
      </c>
      <c r="N14" s="4"/>
    </row>
    <row r="15" spans="1:14" ht="16.5" x14ac:dyDescent="0.3">
      <c r="A15" s="22" t="s">
        <v>37</v>
      </c>
      <c r="B15" s="23">
        <v>0.21503402617941178</v>
      </c>
      <c r="C15" s="125">
        <f>B15-2*$B$14</f>
        <v>-6.7440886968145347E-2</v>
      </c>
      <c r="D15" s="24" t="s">
        <v>38</v>
      </c>
      <c r="E15" s="25">
        <f>1000000*ABS(B15^3+I12*B15^2+I13*B15+I14)</f>
        <v>1.2212453270876722E-9</v>
      </c>
      <c r="K15" s="4"/>
      <c r="L15" s="26">
        <f>B16/B17</f>
        <v>0.76602588490681534</v>
      </c>
    </row>
    <row r="16" spans="1:14" ht="16.5" x14ac:dyDescent="0.3">
      <c r="A16" s="22" t="s">
        <v>39</v>
      </c>
      <c r="B16" s="23">
        <v>1.9495534084274722</v>
      </c>
      <c r="C16" s="125">
        <f>B16-2*$B$14</f>
        <v>1.6670784952799149</v>
      </c>
      <c r="D16" s="24" t="s">
        <v>40</v>
      </c>
      <c r="E16" s="25">
        <f>1000000*ABS(B16^3+I12*B16^2+I13*B16+I14)</f>
        <v>9.936496070395151E-9</v>
      </c>
      <c r="L16" s="26"/>
    </row>
    <row r="17" spans="1:12" ht="16.5" x14ac:dyDescent="0.3">
      <c r="A17" s="27" t="s">
        <v>41</v>
      </c>
      <c r="B17" s="28">
        <f>B10*I1/I4</f>
        <v>2.5450228860929802</v>
      </c>
      <c r="C17" s="125"/>
      <c r="D17" s="24" t="s">
        <v>42</v>
      </c>
      <c r="E17" s="29">
        <f>1000*ABS(B18^3+I12*B18^2+I13*B18+I14)</f>
        <v>7.2164496600635175E-13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0.52167290805987498</v>
      </c>
      <c r="C18" s="125">
        <f>B18-2*$B$14</f>
        <v>0.23919799491231786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40216216.514333762</v>
      </c>
      <c r="C21" s="262"/>
      <c r="E21" s="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778.86419940072608</v>
      </c>
      <c r="C22" s="262"/>
      <c r="E22" s="194"/>
    </row>
    <row r="23" spans="1:12" ht="15.75" x14ac:dyDescent="0.25">
      <c r="A23" s="262">
        <f t="shared" ref="A23:A86" si="1">A22*$C$19</f>
        <v>0.19334132320384545</v>
      </c>
      <c r="B23">
        <f t="shared" si="0"/>
        <v>117.28852895702853</v>
      </c>
      <c r="C23" s="262"/>
    </row>
    <row r="24" spans="1:12" ht="15.75" x14ac:dyDescent="0.25">
      <c r="A24" s="262">
        <f t="shared" si="1"/>
        <v>0.22620934814849916</v>
      </c>
      <c r="B24">
        <f t="shared" si="0"/>
        <v>-4.8781727525465248</v>
      </c>
      <c r="C24" s="262"/>
    </row>
    <row r="25" spans="1:12" ht="15.75" x14ac:dyDescent="0.25">
      <c r="A25" s="262">
        <f t="shared" si="1"/>
        <v>0.26466493733374402</v>
      </c>
      <c r="B25">
        <f t="shared" si="0"/>
        <v>-23.479111826931586</v>
      </c>
      <c r="C25" s="262"/>
      <c r="J25" s="5"/>
      <c r="K25" s="17"/>
    </row>
    <row r="26" spans="1:12" ht="15.75" x14ac:dyDescent="0.25">
      <c r="A26" s="262">
        <f t="shared" si="1"/>
        <v>0.30965797668048051</v>
      </c>
      <c r="B26">
        <f t="shared" si="0"/>
        <v>-16.389531620946801</v>
      </c>
      <c r="C26" s="262"/>
      <c r="J26" s="5"/>
      <c r="K26" s="17"/>
    </row>
    <row r="27" spans="1:12" ht="15.75" x14ac:dyDescent="0.25">
      <c r="A27" s="262">
        <f t="shared" si="1"/>
        <v>0.36229983271616217</v>
      </c>
      <c r="B27">
        <f t="shared" si="0"/>
        <v>-4.4854055642226012</v>
      </c>
      <c r="C27" s="262"/>
      <c r="J27" s="17"/>
      <c r="K27" s="17"/>
    </row>
    <row r="28" spans="1:12" ht="15.75" x14ac:dyDescent="0.25">
      <c r="A28" s="262">
        <f t="shared" si="1"/>
        <v>0.42389080427790971</v>
      </c>
      <c r="B28">
        <f t="shared" si="0"/>
        <v>6.107852130448955</v>
      </c>
      <c r="C28" s="262"/>
    </row>
    <row r="29" spans="1:12" ht="15.75" x14ac:dyDescent="0.25">
      <c r="A29" s="262">
        <f t="shared" si="1"/>
        <v>0.49595224100515434</v>
      </c>
      <c r="B29">
        <f t="shared" si="0"/>
        <v>13.900123992215812</v>
      </c>
      <c r="C29" s="262"/>
      <c r="D29"/>
      <c r="E29"/>
      <c r="F29"/>
    </row>
    <row r="30" spans="1:12" ht="15.75" x14ac:dyDescent="0.25">
      <c r="A30" s="262">
        <f t="shared" si="1"/>
        <v>0.5802641219760305</v>
      </c>
      <c r="B30">
        <f t="shared" si="0"/>
        <v>18.934771370609077</v>
      </c>
      <c r="C30" s="262"/>
      <c r="D30"/>
      <c r="E30"/>
      <c r="F30"/>
      <c r="J30" s="4"/>
      <c r="K30" s="18"/>
    </row>
    <row r="31" spans="1:12" ht="15.75" x14ac:dyDescent="0.25">
      <c r="A31" s="262">
        <f t="shared" si="1"/>
        <v>0.67890902271195563</v>
      </c>
      <c r="B31">
        <f t="shared" si="0"/>
        <v>21.712013210701553</v>
      </c>
      <c r="C31" s="262"/>
      <c r="D31"/>
      <c r="E31"/>
      <c r="F31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22.799650303248651</v>
      </c>
      <c r="C32" s="262"/>
      <c r="D32"/>
      <c r="E32"/>
      <c r="F32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22.699502240488012</v>
      </c>
      <c r="C33" s="262"/>
      <c r="D33"/>
      <c r="E33"/>
      <c r="F33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21.812654816508893</v>
      </c>
      <c r="C34" s="262"/>
      <c r="D34"/>
      <c r="E34"/>
      <c r="F34"/>
    </row>
    <row r="35" spans="1:11" ht="15.75" x14ac:dyDescent="0.25">
      <c r="A35" s="262">
        <f t="shared" si="1"/>
        <v>1.2721989344135327</v>
      </c>
      <c r="B35">
        <f t="shared" si="0"/>
        <v>20.442084192071196</v>
      </c>
      <c r="C35" s="262"/>
      <c r="D35"/>
      <c r="E35"/>
      <c r="F35"/>
    </row>
    <row r="36" spans="1:11" ht="15.75" x14ac:dyDescent="0.25">
      <c r="A36" s="262">
        <f t="shared" si="1"/>
        <v>1.4884727532638331</v>
      </c>
      <c r="B36">
        <f t="shared" si="0"/>
        <v>18.807698080855193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17.063681785483645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15.314304805751844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13.627011718133343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12.042723650727517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10.583688335560106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9.2593265178271302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8.0705069407093237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7.0126213497257615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6.0777604930757256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5.25622662108821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4.5375625573534979</v>
      </c>
      <c r="C47" s="262"/>
    </row>
    <row r="48" spans="1:11" ht="15.75" x14ac:dyDescent="0.25">
      <c r="A48" s="262">
        <f t="shared" si="1"/>
        <v>9.794251012802432</v>
      </c>
      <c r="B48">
        <f t="shared" si="0"/>
        <v>3.9112327713671187</v>
      </c>
      <c r="C48" s="262"/>
    </row>
    <row r="49" spans="1:3" ht="15.75" x14ac:dyDescent="0.25">
      <c r="A49" s="262">
        <f t="shared" si="1"/>
        <v>11.459273684978845</v>
      </c>
      <c r="B49">
        <f t="shared" si="0"/>
        <v>3.3670570114717298</v>
      </c>
      <c r="C49" s="262"/>
    </row>
    <row r="50" spans="1:3" ht="15.75" x14ac:dyDescent="0.25">
      <c r="A50" s="262">
        <f t="shared" si="1"/>
        <v>13.407350211425248</v>
      </c>
      <c r="B50">
        <f t="shared" si="0"/>
        <v>2.8954703715671517</v>
      </c>
      <c r="C50" s="262"/>
    </row>
    <row r="51" spans="1:3" ht="15.75" x14ac:dyDescent="0.25">
      <c r="A51" s="262">
        <f t="shared" si="1"/>
        <v>15.68659974736754</v>
      </c>
      <c r="B51">
        <f t="shared" si="0"/>
        <v>2.4876635431315899</v>
      </c>
      <c r="C51" s="262"/>
    </row>
    <row r="52" spans="1:3" ht="15.75" x14ac:dyDescent="0.25">
      <c r="A52" s="262">
        <f t="shared" si="1"/>
        <v>18.353321704420019</v>
      </c>
      <c r="B52">
        <f t="shared" si="0"/>
        <v>2.1356420020678648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1.8322317978978659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1.5710514920337213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1.3464638850787056</v>
      </c>
      <c r="C55" s="262"/>
    </row>
    <row r="56" spans="1:3" ht="15.75" x14ac:dyDescent="0.25">
      <c r="A56" s="262">
        <f t="shared" si="1"/>
        <v>34.392054802928065</v>
      </c>
      <c r="B56">
        <f t="shared" si="0"/>
        <v>1.1535169080975585</v>
      </c>
      <c r="C56" s="262"/>
    </row>
    <row r="57" spans="1:3" ht="15.75" x14ac:dyDescent="0.25">
      <c r="A57" s="262">
        <f t="shared" si="1"/>
        <v>40.238704119425833</v>
      </c>
      <c r="B57">
        <f t="shared" si="0"/>
        <v>0.98787999671322235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0.84578009546158339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0.72393991195505725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0.61951997791499569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0.53006534611390799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0.45345726299559885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0.38786983655598156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0.33173151752427144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0.28369109263776227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0.24258782581249339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0.20742535773761056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0.17734897376318351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0.15162586473705419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0.12962802932580952</v>
      </c>
      <c r="C70" s="262"/>
    </row>
    <row r="71" spans="1:3" ht="15.75" x14ac:dyDescent="0.25">
      <c r="A71" s="262">
        <f t="shared" si="1"/>
        <v>362.44828600328191</v>
      </c>
      <c r="B71">
        <f t="shared" si="0"/>
        <v>0.11081749499594075</v>
      </c>
      <c r="C71" s="262"/>
    </row>
    <row r="72" spans="1:3" ht="15.75" x14ac:dyDescent="0.25">
      <c r="A72" s="262">
        <f t="shared" si="1"/>
        <v>424.06449462383978</v>
      </c>
      <c r="B72">
        <f t="shared" si="0"/>
        <v>9.4733565335250777E-2</v>
      </c>
      <c r="C72" s="262"/>
    </row>
    <row r="73" spans="1:3" ht="15.75" x14ac:dyDescent="0.25">
      <c r="A73" s="262">
        <f t="shared" si="1"/>
        <v>496.15545870989251</v>
      </c>
      <c r="B73">
        <f t="shared" si="0"/>
        <v>8.0981831874577331E-2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6.922471784594271E-2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5.9173348694016609E-2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5.0580569284828167E-2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4.3234950492754304E-2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3.6955648202066614E-2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3.1587995830812315E-2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2.6999727423038928E-2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2.3077742337745229E-2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1.9725334776739854E-2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1.6859822024959226E-2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1.4410514503902421E-2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1.2316978727891632E-2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1.0527551156108057E-2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87"/>
  <sheetViews>
    <sheetView workbookViewId="0">
      <selection activeCell="E1" sqref="E1:L5"/>
    </sheetView>
  </sheetViews>
  <sheetFormatPr defaultColWidth="8" defaultRowHeight="12.75" x14ac:dyDescent="0.2"/>
  <cols>
    <col min="1" max="2" width="8" style="2"/>
    <col min="3" max="3" width="10.625" style="2" bestFit="1" customWidth="1"/>
    <col min="4" max="4" width="8" style="2"/>
    <col min="5" max="5" width="9.75" style="2" customWidth="1"/>
    <col min="6" max="16384" width="8" style="2"/>
  </cols>
  <sheetData>
    <row r="1" spans="1:14" ht="18" x14ac:dyDescent="0.25">
      <c r="A1" s="1" t="str">
        <f>' T = Tb'!A1</f>
        <v>Cyclohexane</v>
      </c>
      <c r="E1" s="2" t="s">
        <v>0</v>
      </c>
      <c r="F1" s="2">
        <f>'T10#'!F1</f>
        <v>2</v>
      </c>
      <c r="G1" s="2">
        <f>'T10#'!G1</f>
        <v>0</v>
      </c>
      <c r="H1" s="2" t="str">
        <f>'T10#'!H1</f>
        <v xml:space="preserve">T = </v>
      </c>
      <c r="I1" s="2">
        <f>' T = Tb'!$O$23</f>
        <v>500.27955350831081</v>
      </c>
      <c r="J1" s="2" t="str">
        <f>'T10#'!J1</f>
        <v>K</v>
      </c>
      <c r="K1" s="2" t="str">
        <f>'T10#'!K1</f>
        <v xml:space="preserve">VP D = </v>
      </c>
      <c r="L1" s="2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'T10#'!F2</f>
        <v>3.9300199999999998</v>
      </c>
      <c r="G2" s="2">
        <f>'T10#'!G2</f>
        <v>0</v>
      </c>
      <c r="H2" s="2" t="str">
        <f>'T10#'!H2</f>
        <v xml:space="preserve">1 - TR = </v>
      </c>
      <c r="I2" s="2">
        <f>1-I1/B3</f>
        <v>9.6152568187333642E-2</v>
      </c>
      <c r="J2" s="2">
        <f>'T10#'!J2</f>
        <v>0</v>
      </c>
      <c r="K2" s="2" t="str">
        <f>'T10#'!K2</f>
        <v xml:space="preserve">VP E = </v>
      </c>
      <c r="L2" s="2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'T10#'!F3</f>
        <v>1182.77</v>
      </c>
      <c r="G3" s="2">
        <f>'T10#'!G3</f>
        <v>0</v>
      </c>
      <c r="H3" s="2" t="str">
        <f>'T10#'!H3</f>
        <v xml:space="preserve">P = </v>
      </c>
      <c r="I3" s="144">
        <f>10^(F2-F3/(I1+F4-273.15)+L1*I5^F5+L2*I5^8+L3*I5^12)</f>
        <v>20.181889915626428</v>
      </c>
      <c r="J3" s="2" t="str">
        <f>'T10#'!J3</f>
        <v>bar</v>
      </c>
      <c r="K3" s="2" t="str">
        <f>'T10#'!K3</f>
        <v xml:space="preserve">VP F = </v>
      </c>
      <c r="L3" s="2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'T10#'!F4</f>
        <v>220.61799999999999</v>
      </c>
      <c r="G4" s="2">
        <f>'T10#'!G4</f>
        <v>0</v>
      </c>
      <c r="H4" s="2" t="str">
        <f>'T10#'!H4</f>
        <v xml:space="preserve">P = </v>
      </c>
      <c r="I4" s="2">
        <f>I3*100</f>
        <v>2018.1889915626427</v>
      </c>
      <c r="J4" s="2" t="str">
        <f>'T10#'!J4</f>
        <v>kPa</v>
      </c>
      <c r="K4" s="2" t="str">
        <f>'T10#'!K4</f>
        <v xml:space="preserve">VP to = </v>
      </c>
      <c r="L4" s="2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'T10#'!F5</f>
        <v>3.4040699999999999</v>
      </c>
      <c r="G5" s="2">
        <f>'T10#'!G5</f>
        <v>0</v>
      </c>
      <c r="H5" s="2" t="str">
        <f>'T10#'!H5</f>
        <v xml:space="preserve">x = </v>
      </c>
      <c r="I5" s="2">
        <f>(I1-L4-273.15)/B3</f>
        <v>0.36518437851546676</v>
      </c>
      <c r="J5" s="2">
        <f>'T10#'!J5</f>
        <v>0</v>
      </c>
      <c r="K5" s="2">
        <f>'T10#'!K5</f>
        <v>0</v>
      </c>
      <c r="L5" s="2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1.274023105010334E-4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15">
        <f>B13/C13</f>
        <v>1.0027557332856263</v>
      </c>
      <c r="E12" s="16" t="s">
        <v>14</v>
      </c>
      <c r="H12" s="4" t="s">
        <v>32</v>
      </c>
      <c r="I12" s="191">
        <f>(2*B19)-B14-(B10*I1/I4)</f>
        <v>-2.2022829621385016</v>
      </c>
      <c r="J12" s="41">
        <f>-(B18+B15+B16)</f>
        <v>-2.2022829621385016</v>
      </c>
      <c r="K12" s="6"/>
    </row>
    <row r="13" spans="1:14" ht="18.75" x14ac:dyDescent="0.3">
      <c r="A13" s="13" t="s">
        <v>33</v>
      </c>
      <c r="B13" s="272">
        <v>2386.6582141931503</v>
      </c>
      <c r="C13" s="151">
        <f>' T = Tb'!P23</f>
        <v>2380.0992953418813</v>
      </c>
      <c r="E13" s="192">
        <f>ABS(B10*I1*LN((B16-B14)/(B15-B14))+B13*(1/(B16+B19)-1/(B15+B19))-I4*(B16-B15))</f>
        <v>4.4662483560387045E-6</v>
      </c>
      <c r="F13" s="21">
        <f>E13+E15+E16</f>
        <v>1.1417326957641194E-5</v>
      </c>
      <c r="H13" s="4" t="s">
        <v>34</v>
      </c>
      <c r="I13" s="191">
        <f>(B19^2)-(2*B19*B14)-(2*B10*I1*B19/I4)+(B13/I4)</f>
        <v>1.182574191104476</v>
      </c>
      <c r="J13" s="41">
        <f>B15*B16+B15*B18+B18*B16</f>
        <v>1.182574191110032</v>
      </c>
      <c r="K13" s="6"/>
      <c r="L13" s="26">
        <f>B13/B12</f>
        <v>1.0879583733584561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1">
        <f>(-B14*(B19^2))-(B10*I1*(B19^2)/I4)-(B13*B14/I4)</f>
        <v>-0.16702377096138973</v>
      </c>
      <c r="J14" s="41">
        <f>-(B18*B15*B16)</f>
        <v>-0.1670237709626636</v>
      </c>
      <c r="K14" s="6"/>
      <c r="L14" s="26">
        <f>B15/B14</f>
        <v>1.6148955174013531</v>
      </c>
      <c r="N14" s="4"/>
    </row>
    <row r="15" spans="1:14" ht="16.5" x14ac:dyDescent="0.3">
      <c r="A15" s="22" t="s">
        <v>37</v>
      </c>
      <c r="B15" s="246">
        <v>0.22808373551016328</v>
      </c>
      <c r="C15" s="125">
        <f>B15-2*$B$14</f>
        <v>-5.4391177637393845E-2</v>
      </c>
      <c r="D15" s="24" t="s">
        <v>38</v>
      </c>
      <c r="E15" s="25">
        <f>1000000*ABS(B15^3+I12*B15^2+I13*B15+I14)</f>
        <v>6.6613381477509392E-9</v>
      </c>
      <c r="K15" s="4"/>
      <c r="L15" s="26">
        <f>B16/B17</f>
        <v>0.71765032098719084</v>
      </c>
    </row>
    <row r="16" spans="1:14" ht="16.5" x14ac:dyDescent="0.3">
      <c r="A16" s="22" t="s">
        <v>39</v>
      </c>
      <c r="B16" s="246">
        <v>1.4791099686377305</v>
      </c>
      <c r="C16" s="125">
        <f>B16-2*$B$14</f>
        <v>1.1966350554901735</v>
      </c>
      <c r="D16" s="24" t="s">
        <v>40</v>
      </c>
      <c r="E16" s="25">
        <f>1000000*ABS(B16^3+I12*B16^2+I13*B16+I14)</f>
        <v>6.9444172634547385E-6</v>
      </c>
      <c r="L16" s="26"/>
    </row>
    <row r="17" spans="1:12" ht="16.5" x14ac:dyDescent="0.3">
      <c r="A17" s="27" t="s">
        <v>41</v>
      </c>
      <c r="B17" s="28">
        <f>B10*I1/I4</f>
        <v>2.061045505564723</v>
      </c>
      <c r="C17" s="125"/>
      <c r="D17" s="24" t="s">
        <v>42</v>
      </c>
      <c r="E17" s="29">
        <f>1000*ABS(B18^3+I12*B18^2+I13*B18+I14)</f>
        <v>1.4769019340832301E-9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0.49508925799060788</v>
      </c>
      <c r="C18" s="125">
        <f>B18-2*$B$14</f>
        <v>0.21261434484305075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31"/>
      <c r="F19" s="34"/>
      <c r="G19" s="31"/>
      <c r="H19" s="42"/>
      <c r="I19" s="31"/>
      <c r="J19" s="32"/>
      <c r="K19" s="34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31"/>
      <c r="F20" s="34"/>
      <c r="G20" s="34"/>
      <c r="H20" s="34"/>
      <c r="I20" s="31"/>
      <c r="J20" s="32"/>
      <c r="K20" s="33"/>
    </row>
    <row r="21" spans="1:12" ht="15.75" x14ac:dyDescent="0.25">
      <c r="A21" s="262">
        <f>B14+0.000001</f>
        <v>0.14123845657377856</v>
      </c>
      <c r="B21">
        <f>($B$10*$I$1/(A21-$B$14)-$B$13/(A21+$B$19)^2)/100</f>
        <v>41594597.08260154</v>
      </c>
      <c r="C21" s="262"/>
      <c r="E21" s="31"/>
      <c r="F21" s="34"/>
      <c r="G21" s="34"/>
      <c r="H21" s="34"/>
      <c r="I21" s="34"/>
      <c r="J21" s="34"/>
      <c r="K21" s="3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858.3229659672636</v>
      </c>
      <c r="C22" s="262"/>
      <c r="E22" s="193"/>
      <c r="F22" s="34"/>
      <c r="G22" s="34"/>
      <c r="H22" s="34"/>
      <c r="I22" s="34"/>
      <c r="J22" s="34"/>
      <c r="K22" s="34"/>
    </row>
    <row r="23" spans="1:12" ht="15.75" x14ac:dyDescent="0.25">
      <c r="A23" s="262">
        <f t="shared" ref="A23:A86" si="1">A22*$C$19</f>
        <v>0.19334132320384545</v>
      </c>
      <c r="B23">
        <f t="shared" si="0"/>
        <v>159.85397407940604</v>
      </c>
      <c r="C23" s="262"/>
      <c r="E23" s="34"/>
      <c r="F23" s="34"/>
      <c r="G23" s="34"/>
      <c r="H23" s="34"/>
      <c r="I23" s="34"/>
      <c r="J23" s="43"/>
      <c r="K23" s="43"/>
    </row>
    <row r="24" spans="1:12" ht="15.75" x14ac:dyDescent="0.25">
      <c r="A24" s="262">
        <f t="shared" si="1"/>
        <v>0.22620934814849916</v>
      </c>
      <c r="B24">
        <f t="shared" si="0"/>
        <v>23.112781646317888</v>
      </c>
      <c r="C24" s="262"/>
      <c r="E24" s="34"/>
      <c r="F24" s="34"/>
      <c r="G24" s="34"/>
      <c r="H24" s="34"/>
      <c r="I24" s="34"/>
      <c r="J24" s="43"/>
      <c r="K24" s="43"/>
    </row>
    <row r="25" spans="1:12" ht="15.75" x14ac:dyDescent="0.25">
      <c r="A25" s="262">
        <f t="shared" si="1"/>
        <v>0.26466493733374402</v>
      </c>
      <c r="B25">
        <f t="shared" si="0"/>
        <v>-3.7138947331730741</v>
      </c>
      <c r="C25" s="262"/>
      <c r="E25" s="34"/>
      <c r="F25" s="34"/>
      <c r="G25" s="34"/>
      <c r="H25" s="34"/>
      <c r="I25" s="34"/>
      <c r="J25" s="32"/>
      <c r="K25" s="32"/>
    </row>
    <row r="26" spans="1:12" ht="15.75" x14ac:dyDescent="0.25">
      <c r="A26" s="262">
        <f t="shared" si="1"/>
        <v>0.30965797668048051</v>
      </c>
      <c r="B26">
        <f t="shared" si="0"/>
        <v>-1.9246475681345327</v>
      </c>
      <c r="C26" s="262"/>
      <c r="E26" s="34"/>
      <c r="F26" s="34"/>
      <c r="G26" s="34"/>
      <c r="H26" s="34"/>
      <c r="I26" s="34"/>
      <c r="J26" s="43"/>
      <c r="K26" s="32"/>
    </row>
    <row r="27" spans="1:12" ht="15.75" x14ac:dyDescent="0.25">
      <c r="A27" s="262">
        <f t="shared" si="1"/>
        <v>0.36229983271616217</v>
      </c>
      <c r="B27">
        <f t="shared" si="0"/>
        <v>6.3379987558070567</v>
      </c>
      <c r="C27" s="262"/>
      <c r="E27" s="34"/>
      <c r="F27" s="34"/>
      <c r="G27" s="34"/>
      <c r="H27" s="34"/>
      <c r="I27" s="34"/>
      <c r="J27" s="32"/>
      <c r="K27" s="32"/>
    </row>
    <row r="28" spans="1:12" ht="15.75" x14ac:dyDescent="0.25">
      <c r="A28" s="262">
        <f t="shared" si="1"/>
        <v>0.42389080427790971</v>
      </c>
      <c r="B28">
        <f t="shared" si="0"/>
        <v>14.336125534912645</v>
      </c>
      <c r="C28" s="262"/>
      <c r="E28" s="34"/>
      <c r="F28" s="34"/>
      <c r="G28" s="34"/>
      <c r="H28" s="34"/>
      <c r="I28" s="34"/>
      <c r="J28" s="34"/>
      <c r="K28" s="34"/>
    </row>
    <row r="29" spans="1:12" ht="15.75" x14ac:dyDescent="0.25">
      <c r="A29" s="262">
        <f t="shared" si="1"/>
        <v>0.49595224100515434</v>
      </c>
      <c r="B29">
        <f t="shared" si="0"/>
        <v>20.234461362675592</v>
      </c>
      <c r="C29" s="262"/>
      <c r="D29"/>
      <c r="E29"/>
      <c r="F29"/>
      <c r="G29" s="34"/>
      <c r="H29" s="34"/>
      <c r="I29" s="34"/>
      <c r="J29" s="34"/>
      <c r="K29" s="34"/>
    </row>
    <row r="30" spans="1:12" ht="15.75" x14ac:dyDescent="0.25">
      <c r="A30" s="262">
        <f t="shared" si="1"/>
        <v>0.5802641219760305</v>
      </c>
      <c r="B30">
        <f t="shared" si="0"/>
        <v>23.863021372942331</v>
      </c>
      <c r="C30" s="262"/>
      <c r="D30"/>
      <c r="E30"/>
      <c r="F30"/>
      <c r="G30" s="34"/>
      <c r="H30" s="34"/>
      <c r="I30" s="34"/>
      <c r="J30" s="31"/>
      <c r="K30" s="35"/>
    </row>
    <row r="31" spans="1:12" ht="15.75" x14ac:dyDescent="0.25">
      <c r="A31" s="262">
        <f t="shared" si="1"/>
        <v>0.67890902271195563</v>
      </c>
      <c r="B31">
        <f t="shared" si="0"/>
        <v>25.582230322790828</v>
      </c>
      <c r="C31" s="262"/>
      <c r="D31"/>
      <c r="E31"/>
      <c r="F31"/>
      <c r="G31" s="34"/>
      <c r="H31" s="34"/>
      <c r="I31" s="34"/>
      <c r="J31" s="31"/>
      <c r="K31" s="35"/>
    </row>
    <row r="32" spans="1:12" ht="15.75" x14ac:dyDescent="0.25">
      <c r="A32" s="262">
        <f t="shared" si="1"/>
        <v>0.79432355657298803</v>
      </c>
      <c r="B32">
        <f t="shared" si="0"/>
        <v>25.864703652654736</v>
      </c>
      <c r="C32" s="262"/>
      <c r="D32"/>
      <c r="E32"/>
      <c r="F32"/>
      <c r="G32" s="34"/>
      <c r="H32" s="34"/>
      <c r="I32" s="34"/>
      <c r="J32" s="31"/>
      <c r="K32" s="36"/>
    </row>
    <row r="33" spans="1:11" ht="15.75" x14ac:dyDescent="0.25">
      <c r="A33" s="262">
        <f t="shared" si="1"/>
        <v>0.92935856119039595</v>
      </c>
      <c r="B33">
        <f t="shared" si="0"/>
        <v>25.145709615196115</v>
      </c>
      <c r="C33" s="262"/>
      <c r="D33"/>
      <c r="E33"/>
      <c r="F33"/>
      <c r="G33" s="34"/>
      <c r="H33" s="34"/>
      <c r="I33" s="34"/>
      <c r="J33" s="31"/>
      <c r="K33" s="35"/>
    </row>
    <row r="34" spans="1:11" ht="15.75" x14ac:dyDescent="0.25">
      <c r="A34" s="262">
        <f t="shared" si="1"/>
        <v>1.0873495165927631</v>
      </c>
      <c r="B34">
        <f t="shared" si="0"/>
        <v>23.778899741210331</v>
      </c>
      <c r="C34" s="262"/>
      <c r="D34"/>
      <c r="E34"/>
      <c r="F34"/>
      <c r="G34" s="34"/>
      <c r="H34" s="34"/>
      <c r="I34" s="34"/>
      <c r="J34" s="34"/>
      <c r="K34" s="34"/>
    </row>
    <row r="35" spans="1:11" ht="15.75" x14ac:dyDescent="0.25">
      <c r="A35" s="262">
        <f t="shared" si="1"/>
        <v>1.2721989344135327</v>
      </c>
      <c r="B35">
        <f t="shared" si="0"/>
        <v>22.032940774543221</v>
      </c>
      <c r="C35" s="262"/>
      <c r="D35"/>
      <c r="E35"/>
      <c r="F35"/>
      <c r="G35" s="34"/>
      <c r="H35" s="34"/>
      <c r="I35" s="34"/>
      <c r="J35" s="34"/>
      <c r="K35" s="34"/>
    </row>
    <row r="36" spans="1:11" ht="15.75" x14ac:dyDescent="0.25">
      <c r="A36" s="262">
        <f t="shared" si="1"/>
        <v>1.4884727532638331</v>
      </c>
      <c r="B36">
        <f t="shared" si="0"/>
        <v>20.102628251648706</v>
      </c>
      <c r="C36" s="262"/>
      <c r="D36"/>
      <c r="E36"/>
      <c r="F36"/>
      <c r="G36" s="34"/>
      <c r="H36" s="34"/>
      <c r="I36" s="34"/>
      <c r="J36" s="34"/>
      <c r="K36" s="34"/>
    </row>
    <row r="37" spans="1:11" ht="15.75" x14ac:dyDescent="0.25">
      <c r="A37" s="262">
        <f t="shared" si="1"/>
        <v>1.7415131213186845</v>
      </c>
      <c r="B37">
        <f t="shared" si="0"/>
        <v>18.123581280365837</v>
      </c>
      <c r="C37" s="262"/>
      <c r="D37"/>
      <c r="E37"/>
      <c r="F37"/>
      <c r="G37" s="34"/>
      <c r="H37" s="34"/>
      <c r="I37" s="34"/>
      <c r="J37" s="34"/>
      <c r="K37" s="34"/>
    </row>
    <row r="38" spans="1:11" ht="15.75" x14ac:dyDescent="0.25">
      <c r="A38" s="262">
        <f t="shared" si="1"/>
        <v>2.0375703519428607</v>
      </c>
      <c r="B38">
        <f t="shared" si="0"/>
        <v>16.186219816156978</v>
      </c>
      <c r="C38" s="262"/>
      <c r="D38"/>
      <c r="E38"/>
      <c r="F38"/>
      <c r="G38" s="34"/>
      <c r="H38" s="34"/>
      <c r="I38" s="34"/>
      <c r="J38" s="34"/>
      <c r="K38" s="34"/>
    </row>
    <row r="39" spans="1:11" ht="15.75" x14ac:dyDescent="0.25">
      <c r="A39" s="262">
        <f t="shared" si="1"/>
        <v>2.383957311773147</v>
      </c>
      <c r="B39">
        <f t="shared" si="0"/>
        <v>14.347572104344554</v>
      </c>
      <c r="C39" s="262"/>
      <c r="D39"/>
      <c r="E39"/>
      <c r="F39"/>
      <c r="G39" s="34"/>
      <c r="H39" s="34"/>
      <c r="I39" s="34"/>
      <c r="J39" s="34"/>
      <c r="K39" s="34"/>
    </row>
    <row r="40" spans="1:11" ht="15.75" x14ac:dyDescent="0.25">
      <c r="A40" s="262">
        <f t="shared" si="1"/>
        <v>2.7892300547745816</v>
      </c>
      <c r="B40">
        <f t="shared" si="0"/>
        <v>12.640663893865394</v>
      </c>
      <c r="C40" s="262"/>
      <c r="E40" s="34"/>
      <c r="F40" s="34"/>
      <c r="G40" s="34"/>
      <c r="K40" s="34"/>
    </row>
    <row r="41" spans="1:11" ht="15.75" x14ac:dyDescent="0.25">
      <c r="A41" s="262">
        <f t="shared" si="1"/>
        <v>3.2633991640862603</v>
      </c>
      <c r="B41">
        <f t="shared" si="0"/>
        <v>11.081713198167233</v>
      </c>
      <c r="C41" s="262"/>
      <c r="G41" s="34"/>
      <c r="K41" s="34"/>
    </row>
    <row r="42" spans="1:11" ht="15.75" x14ac:dyDescent="0.25">
      <c r="A42" s="262">
        <f t="shared" si="1"/>
        <v>3.8181770219809241</v>
      </c>
      <c r="B42">
        <f t="shared" si="0"/>
        <v>9.6755018382215408</v>
      </c>
      <c r="C42" s="262"/>
      <c r="E42" s="34"/>
      <c r="F42" s="34"/>
      <c r="G42" s="34"/>
      <c r="K42" s="34"/>
    </row>
    <row r="43" spans="1:11" ht="15.75" x14ac:dyDescent="0.25">
      <c r="A43" s="262">
        <f t="shared" si="1"/>
        <v>4.4672671157176813</v>
      </c>
      <c r="B43">
        <f t="shared" si="0"/>
        <v>8.4193036717629539</v>
      </c>
      <c r="C43" s="262"/>
      <c r="E43" s="34"/>
      <c r="F43" s="34"/>
      <c r="G43" s="34"/>
      <c r="H43" s="34"/>
      <c r="I43" s="34"/>
      <c r="J43" s="34"/>
      <c r="K43" s="34"/>
    </row>
    <row r="44" spans="1:11" ht="15.75" x14ac:dyDescent="0.25">
      <c r="A44" s="262">
        <f t="shared" si="1"/>
        <v>5.2267025253896868</v>
      </c>
      <c r="B44">
        <f t="shared" si="0"/>
        <v>7.3057046453183627</v>
      </c>
      <c r="C44" s="262"/>
      <c r="E44" s="34"/>
      <c r="F44" s="34"/>
      <c r="G44" s="34"/>
      <c r="H44" s="34"/>
      <c r="I44" s="34"/>
      <c r="J44" s="34"/>
      <c r="K44" s="34"/>
    </row>
    <row r="45" spans="1:11" ht="15.75" x14ac:dyDescent="0.25">
      <c r="A45" s="262">
        <f t="shared" si="1"/>
        <v>6.1152419547059331</v>
      </c>
      <c r="B45">
        <f t="shared" si="0"/>
        <v>6.3245901379705263</v>
      </c>
      <c r="C45" s="262"/>
      <c r="E45" s="34"/>
      <c r="F45" s="34"/>
      <c r="G45" s="34"/>
      <c r="H45" s="34"/>
      <c r="I45" s="34"/>
      <c r="J45" s="34"/>
      <c r="K45" s="34"/>
    </row>
    <row r="46" spans="1:11" ht="15.75" x14ac:dyDescent="0.25">
      <c r="A46" s="262">
        <f t="shared" si="1"/>
        <v>7.1548330870059411</v>
      </c>
      <c r="B46">
        <f t="shared" si="0"/>
        <v>5.464517002273344</v>
      </c>
      <c r="C46" s="262"/>
      <c r="E46" s="34"/>
      <c r="F46" s="34"/>
      <c r="G46" s="34"/>
      <c r="H46" s="34"/>
      <c r="I46" s="34"/>
      <c r="J46" s="34"/>
      <c r="K46" s="34"/>
    </row>
    <row r="47" spans="1:11" ht="15.75" x14ac:dyDescent="0.25">
      <c r="A47" s="262">
        <f t="shared" si="1"/>
        <v>8.3711547117969509</v>
      </c>
      <c r="B47">
        <f t="shared" si="0"/>
        <v>4.7136374296335148</v>
      </c>
      <c r="C47" s="262"/>
      <c r="E47" s="34"/>
      <c r="F47" s="34"/>
      <c r="G47" s="34"/>
      <c r="H47" s="34"/>
      <c r="I47" s="34"/>
      <c r="J47" s="34"/>
      <c r="K47" s="34"/>
    </row>
    <row r="48" spans="1:11" ht="15.75" x14ac:dyDescent="0.25">
      <c r="A48" s="262">
        <f t="shared" si="1"/>
        <v>9.794251012802432</v>
      </c>
      <c r="B48">
        <f t="shared" si="0"/>
        <v>4.0603007464283554</v>
      </c>
      <c r="C48" s="262"/>
      <c r="E48" s="34"/>
      <c r="F48" s="34"/>
      <c r="G48" s="34"/>
      <c r="H48" s="34"/>
      <c r="I48" s="34"/>
      <c r="J48" s="34"/>
      <c r="K48" s="34"/>
    </row>
    <row r="49" spans="1:11" ht="15.75" x14ac:dyDescent="0.25">
      <c r="A49" s="262">
        <f t="shared" si="1"/>
        <v>11.459273684978845</v>
      </c>
      <c r="B49">
        <f t="shared" si="0"/>
        <v>3.4934269443663823</v>
      </c>
      <c r="C49" s="262"/>
      <c r="E49" s="34"/>
      <c r="F49" s="34"/>
      <c r="G49" s="34"/>
      <c r="H49" s="34"/>
      <c r="I49" s="34"/>
      <c r="J49" s="34"/>
      <c r="K49" s="34"/>
    </row>
    <row r="50" spans="1:11" ht="15.75" x14ac:dyDescent="0.25">
      <c r="A50" s="262">
        <f t="shared" si="1"/>
        <v>13.407350211425248</v>
      </c>
      <c r="B50">
        <f t="shared" si="0"/>
        <v>3.0027208979240414</v>
      </c>
      <c r="C50" s="262"/>
      <c r="E50" s="34"/>
      <c r="F50" s="34"/>
      <c r="G50" s="34"/>
      <c r="H50" s="34"/>
      <c r="I50" s="34"/>
      <c r="J50" s="34"/>
      <c r="K50" s="34"/>
    </row>
    <row r="51" spans="1:11" ht="15.75" x14ac:dyDescent="0.25">
      <c r="A51" s="262">
        <f t="shared" si="1"/>
        <v>15.68659974736754</v>
      </c>
      <c r="B51">
        <f t="shared" si="0"/>
        <v>2.5787774184744152</v>
      </c>
      <c r="C51" s="262"/>
      <c r="E51" s="34"/>
      <c r="F51" s="34"/>
      <c r="G51" s="34"/>
      <c r="H51" s="34"/>
      <c r="I51" s="34"/>
      <c r="J51" s="34"/>
      <c r="K51" s="34"/>
    </row>
    <row r="52" spans="1:11" ht="15.75" x14ac:dyDescent="0.25">
      <c r="A52" s="262">
        <f t="shared" si="1"/>
        <v>18.353321704420019</v>
      </c>
      <c r="B52">
        <f t="shared" si="0"/>
        <v>2.2131132456559421</v>
      </c>
      <c r="C52" s="262"/>
      <c r="E52" s="34"/>
      <c r="F52" s="34"/>
      <c r="G52" s="34"/>
      <c r="H52" s="34"/>
      <c r="I52" s="34"/>
      <c r="J52" s="34"/>
      <c r="K52" s="34"/>
    </row>
    <row r="53" spans="1:11" ht="15.75" x14ac:dyDescent="0.25">
      <c r="A53" s="262">
        <f t="shared" si="1"/>
        <v>21.47338639417142</v>
      </c>
      <c r="B53">
        <f t="shared" si="0"/>
        <v>1.8981516864810049</v>
      </c>
      <c r="C53" s="262"/>
      <c r="E53" s="34"/>
      <c r="F53" s="34"/>
      <c r="G53" s="34"/>
      <c r="H53" s="34"/>
      <c r="I53" s="34"/>
      <c r="J53" s="34"/>
      <c r="K53" s="34"/>
    </row>
    <row r="54" spans="1:11" ht="15.75" x14ac:dyDescent="0.25">
      <c r="A54" s="262">
        <f t="shared" si="1"/>
        <v>25.123862081180562</v>
      </c>
      <c r="B54">
        <f t="shared" si="0"/>
        <v>1.6271779964974151</v>
      </c>
      <c r="C54" s="262"/>
      <c r="E54" s="34"/>
      <c r="F54" s="34"/>
      <c r="G54" s="34"/>
      <c r="H54" s="34"/>
      <c r="I54" s="34"/>
      <c r="J54" s="34"/>
      <c r="K54" s="34"/>
    </row>
    <row r="55" spans="1:11" ht="15.75" x14ac:dyDescent="0.25">
      <c r="A55" s="262">
        <f t="shared" si="1"/>
        <v>29.394918634981256</v>
      </c>
      <c r="B55">
        <f t="shared" si="0"/>
        <v>1.3942780600397855</v>
      </c>
      <c r="C55" s="262"/>
      <c r="E55" s="34"/>
      <c r="F55" s="34"/>
      <c r="G55" s="34"/>
      <c r="H55" s="34"/>
      <c r="I55" s="34"/>
      <c r="J55" s="34"/>
      <c r="K55" s="34"/>
    </row>
    <row r="56" spans="1:11" ht="15.75" x14ac:dyDescent="0.25">
      <c r="A56" s="262">
        <f t="shared" si="1"/>
        <v>34.392054802928065</v>
      </c>
      <c r="B56">
        <f t="shared" si="0"/>
        <v>1.1942689332312422</v>
      </c>
      <c r="C56" s="262"/>
      <c r="E56" s="34"/>
      <c r="F56" s="34"/>
      <c r="G56" s="34"/>
      <c r="H56" s="34"/>
      <c r="I56" s="34"/>
      <c r="J56" s="34"/>
      <c r="K56" s="34"/>
    </row>
    <row r="57" spans="1:11" ht="15.75" x14ac:dyDescent="0.25">
      <c r="A57" s="262">
        <f t="shared" si="1"/>
        <v>40.238704119425833</v>
      </c>
      <c r="B57">
        <f t="shared" si="0"/>
        <v>1.0226269577891689</v>
      </c>
      <c r="C57" s="262"/>
      <c r="E57" s="34"/>
      <c r="F57" s="34"/>
      <c r="G57" s="34"/>
      <c r="H57" s="34"/>
      <c r="I57" s="34"/>
      <c r="J57" s="34"/>
      <c r="K57" s="34"/>
    </row>
    <row r="58" spans="1:11" ht="15.75" x14ac:dyDescent="0.25">
      <c r="A58" s="262">
        <f t="shared" si="1"/>
        <v>47.079283819728225</v>
      </c>
      <c r="B58">
        <f t="shared" si="0"/>
        <v>0.87541713080709105</v>
      </c>
      <c r="C58" s="262"/>
      <c r="E58" s="34"/>
      <c r="F58" s="34"/>
      <c r="G58" s="34"/>
      <c r="H58" s="34"/>
      <c r="I58" s="34"/>
      <c r="J58" s="34"/>
      <c r="K58" s="34"/>
    </row>
    <row r="59" spans="1:11" ht="15.75" x14ac:dyDescent="0.25">
      <c r="A59" s="262">
        <f t="shared" si="1"/>
        <v>55.082762069082023</v>
      </c>
      <c r="B59">
        <f t="shared" si="0"/>
        <v>0.7492259983180477</v>
      </c>
      <c r="C59" s="262"/>
      <c r="E59" s="34"/>
      <c r="F59" s="34"/>
      <c r="G59" s="34"/>
      <c r="H59" s="34"/>
      <c r="I59" s="34"/>
      <c r="J59" s="34"/>
      <c r="K59" s="34"/>
    </row>
    <row r="60" spans="1:11" ht="15.75" x14ac:dyDescent="0.25">
      <c r="A60" s="262">
        <f t="shared" si="1"/>
        <v>64.446831620825961</v>
      </c>
      <c r="B60">
        <f t="shared" si="0"/>
        <v>0.6410993605244738</v>
      </c>
      <c r="C60" s="262"/>
      <c r="E60" s="34"/>
      <c r="F60" s="34"/>
      <c r="G60" s="34"/>
      <c r="H60" s="34"/>
      <c r="I60" s="34"/>
      <c r="J60" s="34"/>
      <c r="K60" s="34"/>
    </row>
    <row r="61" spans="1:11" ht="15.75" x14ac:dyDescent="0.25">
      <c r="A61" s="262">
        <f t="shared" si="1"/>
        <v>75.402792996366372</v>
      </c>
      <c r="B61">
        <f t="shared" si="0"/>
        <v>0.54848541052958144</v>
      </c>
      <c r="C61" s="262"/>
      <c r="E61" s="34"/>
      <c r="F61" s="34"/>
      <c r="G61" s="34"/>
      <c r="H61" s="34"/>
      <c r="I61" s="34"/>
      <c r="J61" s="34"/>
      <c r="K61" s="34"/>
    </row>
    <row r="62" spans="1:11" ht="15.75" x14ac:dyDescent="0.25">
      <c r="A62" s="262">
        <f t="shared" si="1"/>
        <v>88.221267805748653</v>
      </c>
      <c r="B62">
        <f t="shared" si="0"/>
        <v>0.46918348585996517</v>
      </c>
      <c r="C62" s="262"/>
      <c r="E62" s="34"/>
      <c r="F62" s="34"/>
      <c r="G62" s="34"/>
      <c r="H62" s="34"/>
      <c r="I62" s="34"/>
      <c r="J62" s="34"/>
      <c r="K62" s="34"/>
    </row>
    <row r="63" spans="1:11" ht="15.75" x14ac:dyDescent="0.25">
      <c r="A63" s="262">
        <f t="shared" si="1"/>
        <v>103.21888333272592</v>
      </c>
      <c r="B63">
        <f t="shared" si="0"/>
        <v>0.40129832729510378</v>
      </c>
      <c r="C63" s="262"/>
      <c r="E63" s="34"/>
      <c r="F63" s="34"/>
      <c r="G63" s="34"/>
      <c r="H63" s="34"/>
      <c r="I63" s="34"/>
      <c r="J63" s="34"/>
      <c r="K63" s="34"/>
    </row>
    <row r="64" spans="1:11" ht="15.75" x14ac:dyDescent="0.25">
      <c r="A64" s="262">
        <f t="shared" si="1"/>
        <v>120.76609349928933</v>
      </c>
      <c r="B64">
        <f t="shared" si="0"/>
        <v>0.34319956495375337</v>
      </c>
      <c r="C64" s="262"/>
      <c r="E64" s="34"/>
      <c r="F64" s="34"/>
      <c r="G64" s="34"/>
      <c r="H64" s="34"/>
      <c r="I64" s="34"/>
      <c r="J64" s="34"/>
      <c r="K64" s="34"/>
    </row>
    <row r="65" spans="1:11" ht="15.75" x14ac:dyDescent="0.25">
      <c r="A65" s="262">
        <f t="shared" si="1"/>
        <v>141.29632939416851</v>
      </c>
      <c r="B65">
        <f t="shared" si="0"/>
        <v>0.29348605300712693</v>
      </c>
      <c r="C65" s="262"/>
      <c r="E65" s="34"/>
      <c r="F65" s="34"/>
      <c r="G65" s="34"/>
      <c r="H65" s="34"/>
      <c r="I65" s="34"/>
      <c r="J65" s="34"/>
      <c r="K65" s="34"/>
    </row>
    <row r="66" spans="1:11" ht="15.75" x14ac:dyDescent="0.25">
      <c r="A66" s="262">
        <f t="shared" si="1"/>
        <v>165.31670539117715</v>
      </c>
      <c r="B66">
        <f t="shared" si="0"/>
        <v>0.25095462732160168</v>
      </c>
      <c r="C66" s="262"/>
      <c r="E66" s="34"/>
      <c r="F66" s="34"/>
      <c r="G66" s="34"/>
      <c r="H66" s="34"/>
      <c r="I66" s="34"/>
      <c r="J66" s="34"/>
      <c r="K66" s="34"/>
    </row>
    <row r="67" spans="1:11" ht="15.75" x14ac:dyDescent="0.25">
      <c r="A67" s="262">
        <f t="shared" si="1"/>
        <v>193.42054530767726</v>
      </c>
      <c r="B67">
        <f t="shared" si="0"/>
        <v>0.21457284740256063</v>
      </c>
      <c r="C67" s="262"/>
      <c r="E67" s="34"/>
      <c r="F67" s="34"/>
      <c r="G67" s="34"/>
    </row>
    <row r="68" spans="1:11" ht="15.75" x14ac:dyDescent="0.25">
      <c r="A68" s="262">
        <f t="shared" si="1"/>
        <v>226.30203800998237</v>
      </c>
      <c r="B68">
        <f t="shared" si="0"/>
        <v>0.18345529298015559</v>
      </c>
      <c r="C68" s="262"/>
      <c r="E68" s="34"/>
      <c r="F68" s="34"/>
    </row>
    <row r="69" spans="1:11" ht="15.75" x14ac:dyDescent="0.25">
      <c r="A69" s="262">
        <f t="shared" si="1"/>
        <v>264.77338447167938</v>
      </c>
      <c r="B69">
        <f t="shared" si="0"/>
        <v>0.15684300791963579</v>
      </c>
      <c r="C69" s="262"/>
    </row>
    <row r="70" spans="1:11" ht="15.75" x14ac:dyDescent="0.25">
      <c r="A70" s="262">
        <f t="shared" si="1"/>
        <v>309.78485983186488</v>
      </c>
      <c r="B70">
        <f t="shared" si="0"/>
        <v>0.13408571398641711</v>
      </c>
      <c r="C70" s="262"/>
    </row>
    <row r="71" spans="1:11" ht="15.75" x14ac:dyDescent="0.25">
      <c r="A71" s="262">
        <f t="shared" si="1"/>
        <v>362.44828600328191</v>
      </c>
      <c r="B71">
        <f t="shared" si="0"/>
        <v>0.11462645038049132</v>
      </c>
      <c r="C71" s="262"/>
    </row>
    <row r="72" spans="1:11" ht="15.75" x14ac:dyDescent="0.25">
      <c r="A72" s="262">
        <f t="shared" si="1"/>
        <v>424.06449462383978</v>
      </c>
      <c r="B72">
        <f t="shared" si="0"/>
        <v>9.798832925230487E-2</v>
      </c>
      <c r="C72" s="262"/>
    </row>
    <row r="73" spans="1:11" ht="15.75" x14ac:dyDescent="0.25">
      <c r="A73" s="262">
        <f t="shared" si="1"/>
        <v>496.15545870989251</v>
      </c>
      <c r="B73">
        <f t="shared" si="0"/>
        <v>8.3763130944385061E-2</v>
      </c>
      <c r="C73" s="262"/>
    </row>
    <row r="74" spans="1:11" ht="15.75" x14ac:dyDescent="0.25">
      <c r="A74" s="262">
        <f t="shared" si="1"/>
        <v>580.50188669057422</v>
      </c>
      <c r="B74">
        <f t="shared" si="0"/>
        <v>7.1601494448911451E-2</v>
      </c>
      <c r="C74" s="262"/>
    </row>
    <row r="75" spans="1:11" ht="15.75" x14ac:dyDescent="0.25">
      <c r="A75" s="262">
        <f t="shared" si="1"/>
        <v>679.18720742797177</v>
      </c>
      <c r="B75">
        <f t="shared" si="0"/>
        <v>6.120448796192389E-2</v>
      </c>
      <c r="C75" s="262"/>
    </row>
    <row r="76" spans="1:11" ht="15.75" x14ac:dyDescent="0.25">
      <c r="A76" s="262">
        <f t="shared" si="1"/>
        <v>794.64903269072693</v>
      </c>
      <c r="B76">
        <f t="shared" si="0"/>
        <v>5.2316371185679451E-2</v>
      </c>
      <c r="C76" s="262"/>
    </row>
    <row r="77" spans="1:11" ht="15.75" x14ac:dyDescent="0.25">
      <c r="A77" s="262">
        <f t="shared" si="1"/>
        <v>929.73936824815041</v>
      </c>
      <c r="B77">
        <f t="shared" si="0"/>
        <v>4.4718385118723371E-2</v>
      </c>
      <c r="C77" s="262"/>
    </row>
    <row r="78" spans="1:11" ht="15.75" x14ac:dyDescent="0.25">
      <c r="A78" s="262">
        <f t="shared" si="1"/>
        <v>1087.7950608503359</v>
      </c>
      <c r="B78">
        <f t="shared" si="0"/>
        <v>3.8223426543755962E-2</v>
      </c>
      <c r="C78" s="262"/>
    </row>
    <row r="79" spans="1:11" ht="15.75" x14ac:dyDescent="0.25">
      <c r="A79" s="262">
        <f t="shared" si="1"/>
        <v>1272.7202211948929</v>
      </c>
      <c r="B79">
        <f t="shared" si="0"/>
        <v>3.2671483419315986E-2</v>
      </c>
      <c r="C79" s="262"/>
    </row>
    <row r="80" spans="1:11" ht="15.75" x14ac:dyDescent="0.25">
      <c r="A80" s="262">
        <f t="shared" si="1"/>
        <v>1489.0826587980246</v>
      </c>
      <c r="B80">
        <f t="shared" si="0"/>
        <v>2.7925724088649982E-2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2.3869147843531339E-2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2.0401717132124988E-2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1.7437902782610936E-2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1.4904583221091861E-2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1.2739246971530971E-2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1.0888454899169611E-2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87"/>
  <sheetViews>
    <sheetView workbookViewId="0">
      <selection activeCell="E1" sqref="E1:L5"/>
    </sheetView>
  </sheetViews>
  <sheetFormatPr defaultColWidth="8" defaultRowHeight="12.75" x14ac:dyDescent="0.2"/>
  <cols>
    <col min="1" max="2" width="8.125" style="2" bestFit="1" customWidth="1"/>
    <col min="3" max="3" width="10.75" style="2" customWidth="1"/>
    <col min="4" max="4" width="8.125" style="2" bestFit="1" customWidth="1"/>
    <col min="5" max="5" width="9.5" style="2" customWidth="1"/>
    <col min="6" max="6" width="8.375" style="2" bestFit="1" customWidth="1"/>
    <col min="7" max="7" width="8" style="2" customWidth="1"/>
    <col min="8" max="8" width="9.75" style="2" bestFit="1" customWidth="1"/>
    <col min="9" max="9" width="8.125" style="2" bestFit="1" customWidth="1"/>
    <col min="10" max="10" width="11.125" style="2" bestFit="1" customWidth="1"/>
    <col min="11" max="11" width="8.125" style="2" bestFit="1" customWidth="1"/>
    <col min="12" max="12" width="8" style="2" customWidth="1"/>
    <col min="13" max="13" width="8.125" style="2" bestFit="1" customWidth="1"/>
    <col min="14" max="16384" width="8" style="2"/>
  </cols>
  <sheetData>
    <row r="1" spans="1:14" ht="18" x14ac:dyDescent="0.25">
      <c r="A1" s="1" t="s">
        <v>134</v>
      </c>
      <c r="E1" s="2" t="s">
        <v>0</v>
      </c>
      <c r="F1" s="2">
        <f>'T10#'!F1</f>
        <v>2</v>
      </c>
      <c r="G1" s="2">
        <f>'T10#'!G1</f>
        <v>0</v>
      </c>
      <c r="H1" s="2" t="str">
        <f>'T10#'!H1</f>
        <v xml:space="preserve">T = </v>
      </c>
      <c r="I1" s="2">
        <f>' T = Tb'!$O$24</f>
        <v>517.42536034201612</v>
      </c>
      <c r="J1" s="2" t="str">
        <f>'T10#'!J1</f>
        <v>K</v>
      </c>
      <c r="K1" s="2" t="str">
        <f>'T10#'!K1</f>
        <v xml:space="preserve">VP D = </v>
      </c>
      <c r="L1" s="2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2">
        <f>'T10#'!F2</f>
        <v>3.9300199999999998</v>
      </c>
      <c r="G2" s="2">
        <f>'T10#'!G2</f>
        <v>0</v>
      </c>
      <c r="H2" s="2" t="str">
        <f>'T10#'!H2</f>
        <v xml:space="preserve">1 - TR = </v>
      </c>
      <c r="I2" s="2">
        <f>1-I1/B3</f>
        <v>6.5175500737098213E-2</v>
      </c>
      <c r="J2" s="2">
        <f>'T10#'!J2</f>
        <v>0</v>
      </c>
      <c r="K2" s="2" t="str">
        <f>'T10#'!K2</f>
        <v xml:space="preserve">VP E = </v>
      </c>
      <c r="L2" s="2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2">
        <f>'T10#'!F3</f>
        <v>1182.77</v>
      </c>
      <c r="G3" s="2">
        <f>'T10#'!G3</f>
        <v>0</v>
      </c>
      <c r="H3" s="2" t="str">
        <f>'T10#'!H3</f>
        <v xml:space="preserve">P = </v>
      </c>
      <c r="I3" s="144">
        <f>10^(F2-F3/(I1+F4-273.15)+L1*I5^F5+L2*I5^8+L3*I5^12)</f>
        <v>25.622303004294665</v>
      </c>
      <c r="J3" s="2" t="str">
        <f>'T10#'!J3</f>
        <v>bar</v>
      </c>
      <c r="K3" s="2" t="str">
        <f>'T10#'!K3</f>
        <v xml:space="preserve">VP F = </v>
      </c>
      <c r="L3" s="2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2">
        <f>'T10#'!F4</f>
        <v>220.61799999999999</v>
      </c>
      <c r="G4" s="2">
        <f>'T10#'!G4</f>
        <v>0</v>
      </c>
      <c r="H4" s="2" t="str">
        <f>'T10#'!H4</f>
        <v xml:space="preserve">P = </v>
      </c>
      <c r="I4" s="2">
        <f>I3*100</f>
        <v>2562.2303004294663</v>
      </c>
      <c r="J4" s="2" t="str">
        <f>'T10#'!J4</f>
        <v>kPa</v>
      </c>
      <c r="K4" s="2" t="str">
        <f>'T10#'!K4</f>
        <v xml:space="preserve">VP to = </v>
      </c>
      <c r="L4" s="2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2">
        <f>'T10#'!F5</f>
        <v>3.4040699999999999</v>
      </c>
      <c r="G5" s="2">
        <f>'T10#'!G5</f>
        <v>0</v>
      </c>
      <c r="H5" s="2" t="str">
        <f>'T10#'!H5</f>
        <v xml:space="preserve">x = </v>
      </c>
      <c r="I5" s="2">
        <f>(I1-L4-273.15)/B3</f>
        <v>0.39616144596570213</v>
      </c>
      <c r="J5" s="2">
        <f>'T10#'!J5</f>
        <v>0</v>
      </c>
      <c r="K5" s="2">
        <f>'T10#'!K5</f>
        <v>0</v>
      </c>
      <c r="L5" s="2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1.0035083126982534E-4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tr">
        <f>' T = Tb'!A1</f>
        <v>Cyclohexane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88">
        <v>0.99303098041707394</v>
      </c>
      <c r="E12" s="16" t="s">
        <v>14</v>
      </c>
      <c r="H12" s="4" t="s">
        <v>32</v>
      </c>
      <c r="I12" s="190">
        <f>(2*B19)-B14-(B10*I1/I4)</f>
        <v>-1.8202974271377819</v>
      </c>
      <c r="J12" s="17">
        <f>-(B18+B15+B16)</f>
        <v>-1.8202974271377821</v>
      </c>
      <c r="K12" s="6"/>
    </row>
    <row r="13" spans="1:14" ht="18.75" x14ac:dyDescent="0.3">
      <c r="A13" s="13" t="s">
        <v>33</v>
      </c>
      <c r="B13" s="154">
        <v>2324.6621932066255</v>
      </c>
      <c r="C13" s="14">
        <f>' T = Tb'!P24</f>
        <v>2318.381431955544</v>
      </c>
      <c r="E13" s="192">
        <f>ABS(B10*I1*LN((B16-B14)/(B15-B14))+B13*(1/(B16+B19)-1/(B15+B19))-I4*(B16-B15))</f>
        <v>0</v>
      </c>
      <c r="F13" s="21">
        <f>E13+E15+E16</f>
        <v>8.6987667735627383E-2</v>
      </c>
      <c r="H13" s="4" t="s">
        <v>34</v>
      </c>
      <c r="I13" s="190">
        <f>(B19^2)-(2*B19*B14)-(2*B10*I1*B19/I4)+(B13/I4)</f>
        <v>0.90728073616839944</v>
      </c>
      <c r="J13" s="17">
        <f>B15*B16+B15*B18+B18*B16</f>
        <v>0.90728081763170243</v>
      </c>
      <c r="K13" s="6"/>
      <c r="L13" s="26">
        <f>B13/B12</f>
        <v>1.0596974813102837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0">
        <f>(-B14*(B19^2))-(B10*I1*(B19^2)/I4)-(B13*B14/I4)</f>
        <v>-0.12814202357481017</v>
      </c>
      <c r="J14" s="17">
        <f>-(B18*B15*B16)</f>
        <v>-0.12814203508103766</v>
      </c>
      <c r="K14" s="6"/>
      <c r="L14" s="26">
        <f>B15/B14</f>
        <v>1.7499024545602262</v>
      </c>
      <c r="N14" s="4"/>
    </row>
    <row r="15" spans="1:14" ht="16.5" x14ac:dyDescent="0.3">
      <c r="A15" s="22" t="s">
        <v>37</v>
      </c>
      <c r="B15" s="246">
        <v>0.24715177193429846</v>
      </c>
      <c r="C15" s="125">
        <f>B15-2*$B$14</f>
        <v>-3.5323141213258663E-2</v>
      </c>
      <c r="D15" s="24" t="s">
        <v>38</v>
      </c>
      <c r="E15" s="25">
        <f>1000000*ABS(B15^3+I12*B15^2+I13*B15+I14)</f>
        <v>8.6275721289386098E-3</v>
      </c>
      <c r="K15" s="4"/>
      <c r="L15" s="26">
        <f>B16/B17</f>
        <v>0.65700511441357334</v>
      </c>
    </row>
    <row r="16" spans="1:14" ht="16.5" x14ac:dyDescent="0.3">
      <c r="A16" s="22" t="s">
        <v>39</v>
      </c>
      <c r="B16" s="246">
        <v>1.103150988067654</v>
      </c>
      <c r="C16" s="125">
        <f>B16-2*$B$14</f>
        <v>0.82067607492009687</v>
      </c>
      <c r="D16" s="24" t="s">
        <v>40</v>
      </c>
      <c r="E16" s="25">
        <f>1000000*ABS(B16^3+I12*B16^2+I13*B16+I14)</f>
        <v>7.8360095606688773E-2</v>
      </c>
      <c r="L16" s="26"/>
    </row>
    <row r="17" spans="1:12" ht="16.5" x14ac:dyDescent="0.3">
      <c r="A17" s="27" t="s">
        <v>41</v>
      </c>
      <c r="B17" s="28">
        <f>B10*I1/I4</f>
        <v>1.6790599705640032</v>
      </c>
      <c r="C17" s="125"/>
      <c r="D17" s="24" t="s">
        <v>42</v>
      </c>
      <c r="E17" s="29">
        <f>1000000*ABS(B18^3+I12*B18^2+I13*B18+I14)</f>
        <v>2.6781090373129146E-2</v>
      </c>
      <c r="H17" s="12"/>
      <c r="I17" s="4"/>
      <c r="J17" s="17"/>
      <c r="L17" s="25"/>
    </row>
    <row r="18" spans="1:12" ht="15.75" x14ac:dyDescent="0.25">
      <c r="A18" s="22" t="s">
        <v>43</v>
      </c>
      <c r="B18" s="26">
        <f>-I12-B15-B16</f>
        <v>0.46999466713582949</v>
      </c>
      <c r="C18" s="125">
        <f>B18-2*$B$14</f>
        <v>0.18751975398827236</v>
      </c>
      <c r="D18" s="4"/>
      <c r="E18" s="29"/>
      <c r="H18" s="12"/>
      <c r="I18" s="4"/>
      <c r="J18" s="17"/>
      <c r="L18" s="25"/>
    </row>
    <row r="19" spans="1:12" x14ac:dyDescent="0.2">
      <c r="A19" s="148" t="s">
        <v>135</v>
      </c>
      <c r="B19" s="264">
        <v>0</v>
      </c>
      <c r="C19" s="263">
        <v>1.17</v>
      </c>
      <c r="D19" s="29"/>
      <c r="E19" s="31"/>
      <c r="F19" s="34"/>
      <c r="G19" s="31"/>
      <c r="H19" s="42"/>
      <c r="I19" s="31"/>
      <c r="J19" s="32"/>
      <c r="K19" s="34"/>
      <c r="L19" s="3"/>
    </row>
    <row r="20" spans="1:12" ht="15.75" x14ac:dyDescent="0.25">
      <c r="A20" s="261" t="s">
        <v>44</v>
      </c>
      <c r="B20" s="261" t="s">
        <v>45</v>
      </c>
      <c r="C20" s="261"/>
      <c r="D20" s="21"/>
      <c r="E20" s="4"/>
      <c r="I20" s="4"/>
      <c r="J20" s="17"/>
      <c r="K20" s="21"/>
    </row>
    <row r="21" spans="1:12" ht="15.75" x14ac:dyDescent="0.25">
      <c r="A21" s="262">
        <f>B14+0.000001</f>
        <v>0.14123845657377856</v>
      </c>
      <c r="B21">
        <f>($B$10*$I$1/(A21-$B$14)-$B$13/(A21+$B$19)^2)/100</f>
        <v>43020217.984714724</v>
      </c>
      <c r="C21" s="262"/>
      <c r="E21" s="4"/>
      <c r="I21" s="34"/>
      <c r="J21" s="34"/>
      <c r="K21" s="34"/>
      <c r="L21" s="34"/>
    </row>
    <row r="22" spans="1:12" ht="15.75" x14ac:dyDescent="0.25">
      <c r="A22" s="262">
        <f>A21*$C$19</f>
        <v>0.16524899419132091</v>
      </c>
      <c r="B22">
        <f t="shared" ref="B22:B85" si="0">($B$10*$I$1/(A22-$B$14)-$B$13/(A22+$B$19)^2)/100</f>
        <v>940.39715281484098</v>
      </c>
      <c r="C22" s="262"/>
      <c r="E22" s="194"/>
      <c r="I22" s="34"/>
      <c r="J22" s="34"/>
      <c r="K22" s="34"/>
      <c r="L22" s="34"/>
    </row>
    <row r="23" spans="1:12" ht="15.75" x14ac:dyDescent="0.25">
      <c r="A23" s="262">
        <f t="shared" ref="A23:A86" si="1">A22*$C$19</f>
        <v>0.19334132320384545</v>
      </c>
      <c r="B23">
        <f t="shared" si="0"/>
        <v>203.79947267492847</v>
      </c>
      <c r="C23" s="262"/>
      <c r="I23" s="34"/>
      <c r="J23" s="34"/>
      <c r="K23" s="34"/>
      <c r="L23" s="34"/>
    </row>
    <row r="24" spans="1:12" ht="15.75" x14ac:dyDescent="0.25">
      <c r="A24" s="262">
        <f t="shared" si="1"/>
        <v>0.22620934814849916</v>
      </c>
      <c r="B24">
        <f t="shared" si="0"/>
        <v>52.005513083218176</v>
      </c>
      <c r="C24" s="262"/>
      <c r="I24" s="34"/>
      <c r="J24" s="34"/>
      <c r="K24" s="34"/>
      <c r="L24" s="34"/>
    </row>
    <row r="25" spans="1:12" ht="15.75" x14ac:dyDescent="0.25">
      <c r="A25" s="262">
        <f t="shared" si="1"/>
        <v>0.26466493733374402</v>
      </c>
      <c r="B25">
        <f t="shared" si="0"/>
        <v>16.686689894142617</v>
      </c>
      <c r="C25" s="262"/>
      <c r="E25" s="34"/>
      <c r="F25" s="34"/>
      <c r="I25" s="34"/>
      <c r="J25" s="34"/>
      <c r="K25" s="32"/>
      <c r="L25" s="34"/>
    </row>
    <row r="26" spans="1:12" ht="15.75" x14ac:dyDescent="0.25">
      <c r="A26" s="262">
        <f t="shared" si="1"/>
        <v>0.30965797668048051</v>
      </c>
      <c r="B26">
        <f t="shared" si="0"/>
        <v>13.005276449971243</v>
      </c>
      <c r="C26" s="262"/>
      <c r="E26" s="34"/>
      <c r="F26" s="34"/>
      <c r="I26" s="34"/>
      <c r="J26" s="34"/>
      <c r="K26" s="32"/>
      <c r="L26" s="34"/>
    </row>
    <row r="27" spans="1:12" ht="15.75" x14ac:dyDescent="0.25">
      <c r="A27" s="262">
        <f t="shared" si="1"/>
        <v>0.36229983271616217</v>
      </c>
      <c r="B27">
        <f t="shared" si="0"/>
        <v>17.509915743405145</v>
      </c>
      <c r="C27" s="262"/>
      <c r="E27" s="34"/>
      <c r="F27" s="34"/>
      <c r="I27" s="34"/>
      <c r="J27" s="32"/>
      <c r="K27" s="32"/>
      <c r="L27" s="34"/>
    </row>
    <row r="28" spans="1:12" ht="15.75" x14ac:dyDescent="0.25">
      <c r="A28" s="262">
        <f t="shared" si="1"/>
        <v>0.42389080427790971</v>
      </c>
      <c r="B28">
        <f t="shared" si="0"/>
        <v>22.830015210281999</v>
      </c>
      <c r="C28" s="262"/>
      <c r="E28" s="34"/>
      <c r="F28" s="34"/>
      <c r="I28" s="34"/>
      <c r="J28" s="34"/>
      <c r="K28" s="34"/>
      <c r="L28" s="34"/>
    </row>
    <row r="29" spans="1:12" ht="15.75" x14ac:dyDescent="0.25">
      <c r="A29" s="262">
        <f t="shared" si="1"/>
        <v>0.49595224100515434</v>
      </c>
      <c r="B29">
        <f t="shared" si="0"/>
        <v>26.773921201937409</v>
      </c>
      <c r="C29" s="262"/>
      <c r="D29"/>
      <c r="E29" s="185"/>
      <c r="F29" s="185"/>
      <c r="I29" s="34"/>
      <c r="J29" s="34"/>
      <c r="K29" s="34"/>
      <c r="L29" s="34"/>
    </row>
    <row r="30" spans="1:12" ht="15.75" x14ac:dyDescent="0.25">
      <c r="A30" s="262">
        <f t="shared" si="1"/>
        <v>0.5802641219760305</v>
      </c>
      <c r="B30">
        <f t="shared" si="0"/>
        <v>28.951429751799424</v>
      </c>
      <c r="C30" s="262"/>
      <c r="D30"/>
      <c r="E30" s="185"/>
      <c r="F30" s="185"/>
      <c r="I30" s="34"/>
      <c r="J30" s="31"/>
      <c r="K30" s="35"/>
      <c r="L30" s="34"/>
    </row>
    <row r="31" spans="1:12" ht="15.75" x14ac:dyDescent="0.25">
      <c r="A31" s="262">
        <f t="shared" si="1"/>
        <v>0.67890902271195563</v>
      </c>
      <c r="B31">
        <f t="shared" si="0"/>
        <v>29.578701044442131</v>
      </c>
      <c r="C31" s="262"/>
      <c r="D31"/>
      <c r="E31" s="185"/>
      <c r="F31" s="185"/>
      <c r="J31" s="4"/>
      <c r="K31" s="18"/>
    </row>
    <row r="32" spans="1:12" ht="15.75" x14ac:dyDescent="0.25">
      <c r="A32" s="262">
        <f t="shared" si="1"/>
        <v>0.79432355657298803</v>
      </c>
      <c r="B32">
        <f t="shared" si="0"/>
        <v>29.030137214038582</v>
      </c>
      <c r="C32" s="262"/>
      <c r="D32"/>
      <c r="E32" s="185"/>
      <c r="F32" s="185"/>
      <c r="J32" s="4"/>
      <c r="K32" s="37"/>
    </row>
    <row r="33" spans="1:11" ht="15.75" x14ac:dyDescent="0.25">
      <c r="A33" s="262">
        <f t="shared" si="1"/>
        <v>0.92935856119039595</v>
      </c>
      <c r="B33">
        <f t="shared" si="0"/>
        <v>27.672345440367852</v>
      </c>
      <c r="C33" s="262"/>
      <c r="D33"/>
      <c r="E33" s="185"/>
      <c r="F33" s="185"/>
      <c r="J33" s="4"/>
      <c r="K33" s="18"/>
    </row>
    <row r="34" spans="1:11" ht="15.75" x14ac:dyDescent="0.25">
      <c r="A34" s="262">
        <f t="shared" si="1"/>
        <v>1.0873495165927631</v>
      </c>
      <c r="B34">
        <f t="shared" si="0"/>
        <v>25.810042325637561</v>
      </c>
      <c r="C34" s="262"/>
      <c r="D34"/>
      <c r="E34" s="185"/>
      <c r="F34" s="185"/>
    </row>
    <row r="35" spans="1:11" ht="15.75" x14ac:dyDescent="0.25">
      <c r="A35" s="262">
        <f t="shared" si="1"/>
        <v>1.2721989344135327</v>
      </c>
      <c r="B35">
        <f t="shared" si="0"/>
        <v>23.67650066009007</v>
      </c>
      <c r="C35" s="262"/>
      <c r="D35"/>
      <c r="E35" s="185"/>
      <c r="F35" s="185"/>
    </row>
    <row r="36" spans="1:11" ht="15.75" x14ac:dyDescent="0.25">
      <c r="A36" s="262">
        <f t="shared" si="1"/>
        <v>1.4884727532638331</v>
      </c>
      <c r="B36">
        <f t="shared" si="0"/>
        <v>21.44060986571062</v>
      </c>
      <c r="C36" s="262"/>
      <c r="D36"/>
      <c r="E36"/>
      <c r="F36"/>
    </row>
    <row r="37" spans="1:11" ht="15.75" x14ac:dyDescent="0.25">
      <c r="A37" s="262">
        <f t="shared" si="1"/>
        <v>1.7415131213186845</v>
      </c>
      <c r="B37">
        <f t="shared" si="0"/>
        <v>19.218835285410311</v>
      </c>
      <c r="C37" s="262"/>
      <c r="D37"/>
      <c r="E37"/>
      <c r="F37"/>
    </row>
    <row r="38" spans="1:11" ht="15.75" x14ac:dyDescent="0.25">
      <c r="A38" s="262">
        <f t="shared" si="1"/>
        <v>2.0375703519428607</v>
      </c>
      <c r="B38">
        <f t="shared" si="0"/>
        <v>17.087308276884137</v>
      </c>
      <c r="C38" s="262"/>
      <c r="D38"/>
      <c r="E38"/>
      <c r="F38"/>
    </row>
    <row r="39" spans="1:11" ht="15.75" x14ac:dyDescent="0.25">
      <c r="A39" s="262">
        <f t="shared" si="1"/>
        <v>2.383957311773147</v>
      </c>
      <c r="B39">
        <f t="shared" si="0"/>
        <v>15.092309770597319</v>
      </c>
      <c r="C39" s="262"/>
      <c r="D39"/>
      <c r="E39"/>
      <c r="F39"/>
    </row>
    <row r="40" spans="1:11" ht="15.75" x14ac:dyDescent="0.25">
      <c r="A40" s="262">
        <f t="shared" si="1"/>
        <v>2.7892300547745816</v>
      </c>
      <c r="B40">
        <f t="shared" si="0"/>
        <v>13.258718542615465</v>
      </c>
      <c r="C40" s="262"/>
    </row>
    <row r="41" spans="1:11" ht="15.75" x14ac:dyDescent="0.25">
      <c r="A41" s="262">
        <f t="shared" si="1"/>
        <v>3.2633991640862603</v>
      </c>
      <c r="B41">
        <f t="shared" si="0"/>
        <v>11.596530114540601</v>
      </c>
      <c r="C41" s="262"/>
    </row>
    <row r="42" spans="1:11" ht="15.75" x14ac:dyDescent="0.25">
      <c r="A42" s="262">
        <f t="shared" si="1"/>
        <v>3.8181770219809241</v>
      </c>
      <c r="B42">
        <f t="shared" si="0"/>
        <v>10.105738535320153</v>
      </c>
      <c r="C42" s="262"/>
    </row>
    <row r="43" spans="1:11" ht="15.75" x14ac:dyDescent="0.25">
      <c r="A43" s="262">
        <f t="shared" si="1"/>
        <v>4.4672671157176813</v>
      </c>
      <c r="B43">
        <f t="shared" si="0"/>
        <v>8.7799069787520381</v>
      </c>
      <c r="C43" s="262"/>
    </row>
    <row r="44" spans="1:11" ht="15.75" x14ac:dyDescent="0.25">
      <c r="A44" s="262">
        <f t="shared" si="1"/>
        <v>5.2267025253896868</v>
      </c>
      <c r="B44">
        <f t="shared" si="0"/>
        <v>7.6087248417088835</v>
      </c>
      <c r="C44" s="262"/>
    </row>
    <row r="45" spans="1:11" ht="15.75" x14ac:dyDescent="0.25">
      <c r="A45" s="262">
        <f t="shared" si="1"/>
        <v>6.1152419547059331</v>
      </c>
      <c r="B45">
        <f t="shared" si="0"/>
        <v>6.5798005035214997</v>
      </c>
      <c r="C45" s="262"/>
    </row>
    <row r="46" spans="1:11" ht="15.75" x14ac:dyDescent="0.25">
      <c r="A46" s="262">
        <f t="shared" si="1"/>
        <v>7.1548330870059411</v>
      </c>
      <c r="B46">
        <f t="shared" si="0"/>
        <v>5.6798884874605964</v>
      </c>
      <c r="C46" s="262"/>
    </row>
    <row r="47" spans="1:11" ht="15.75" x14ac:dyDescent="0.25">
      <c r="A47" s="262">
        <f t="shared" si="1"/>
        <v>8.3711547117969509</v>
      </c>
      <c r="B47">
        <f t="shared" si="0"/>
        <v>4.8957048017714362</v>
      </c>
      <c r="C47" s="262"/>
    </row>
    <row r="48" spans="1:11" ht="15.75" x14ac:dyDescent="0.25">
      <c r="A48" s="262">
        <f t="shared" si="1"/>
        <v>9.794251012802432</v>
      </c>
      <c r="B48">
        <f t="shared" si="0"/>
        <v>4.214446951967183</v>
      </c>
      <c r="C48" s="262"/>
    </row>
    <row r="49" spans="1:3" ht="15.75" x14ac:dyDescent="0.25">
      <c r="A49" s="262">
        <f t="shared" si="1"/>
        <v>11.459273684978845</v>
      </c>
      <c r="B49">
        <f t="shared" si="0"/>
        <v>3.6241054619359629</v>
      </c>
      <c r="C49" s="262"/>
    </row>
    <row r="50" spans="1:3" ht="15.75" x14ac:dyDescent="0.25">
      <c r="A50" s="262">
        <f t="shared" si="1"/>
        <v>13.407350211425248</v>
      </c>
      <c r="B50">
        <f t="shared" si="0"/>
        <v>3.1136307826450893</v>
      </c>
      <c r="C50" s="262"/>
    </row>
    <row r="51" spans="1:3" ht="15.75" x14ac:dyDescent="0.25">
      <c r="A51" s="262">
        <f t="shared" si="1"/>
        <v>15.68659974736754</v>
      </c>
      <c r="B51">
        <f t="shared" si="0"/>
        <v>2.6730020238093384</v>
      </c>
      <c r="C51" s="262"/>
    </row>
    <row r="52" spans="1:3" ht="15.75" x14ac:dyDescent="0.25">
      <c r="A52" s="262">
        <f t="shared" si="1"/>
        <v>18.353321704420019</v>
      </c>
      <c r="B52">
        <f t="shared" si="0"/>
        <v>2.2932308774460757</v>
      </c>
      <c r="C52" s="262"/>
    </row>
    <row r="53" spans="1:3" ht="15.75" x14ac:dyDescent="0.25">
      <c r="A53" s="262">
        <f t="shared" si="1"/>
        <v>21.47338639417142</v>
      </c>
      <c r="B53">
        <f t="shared" si="0"/>
        <v>1.9663244256586656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1.6852234291048922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1.4437275363254281</v>
      </c>
      <c r="C55" s="262"/>
    </row>
    <row r="56" spans="1:3" ht="15.75" x14ac:dyDescent="0.25">
      <c r="A56" s="262">
        <f t="shared" si="1"/>
        <v>34.392054802928065</v>
      </c>
      <c r="B56">
        <f t="shared" si="0"/>
        <v>1.2364151408234989</v>
      </c>
      <c r="C56" s="262"/>
    </row>
    <row r="57" spans="1:3" ht="15.75" x14ac:dyDescent="0.25">
      <c r="A57" s="262">
        <f t="shared" si="1"/>
        <v>40.238704119425833</v>
      </c>
      <c r="B57">
        <f t="shared" si="0"/>
        <v>1.0585629639031142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0.90606857157085385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0.77537773040813618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0.66341761255785925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0.56753625783444794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0.4854483066203879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0.41518676896843476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0.35506044859570851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0.30361656319989505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0.25960807189315943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0.22196522035764596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0.18977083323308325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0.16223891338946217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0.13869614374731998</v>
      </c>
      <c r="C70" s="262"/>
    </row>
    <row r="71" spans="1:3" ht="15.75" x14ac:dyDescent="0.25">
      <c r="A71" s="262">
        <f t="shared" si="1"/>
        <v>362.44828600328191</v>
      </c>
      <c r="B71">
        <f t="shared" si="0"/>
        <v>0.11856592559092086</v>
      </c>
      <c r="C71" s="262"/>
    </row>
    <row r="72" spans="1:3" ht="15.75" x14ac:dyDescent="0.25">
      <c r="A72" s="262">
        <f t="shared" si="1"/>
        <v>424.06449462383978</v>
      </c>
      <c r="B72">
        <f t="shared" si="0"/>
        <v>0.10135462553508739</v>
      </c>
      <c r="C72" s="262"/>
    </row>
    <row r="73" spans="1:3" ht="15.75" x14ac:dyDescent="0.25">
      <c r="A73" s="262">
        <f t="shared" si="1"/>
        <v>496.15545870989251</v>
      </c>
      <c r="B73">
        <f t="shared" si="0"/>
        <v>8.6639739991225095E-2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7.4059720275533591E-2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6.3305232969297326E-2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5.411165861047814E-2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4.6252657279978272E-2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3.953465226909126E-2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3.3792102966100981E-2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2.8883455602356774E-2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2.4687675786240017E-2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2.1101280060481328E-2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1.8035795267440823E-2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1.541558450636474E-2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1.3175987106901701E-2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1.1261727496526852E-2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87"/>
  <sheetViews>
    <sheetView topLeftCell="A11" workbookViewId="0">
      <selection activeCell="E1" sqref="E1:L5"/>
    </sheetView>
  </sheetViews>
  <sheetFormatPr defaultColWidth="8" defaultRowHeight="12.75" x14ac:dyDescent="0.2"/>
  <cols>
    <col min="1" max="2" width="8" style="2"/>
    <col min="3" max="3" width="10.625" style="2" bestFit="1" customWidth="1"/>
    <col min="4" max="4" width="8" style="2"/>
    <col min="5" max="5" width="10.125" style="2" customWidth="1"/>
    <col min="6" max="16384" width="8" style="2"/>
  </cols>
  <sheetData>
    <row r="1" spans="1:14" ht="18" x14ac:dyDescent="0.25">
      <c r="A1" s="1" t="str">
        <f>' T = Tb'!A1</f>
        <v>Cyclohexane</v>
      </c>
      <c r="E1" s="2" t="s">
        <v>0</v>
      </c>
      <c r="F1" s="5">
        <f>'T10#'!F1</f>
        <v>2</v>
      </c>
      <c r="G1" s="5">
        <f>'T10#'!G1</f>
        <v>0</v>
      </c>
      <c r="H1" s="5" t="str">
        <f>'T10#'!H1</f>
        <v xml:space="preserve">T = </v>
      </c>
      <c r="I1" s="5">
        <f>' T = Tb'!$O$25</f>
        <v>535.15879601227323</v>
      </c>
      <c r="J1" s="5" t="str">
        <f>'T10#'!J1</f>
        <v>K</v>
      </c>
      <c r="K1" s="5" t="str">
        <f>'T10#'!K1</f>
        <v xml:space="preserve">VP D = </v>
      </c>
      <c r="L1" s="5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'T10#'!F2</f>
        <v>3.9300199999999998</v>
      </c>
      <c r="G2" s="5">
        <f>'T10#'!G2</f>
        <v>0</v>
      </c>
      <c r="H2" s="5" t="str">
        <f>'T10#'!H2</f>
        <v xml:space="preserve">1 - TR = </v>
      </c>
      <c r="I2" s="2">
        <f>1-I1/B3</f>
        <v>3.3136773238892081E-2</v>
      </c>
      <c r="J2" s="5">
        <f>'T10#'!J2</f>
        <v>0</v>
      </c>
      <c r="K2" s="5" t="str">
        <f>'T10#'!K2</f>
        <v xml:space="preserve">VP E = </v>
      </c>
      <c r="L2" s="5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'T10#'!F3</f>
        <v>1182.77</v>
      </c>
      <c r="G3" s="5">
        <f>'T10#'!G3</f>
        <v>0</v>
      </c>
      <c r="H3" s="5" t="str">
        <f>'T10#'!H3</f>
        <v xml:space="preserve">P = </v>
      </c>
      <c r="I3" s="144">
        <f>10^(F2-F3/(I1+F4-273.15)+L1*I5^F5+L2*I5^8+L3*I5^12)</f>
        <v>32.364085574389165</v>
      </c>
      <c r="J3" s="5" t="str">
        <f>'T10#'!J3</f>
        <v>bar</v>
      </c>
      <c r="K3" s="5" t="str">
        <f>'T10#'!K3</f>
        <v xml:space="preserve">VP F = </v>
      </c>
      <c r="L3" s="5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'T10#'!F4</f>
        <v>220.61799999999999</v>
      </c>
      <c r="G4" s="5">
        <f>'T10#'!G4</f>
        <v>0</v>
      </c>
      <c r="H4" s="5" t="str">
        <f>'T10#'!H4</f>
        <v xml:space="preserve">P = </v>
      </c>
      <c r="I4" s="2">
        <f>I3*100</f>
        <v>3236.4085574389164</v>
      </c>
      <c r="J4" s="5" t="str">
        <f>'T10#'!J4</f>
        <v>kPa</v>
      </c>
      <c r="K4" s="5" t="str">
        <f>'T10#'!K4</f>
        <v xml:space="preserve">VP to = </v>
      </c>
      <c r="L4" s="5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'T10#'!F5</f>
        <v>3.4040699999999999</v>
      </c>
      <c r="G5" s="5">
        <f>'T10#'!G5</f>
        <v>0</v>
      </c>
      <c r="H5" s="5" t="str">
        <f>'T10#'!H5</f>
        <v xml:space="preserve">x = </v>
      </c>
      <c r="I5" s="2">
        <f>(I1-L4-273.15)/B3</f>
        <v>0.42820017346390832</v>
      </c>
      <c r="J5" s="5">
        <f>'T10#'!J5</f>
        <v>0</v>
      </c>
      <c r="K5" s="5">
        <f>'T10#'!K5</f>
        <v>0</v>
      </c>
      <c r="L5" s="5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7.944668789168598E-5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x14ac:dyDescent="0.2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2193.7036127822548</v>
      </c>
      <c r="C12" s="88">
        <v>0.99303098041707394</v>
      </c>
      <c r="E12" s="16" t="s">
        <v>14</v>
      </c>
      <c r="H12" s="4" t="s">
        <v>32</v>
      </c>
      <c r="I12" s="191">
        <f>(2*B19)-B14-(B10*I1/I4)</f>
        <v>-1.5160895749210113</v>
      </c>
      <c r="J12" s="41">
        <f>-(B18+B15+B16)</f>
        <v>-1.5160895749210113</v>
      </c>
      <c r="K12" s="6"/>
    </row>
    <row r="13" spans="1:14" ht="18.75" x14ac:dyDescent="0.3">
      <c r="A13" s="13" t="s">
        <v>33</v>
      </c>
      <c r="B13" s="154">
        <v>2260.5924440564149</v>
      </c>
      <c r="C13" s="14">
        <v>2256.2314513556394</v>
      </c>
      <c r="D13" s="156"/>
      <c r="E13" s="192">
        <f>ABS(B10*I1*LN((B16-B14)/(B15-B14))+B13*(1/(B16+B19)-1/(B15+B19))-I4*(B16-B15))</f>
        <v>2.7854434847540688E-7</v>
      </c>
      <c r="F13" s="21">
        <f>E13+E15+E16</f>
        <v>6.7053478822742818E-6</v>
      </c>
      <c r="H13" s="4" t="s">
        <v>34</v>
      </c>
      <c r="I13" s="191">
        <f>(B19^2)-(2*B19*B14)-(2*B10*I1*B19/I4)+(B13/I4)</f>
        <v>0.69848797021019526</v>
      </c>
      <c r="J13" s="41">
        <f>B15*B16+B15*B18+B18*B16</f>
        <v>0.69848797021032116</v>
      </c>
      <c r="K13" s="6"/>
      <c r="L13" s="26">
        <f>B13/B12</f>
        <v>1.0304912800819641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H14" s="4" t="s">
        <v>36</v>
      </c>
      <c r="I14" s="191">
        <f>(-B14*(B19^2))-(B10*I1*(B19^2)/I4)-(B13*B14/I4)</f>
        <v>-9.8652664359869205E-2</v>
      </c>
      <c r="J14" s="41">
        <f>-(B18*B15*B16)</f>
        <v>-9.8652664359968625E-2</v>
      </c>
      <c r="K14" s="6"/>
      <c r="L14" s="26">
        <f>B15/B14</f>
        <v>1.9812624600831243</v>
      </c>
      <c r="N14" s="4"/>
    </row>
    <row r="15" spans="1:14" ht="16.5" x14ac:dyDescent="0.3">
      <c r="A15" s="22" t="s">
        <v>37</v>
      </c>
      <c r="B15" s="246">
        <v>0.27982847066724797</v>
      </c>
      <c r="C15" s="125">
        <f>B15-2*$B$14</f>
        <v>-2.6464424803091524E-3</v>
      </c>
      <c r="D15" s="24" t="s">
        <v>38</v>
      </c>
      <c r="E15" s="25">
        <f>100000000*ABS(B15^3+I12*B15^2+I13*B15+I14)</f>
        <v>6.4198646398949677E-6</v>
      </c>
      <c r="K15" s="4"/>
      <c r="L15" s="26">
        <f>B16/B17</f>
        <v>0.57460589164595766</v>
      </c>
    </row>
    <row r="16" spans="1:14" ht="16.5" x14ac:dyDescent="0.3">
      <c r="A16" s="22" t="s">
        <v>39</v>
      </c>
      <c r="B16" s="246">
        <v>0.78999812734424524</v>
      </c>
      <c r="C16" s="125">
        <f>B16-2*$B$14</f>
        <v>0.50752321419668811</v>
      </c>
      <c r="D16" s="24" t="s">
        <v>98</v>
      </c>
      <c r="E16" s="25">
        <f>100000000*ABS(B16^3+I12*B16^2+I13*B16+I14)</f>
        <v>6.9388939039072284E-9</v>
      </c>
      <c r="L16" s="26"/>
    </row>
    <row r="17" spans="1:13" ht="16.5" x14ac:dyDescent="0.3">
      <c r="A17" s="27" t="s">
        <v>41</v>
      </c>
      <c r="B17" s="28">
        <f>B10*I1/I4</f>
        <v>1.3748521183472326</v>
      </c>
      <c r="C17" s="125"/>
      <c r="D17" s="24" t="s">
        <v>42</v>
      </c>
      <c r="E17" s="44">
        <f>1000000*ABS(B18^3+I12*B18^2+I13*B18+I14)</f>
        <v>4.3201553445726404E-8</v>
      </c>
      <c r="H17" s="12"/>
      <c r="I17" s="4"/>
      <c r="J17" s="17"/>
      <c r="L17" s="25"/>
    </row>
    <row r="18" spans="1:13" ht="15.75" x14ac:dyDescent="0.25">
      <c r="A18" s="22" t="s">
        <v>43</v>
      </c>
      <c r="B18" s="26">
        <f>-I12-B15-B16</f>
        <v>0.44626297690951799</v>
      </c>
      <c r="C18" s="125">
        <f>B18-2*$B$14</f>
        <v>0.16378806376196087</v>
      </c>
      <c r="D18" s="4"/>
      <c r="E18" s="29"/>
      <c r="H18" s="12"/>
      <c r="I18" s="4"/>
      <c r="J18" s="17"/>
      <c r="L18" s="25"/>
    </row>
    <row r="19" spans="1:13" x14ac:dyDescent="0.2">
      <c r="A19" s="148" t="s">
        <v>135</v>
      </c>
      <c r="B19" s="264">
        <v>0</v>
      </c>
      <c r="C19" s="263">
        <v>1.04</v>
      </c>
      <c r="D19" s="29"/>
      <c r="E19" s="31"/>
      <c r="F19" s="34"/>
      <c r="G19" s="31"/>
      <c r="H19" s="42"/>
      <c r="I19" s="31"/>
      <c r="J19" s="32"/>
      <c r="K19" s="34"/>
      <c r="L19" s="45"/>
      <c r="M19" s="34"/>
    </row>
    <row r="20" spans="1:13" ht="15.75" x14ac:dyDescent="0.25">
      <c r="A20" s="261" t="s">
        <v>44</v>
      </c>
      <c r="B20" s="261" t="s">
        <v>45</v>
      </c>
      <c r="C20" s="261"/>
      <c r="D20" s="21"/>
      <c r="E20" s="31"/>
      <c r="F20" s="34"/>
      <c r="G20" s="34"/>
      <c r="H20" s="34"/>
      <c r="I20" s="31"/>
      <c r="J20" s="32"/>
      <c r="K20" s="33"/>
      <c r="L20" s="34"/>
      <c r="M20" s="34"/>
    </row>
    <row r="21" spans="1:13" ht="15.75" x14ac:dyDescent="0.25">
      <c r="A21" s="262">
        <v>0.15</v>
      </c>
      <c r="B21">
        <f>($B$10*$I$1/(A21-$B$14)-$B$13/(A21+$B$19)^2)/100</f>
        <v>4073.2507171312441</v>
      </c>
      <c r="C21" s="262"/>
      <c r="E21" s="31"/>
      <c r="F21" s="34"/>
      <c r="G21" s="34"/>
      <c r="H21" s="34"/>
      <c r="I21" s="34"/>
      <c r="J21" s="34"/>
      <c r="K21" s="34"/>
      <c r="L21" s="34"/>
      <c r="M21" s="34"/>
    </row>
    <row r="22" spans="1:13" ht="15.75" x14ac:dyDescent="0.25">
      <c r="A22" s="262">
        <f>A21*$C$19</f>
        <v>0.156</v>
      </c>
      <c r="B22">
        <f t="shared" ref="B22:B85" si="0">($B$10*$I$1/(A22-$B$14)-$B$13/(A22+$B$19)^2)/100</f>
        <v>2085.1945557805607</v>
      </c>
      <c r="C22" s="262"/>
      <c r="E22" s="193"/>
      <c r="F22" s="34"/>
      <c r="G22" s="34"/>
      <c r="H22" s="34"/>
      <c r="I22" s="34"/>
      <c r="J22" s="34"/>
      <c r="K22" s="34"/>
      <c r="L22" s="34"/>
      <c r="M22" s="34"/>
    </row>
    <row r="23" spans="1:13" ht="15.75" x14ac:dyDescent="0.25">
      <c r="A23" s="262">
        <f t="shared" ref="A23:A86" si="1">A22*$C$19</f>
        <v>0.16224</v>
      </c>
      <c r="B23">
        <f t="shared" si="0"/>
        <v>1259.7641318837127</v>
      </c>
      <c r="C23" s="262"/>
      <c r="E23" s="34"/>
      <c r="F23" s="34"/>
      <c r="G23" s="34"/>
      <c r="H23" s="34"/>
      <c r="I23" s="34"/>
      <c r="J23" s="34"/>
      <c r="K23" s="34"/>
      <c r="L23" s="34"/>
      <c r="M23" s="34"/>
    </row>
    <row r="24" spans="1:13" ht="15.75" x14ac:dyDescent="0.25">
      <c r="A24" s="262">
        <f t="shared" si="1"/>
        <v>0.16872960000000001</v>
      </c>
      <c r="B24">
        <f t="shared" si="0"/>
        <v>824.45750210763811</v>
      </c>
      <c r="C24" s="262"/>
      <c r="E24" s="34"/>
      <c r="F24" s="34"/>
      <c r="G24" s="34"/>
      <c r="H24" s="34"/>
      <c r="I24" s="34"/>
      <c r="J24" s="34"/>
      <c r="K24" s="34"/>
      <c r="L24" s="34"/>
      <c r="M24" s="34"/>
    </row>
    <row r="25" spans="1:13" ht="15.75" x14ac:dyDescent="0.25">
      <c r="A25" s="262">
        <f t="shared" si="1"/>
        <v>0.17547878400000003</v>
      </c>
      <c r="B25">
        <f t="shared" si="0"/>
        <v>565.34729989753237</v>
      </c>
      <c r="C25" s="262"/>
      <c r="E25" s="34"/>
      <c r="F25" s="34"/>
      <c r="G25" s="34"/>
      <c r="H25" s="34"/>
      <c r="I25" s="34"/>
      <c r="J25" s="34"/>
      <c r="K25" s="32"/>
      <c r="L25" s="34"/>
      <c r="M25" s="34"/>
    </row>
    <row r="26" spans="1:13" ht="15.75" x14ac:dyDescent="0.25">
      <c r="A26" s="262">
        <f t="shared" si="1"/>
        <v>0.18249793536000003</v>
      </c>
      <c r="B26">
        <f t="shared" si="0"/>
        <v>399.66831840995405</v>
      </c>
      <c r="C26" s="262"/>
      <c r="E26" s="34"/>
      <c r="F26" s="34"/>
      <c r="G26" s="34"/>
      <c r="H26" s="34"/>
      <c r="I26" s="34"/>
      <c r="J26" s="34"/>
      <c r="K26" s="32"/>
      <c r="L26" s="34"/>
      <c r="M26" s="34"/>
    </row>
    <row r="27" spans="1:13" ht="15.75" x14ac:dyDescent="0.25">
      <c r="A27" s="262">
        <f t="shared" si="1"/>
        <v>0.18979785277440003</v>
      </c>
      <c r="B27">
        <f t="shared" si="0"/>
        <v>288.76127803773414</v>
      </c>
      <c r="C27" s="262"/>
      <c r="E27" s="34"/>
      <c r="F27" s="34"/>
      <c r="G27" s="34"/>
      <c r="H27" s="34"/>
      <c r="I27" s="34"/>
      <c r="J27" s="32"/>
      <c r="K27" s="32"/>
      <c r="L27" s="34"/>
      <c r="M27" s="34"/>
    </row>
    <row r="28" spans="1:13" ht="15.75" x14ac:dyDescent="0.25">
      <c r="A28" s="262">
        <f t="shared" si="1"/>
        <v>0.19738976688537604</v>
      </c>
      <c r="B28">
        <f t="shared" si="0"/>
        <v>212.2195019904359</v>
      </c>
      <c r="C28" s="262"/>
      <c r="E28" s="34"/>
      <c r="F28" s="34"/>
      <c r="G28" s="34"/>
      <c r="H28" s="34"/>
      <c r="I28" s="34"/>
      <c r="J28" s="34"/>
      <c r="K28" s="34"/>
      <c r="L28" s="34"/>
      <c r="M28" s="34"/>
    </row>
    <row r="29" spans="1:13" ht="15.75" x14ac:dyDescent="0.25">
      <c r="A29" s="262">
        <f t="shared" si="1"/>
        <v>0.20528535756079108</v>
      </c>
      <c r="B29">
        <f t="shared" si="0"/>
        <v>158.30571470434094</v>
      </c>
      <c r="C29" s="262"/>
      <c r="D29"/>
      <c r="E29"/>
      <c r="F29"/>
      <c r="G29" s="34"/>
      <c r="H29" s="34"/>
      <c r="I29" s="34"/>
      <c r="J29" s="34"/>
      <c r="K29" s="34"/>
      <c r="L29" s="34"/>
      <c r="M29" s="34"/>
    </row>
    <row r="30" spans="1:13" ht="15.75" x14ac:dyDescent="0.25">
      <c r="A30" s="262">
        <f t="shared" si="1"/>
        <v>0.21349677186322275</v>
      </c>
      <c r="B30">
        <f t="shared" si="0"/>
        <v>119.8278674814789</v>
      </c>
      <c r="C30" s="262"/>
      <c r="D30"/>
      <c r="E30"/>
      <c r="F30"/>
      <c r="G30" s="34"/>
      <c r="H30" s="34"/>
      <c r="I30" s="34"/>
      <c r="J30" s="31"/>
      <c r="K30" s="35"/>
      <c r="L30" s="34"/>
      <c r="M30" s="34"/>
    </row>
    <row r="31" spans="1:13" ht="15.75" x14ac:dyDescent="0.25">
      <c r="A31" s="262">
        <f t="shared" si="1"/>
        <v>0.22203664273775167</v>
      </c>
      <c r="B31">
        <f t="shared" si="0"/>
        <v>92.161028840132644</v>
      </c>
      <c r="C31" s="262"/>
      <c r="D31"/>
      <c r="E31"/>
      <c r="F31"/>
      <c r="G31" s="34"/>
      <c r="H31" s="34"/>
      <c r="I31" s="34"/>
      <c r="J31" s="31"/>
      <c r="K31" s="35"/>
      <c r="L31" s="34"/>
      <c r="M31" s="34"/>
    </row>
    <row r="32" spans="1:13" ht="15.75" x14ac:dyDescent="0.25">
      <c r="A32" s="262">
        <f t="shared" si="1"/>
        <v>0.23091810844726174</v>
      </c>
      <c r="B32">
        <f t="shared" si="0"/>
        <v>72.216806617659756</v>
      </c>
      <c r="C32" s="262"/>
      <c r="D32"/>
      <c r="E32"/>
      <c r="F32"/>
      <c r="G32" s="34"/>
      <c r="H32" s="34"/>
      <c r="I32" s="34"/>
      <c r="J32" s="31"/>
      <c r="K32" s="36"/>
      <c r="L32" s="34"/>
      <c r="M32" s="34"/>
    </row>
    <row r="33" spans="1:13" ht="15.75" x14ac:dyDescent="0.25">
      <c r="A33" s="262">
        <f t="shared" si="1"/>
        <v>0.24015483278515221</v>
      </c>
      <c r="B33">
        <f t="shared" si="0"/>
        <v>57.870194044339513</v>
      </c>
      <c r="C33" s="262"/>
      <c r="D33"/>
      <c r="E33"/>
      <c r="F33"/>
      <c r="G33" s="34"/>
      <c r="H33" s="34"/>
      <c r="I33" s="34"/>
      <c r="J33" s="31"/>
      <c r="K33" s="35"/>
      <c r="L33" s="34"/>
      <c r="M33" s="34"/>
    </row>
    <row r="34" spans="1:13" ht="15.75" x14ac:dyDescent="0.25">
      <c r="A34" s="262">
        <f t="shared" si="1"/>
        <v>0.24976102609655831</v>
      </c>
      <c r="B34">
        <f t="shared" si="0"/>
        <v>47.623494891653678</v>
      </c>
      <c r="C34" s="262"/>
      <c r="D34"/>
      <c r="E34"/>
      <c r="F34"/>
      <c r="G34" s="34"/>
      <c r="H34" s="34"/>
      <c r="I34" s="34"/>
      <c r="J34" s="34"/>
      <c r="K34" s="34"/>
      <c r="L34" s="34"/>
      <c r="M34" s="34"/>
    </row>
    <row r="35" spans="1:13" ht="15.75" x14ac:dyDescent="0.25">
      <c r="A35" s="262">
        <f t="shared" si="1"/>
        <v>0.25975146714042063</v>
      </c>
      <c r="B35">
        <f t="shared" si="0"/>
        <v>40.400458871069787</v>
      </c>
      <c r="C35" s="262"/>
      <c r="D35"/>
      <c r="E35"/>
      <c r="F35"/>
      <c r="G35" s="34"/>
      <c r="H35" s="34"/>
      <c r="I35" s="34"/>
      <c r="J35" s="34"/>
      <c r="K35" s="34"/>
      <c r="L35" s="34"/>
      <c r="M35" s="34"/>
    </row>
    <row r="36" spans="1:13" ht="15.75" x14ac:dyDescent="0.25">
      <c r="A36" s="262">
        <f t="shared" si="1"/>
        <v>0.27014152582603745</v>
      </c>
      <c r="B36">
        <f t="shared" si="0"/>
        <v>35.415468146608688</v>
      </c>
      <c r="C36" s="262"/>
      <c r="D36"/>
      <c r="E36"/>
      <c r="F36"/>
      <c r="G36" s="34"/>
      <c r="H36" s="34"/>
      <c r="I36" s="34"/>
      <c r="J36" s="34"/>
      <c r="K36" s="34"/>
      <c r="L36" s="34"/>
      <c r="M36" s="34"/>
    </row>
    <row r="37" spans="1:13" ht="15.75" x14ac:dyDescent="0.25">
      <c r="A37" s="262">
        <f t="shared" si="1"/>
        <v>0.28094718685907893</v>
      </c>
      <c r="B37">
        <f t="shared" si="0"/>
        <v>32.087784345660111</v>
      </c>
      <c r="C37" s="262"/>
      <c r="D37"/>
      <c r="E37"/>
      <c r="F37"/>
      <c r="G37" s="34"/>
      <c r="H37" s="34"/>
      <c r="I37" s="34"/>
      <c r="J37" s="34"/>
      <c r="K37" s="34"/>
      <c r="L37" s="34"/>
      <c r="M37" s="34"/>
    </row>
    <row r="38" spans="1:13" ht="15.75" x14ac:dyDescent="0.25">
      <c r="A38" s="262">
        <f t="shared" si="1"/>
        <v>0.2921850743334421</v>
      </c>
      <c r="B38">
        <f t="shared" si="0"/>
        <v>29.983812532205992</v>
      </c>
      <c r="C38" s="262"/>
      <c r="D38"/>
      <c r="E38"/>
      <c r="F38"/>
      <c r="G38" s="34"/>
      <c r="H38" s="34"/>
      <c r="I38" s="34"/>
      <c r="J38" s="34"/>
      <c r="K38" s="34"/>
      <c r="L38" s="34"/>
      <c r="M38" s="34"/>
    </row>
    <row r="39" spans="1:13" ht="15.75" x14ac:dyDescent="0.25">
      <c r="A39" s="262">
        <f t="shared" si="1"/>
        <v>0.3038724773067798</v>
      </c>
      <c r="B39">
        <f t="shared" si="0"/>
        <v>28.777320530581601</v>
      </c>
      <c r="C39" s="262"/>
      <c r="D39"/>
      <c r="E39"/>
      <c r="F39"/>
      <c r="G39" s="34"/>
    </row>
    <row r="40" spans="1:13" ht="15.75" x14ac:dyDescent="0.25">
      <c r="A40" s="262">
        <f t="shared" si="1"/>
        <v>0.31602737639905099</v>
      </c>
      <c r="B40">
        <f t="shared" si="0"/>
        <v>28.22147368471531</v>
      </c>
      <c r="C40" s="262"/>
      <c r="E40" s="34"/>
      <c r="F40" s="34"/>
    </row>
    <row r="41" spans="1:13" ht="15.75" x14ac:dyDescent="0.25">
      <c r="A41" s="262">
        <f t="shared" si="1"/>
        <v>0.32866847145501304</v>
      </c>
      <c r="B41">
        <f t="shared" si="0"/>
        <v>28.128827688324307</v>
      </c>
      <c r="C41" s="262"/>
    </row>
    <row r="42" spans="1:13" ht="15.75" x14ac:dyDescent="0.25">
      <c r="A42" s="262">
        <f t="shared" si="1"/>
        <v>0.3418152103132136</v>
      </c>
      <c r="B42">
        <f t="shared" si="0"/>
        <v>28.35679292524528</v>
      </c>
      <c r="C42" s="262"/>
    </row>
    <row r="43" spans="1:13" ht="15.75" x14ac:dyDescent="0.25">
      <c r="A43" s="262">
        <f t="shared" si="1"/>
        <v>0.35548781872574214</v>
      </c>
      <c r="B43">
        <f t="shared" si="0"/>
        <v>28.79693023183383</v>
      </c>
      <c r="C43" s="262"/>
    </row>
    <row r="44" spans="1:13" ht="15.75" x14ac:dyDescent="0.25">
      <c r="A44" s="262">
        <f t="shared" si="1"/>
        <v>0.36970733147477186</v>
      </c>
      <c r="B44">
        <f t="shared" si="0"/>
        <v>29.366973854499555</v>
      </c>
      <c r="C44" s="262"/>
    </row>
    <row r="45" spans="1:13" ht="15.75" x14ac:dyDescent="0.25">
      <c r="A45" s="262">
        <f t="shared" si="1"/>
        <v>0.38449562473376275</v>
      </c>
      <c r="B45">
        <f t="shared" si="0"/>
        <v>30.004824276201706</v>
      </c>
      <c r="C45" s="262"/>
    </row>
    <row r="46" spans="1:13" ht="15.75" x14ac:dyDescent="0.25">
      <c r="A46" s="262">
        <f t="shared" si="1"/>
        <v>0.39987544972311329</v>
      </c>
      <c r="B46">
        <f t="shared" si="0"/>
        <v>30.663982746017808</v>
      </c>
      <c r="C46" s="262"/>
    </row>
    <row r="47" spans="1:13" ht="15.75" x14ac:dyDescent="0.25">
      <c r="A47" s="262">
        <f t="shared" si="1"/>
        <v>0.41587046771203784</v>
      </c>
      <c r="B47">
        <f t="shared" si="0"/>
        <v>31.310053532968013</v>
      </c>
      <c r="C47" s="262"/>
    </row>
    <row r="48" spans="1:13" ht="15.75" x14ac:dyDescent="0.25">
      <c r="A48" s="262">
        <f t="shared" si="1"/>
        <v>0.43250528642051939</v>
      </c>
      <c r="B48">
        <f t="shared" si="0"/>
        <v>31.918045419283246</v>
      </c>
      <c r="C48" s="262"/>
    </row>
    <row r="49" spans="1:3" ht="15.75" x14ac:dyDescent="0.25">
      <c r="A49" s="262">
        <f t="shared" si="1"/>
        <v>0.4498054978773402</v>
      </c>
      <c r="B49">
        <f t="shared" si="0"/>
        <v>32.470277241068345</v>
      </c>
      <c r="C49" s="262"/>
    </row>
    <row r="50" spans="1:3" ht="15.75" x14ac:dyDescent="0.25">
      <c r="A50" s="262">
        <f t="shared" si="1"/>
        <v>0.46779771779243384</v>
      </c>
      <c r="B50">
        <f t="shared" si="0"/>
        <v>32.954743926127996</v>
      </c>
      <c r="C50" s="262"/>
    </row>
    <row r="51" spans="1:3" ht="15.75" x14ac:dyDescent="0.25">
      <c r="A51" s="262">
        <f t="shared" si="1"/>
        <v>0.48650962650413121</v>
      </c>
      <c r="B51">
        <f t="shared" si="0"/>
        <v>33.363836339347763</v>
      </c>
      <c r="C51" s="262"/>
    </row>
    <row r="52" spans="1:3" ht="15.75" x14ac:dyDescent="0.25">
      <c r="A52" s="262">
        <f t="shared" si="1"/>
        <v>0.50597001156429644</v>
      </c>
      <c r="B52">
        <f t="shared" si="0"/>
        <v>33.693334872214237</v>
      </c>
      <c r="C52" s="262"/>
    </row>
    <row r="53" spans="1:3" ht="15.75" x14ac:dyDescent="0.25">
      <c r="A53" s="262">
        <f t="shared" si="1"/>
        <v>0.52620881202686831</v>
      </c>
      <c r="B53">
        <f t="shared" si="0"/>
        <v>33.94161615986215</v>
      </c>
      <c r="C53" s="262"/>
    </row>
    <row r="54" spans="1:3" ht="15.75" x14ac:dyDescent="0.25">
      <c r="A54" s="262">
        <f t="shared" si="1"/>
        <v>0.54725716450794304</v>
      </c>
      <c r="B54">
        <f t="shared" si="0"/>
        <v>34.10902665814892</v>
      </c>
      <c r="C54" s="262"/>
    </row>
    <row r="55" spans="1:3" ht="15.75" x14ac:dyDescent="0.25">
      <c r="A55" s="262">
        <f t="shared" si="1"/>
        <v>0.56914745108826081</v>
      </c>
      <c r="B55">
        <f t="shared" si="0"/>
        <v>34.197387501735705</v>
      </c>
      <c r="C55" s="262"/>
    </row>
    <row r="56" spans="1:3" ht="15.75" x14ac:dyDescent="0.25">
      <c r="A56" s="262">
        <f t="shared" si="1"/>
        <v>0.59191334913179128</v>
      </c>
      <c r="B56">
        <f t="shared" si="0"/>
        <v>34.209603096180359</v>
      </c>
      <c r="C56" s="262"/>
    </row>
    <row r="57" spans="1:3" ht="15.75" x14ac:dyDescent="0.25">
      <c r="A57" s="262">
        <f t="shared" si="1"/>
        <v>0.61558988309706297</v>
      </c>
      <c r="B57">
        <f t="shared" si="0"/>
        <v>34.149351982329584</v>
      </c>
      <c r="C57" s="262"/>
    </row>
    <row r="58" spans="1:3" ht="15.75" x14ac:dyDescent="0.25">
      <c r="A58" s="262">
        <f t="shared" si="1"/>
        <v>0.64021347842094556</v>
      </c>
      <c r="B58">
        <f t="shared" si="0"/>
        <v>34.02084315678853</v>
      </c>
      <c r="C58" s="262"/>
    </row>
    <row r="59" spans="1:3" ht="15.75" x14ac:dyDescent="0.25">
      <c r="A59" s="262">
        <f t="shared" si="1"/>
        <v>0.66582201755778336</v>
      </c>
      <c r="B59">
        <f t="shared" si="0"/>
        <v>33.828624603699893</v>
      </c>
      <c r="C59" s="262"/>
    </row>
    <row r="60" spans="1:3" ht="15.75" x14ac:dyDescent="0.25">
      <c r="A60" s="262">
        <f t="shared" si="1"/>
        <v>0.69245489826009476</v>
      </c>
      <c r="B60">
        <f t="shared" si="0"/>
        <v>33.577433556849947</v>
      </c>
      <c r="C60" s="262"/>
    </row>
    <row r="61" spans="1:3" ht="15.75" x14ac:dyDescent="0.25">
      <c r="A61" s="262">
        <f t="shared" si="1"/>
        <v>0.72015309419049855</v>
      </c>
      <c r="B61">
        <f t="shared" si="0"/>
        <v>33.27208016294189</v>
      </c>
      <c r="C61" s="262"/>
    </row>
    <row r="62" spans="1:3" ht="15.75" x14ac:dyDescent="0.25">
      <c r="A62" s="262">
        <f t="shared" si="1"/>
        <v>0.74895921795811848</v>
      </c>
      <c r="B62">
        <f t="shared" si="0"/>
        <v>32.917357901726149</v>
      </c>
      <c r="C62" s="262"/>
    </row>
    <row r="63" spans="1:3" ht="15.75" x14ac:dyDescent="0.25">
      <c r="A63" s="262">
        <f t="shared" si="1"/>
        <v>0.77891758667644329</v>
      </c>
      <c r="B63">
        <f t="shared" si="0"/>
        <v>32.517975444817452</v>
      </c>
      <c r="C63" s="262"/>
    </row>
    <row r="64" spans="1:3" ht="15.75" x14ac:dyDescent="0.25">
      <c r="A64" s="262">
        <f t="shared" si="1"/>
        <v>0.81007429014350107</v>
      </c>
      <c r="B64">
        <f t="shared" si="0"/>
        <v>32.078505683892487</v>
      </c>
      <c r="C64" s="262"/>
    </row>
    <row r="65" spans="1:3" ht="15.75" x14ac:dyDescent="0.25">
      <c r="A65" s="262">
        <f t="shared" si="1"/>
        <v>0.84247726174924109</v>
      </c>
      <c r="B65">
        <f t="shared" si="0"/>
        <v>31.603348492244013</v>
      </c>
      <c r="C65" s="262"/>
    </row>
    <row r="66" spans="1:3" ht="15.75" x14ac:dyDescent="0.25">
      <c r="A66" s="262">
        <f t="shared" si="1"/>
        <v>0.87617635221921075</v>
      </c>
      <c r="B66">
        <f t="shared" si="0"/>
        <v>31.096704448402605</v>
      </c>
      <c r="C66" s="262"/>
    </row>
    <row r="67" spans="1:3" ht="15.75" x14ac:dyDescent="0.25">
      <c r="A67" s="262">
        <f t="shared" si="1"/>
        <v>0.91122340630797927</v>
      </c>
      <c r="B67">
        <f t="shared" si="0"/>
        <v>30.56255728282537</v>
      </c>
      <c r="C67" s="262"/>
    </row>
    <row r="68" spans="1:3" ht="15.75" x14ac:dyDescent="0.25">
      <c r="A68" s="262">
        <f t="shared" si="1"/>
        <v>0.94767234256029842</v>
      </c>
      <c r="B68">
        <f t="shared" si="0"/>
        <v>30.004663236345912</v>
      </c>
      <c r="C68" s="262"/>
    </row>
    <row r="69" spans="1:3" ht="15.75" x14ac:dyDescent="0.25">
      <c r="A69" s="262">
        <f t="shared" si="1"/>
        <v>0.98557923626271038</v>
      </c>
      <c r="B69">
        <f t="shared" si="0"/>
        <v>29.426545863812276</v>
      </c>
      <c r="C69" s="262"/>
    </row>
    <row r="70" spans="1:3" ht="15.75" x14ac:dyDescent="0.25">
      <c r="A70" s="262">
        <f t="shared" si="1"/>
        <v>1.0250024057132188</v>
      </c>
      <c r="B70">
        <f t="shared" si="0"/>
        <v>28.831495094980177</v>
      </c>
      <c r="C70" s="262"/>
    </row>
    <row r="71" spans="1:3" ht="15.75" x14ac:dyDescent="0.25">
      <c r="A71" s="262">
        <f t="shared" si="1"/>
        <v>1.0660025019417476</v>
      </c>
      <c r="B71">
        <f t="shared" si="0"/>
        <v>28.222569590512144</v>
      </c>
      <c r="C71" s="262"/>
    </row>
    <row r="72" spans="1:3" ht="15.75" x14ac:dyDescent="0.25">
      <c r="A72" s="262">
        <f t="shared" si="1"/>
        <v>1.1086426020194176</v>
      </c>
      <c r="B72">
        <f t="shared" si="0"/>
        <v>27.602601614288933</v>
      </c>
      <c r="C72" s="262"/>
    </row>
    <row r="73" spans="1:3" ht="15.75" x14ac:dyDescent="0.25">
      <c r="A73" s="262">
        <f t="shared" si="1"/>
        <v>1.1529883061001942</v>
      </c>
      <c r="B73">
        <f t="shared" si="0"/>
        <v>26.97420379241834</v>
      </c>
      <c r="C73" s="262"/>
    </row>
    <row r="74" spans="1:3" ht="15.75" x14ac:dyDescent="0.25">
      <c r="A74" s="262">
        <f t="shared" si="1"/>
        <v>1.199107838344202</v>
      </c>
      <c r="B74">
        <f t="shared" si="0"/>
        <v>26.339777250893203</v>
      </c>
      <c r="C74" s="262"/>
    </row>
    <row r="75" spans="1:3" ht="15.75" x14ac:dyDescent="0.25">
      <c r="A75" s="262">
        <f t="shared" si="1"/>
        <v>1.2470721518779702</v>
      </c>
      <c r="B75">
        <f t="shared" si="0"/>
        <v>25.701520723037685</v>
      </c>
      <c r="C75" s="262"/>
    </row>
    <row r="76" spans="1:3" ht="15.75" x14ac:dyDescent="0.25">
      <c r="A76" s="262">
        <f t="shared" si="1"/>
        <v>1.296955037953089</v>
      </c>
      <c r="B76">
        <f t="shared" si="0"/>
        <v>25.061440298885806</v>
      </c>
      <c r="C76" s="262"/>
    </row>
    <row r="77" spans="1:3" ht="15.75" x14ac:dyDescent="0.25">
      <c r="A77" s="262">
        <f t="shared" si="1"/>
        <v>1.3488332394712126</v>
      </c>
      <c r="B77">
        <f t="shared" si="0"/>
        <v>24.421359554830314</v>
      </c>
      <c r="C77" s="262"/>
    </row>
    <row r="78" spans="1:3" ht="15.75" x14ac:dyDescent="0.25">
      <c r="A78" s="262">
        <f t="shared" si="1"/>
        <v>1.4027865690500612</v>
      </c>
      <c r="B78">
        <f t="shared" si="0"/>
        <v>23.782929855983099</v>
      </c>
      <c r="C78" s="262"/>
    </row>
    <row r="79" spans="1:3" ht="15.75" x14ac:dyDescent="0.25">
      <c r="A79" s="262">
        <f t="shared" si="1"/>
        <v>1.4588980318120637</v>
      </c>
      <c r="B79">
        <f t="shared" si="0"/>
        <v>23.147640667903012</v>
      </c>
      <c r="C79" s="262"/>
    </row>
    <row r="80" spans="1:3" ht="15.75" x14ac:dyDescent="0.25">
      <c r="A80" s="262">
        <f t="shared" si="1"/>
        <v>1.5172539530845464</v>
      </c>
      <c r="B80">
        <f t="shared" si="0"/>
        <v>22.516829750458392</v>
      </c>
      <c r="C80" s="262"/>
    </row>
    <row r="81" spans="1:3" ht="15.75" x14ac:dyDescent="0.25">
      <c r="A81" s="262">
        <f t="shared" si="1"/>
        <v>1.5779441112079282</v>
      </c>
      <c r="B81">
        <f t="shared" si="0"/>
        <v>21.891693136054556</v>
      </c>
      <c r="C81" s="262"/>
    </row>
    <row r="82" spans="1:3" ht="15.75" x14ac:dyDescent="0.25">
      <c r="A82" s="262">
        <f t="shared" si="1"/>
        <v>1.6410618756562454</v>
      </c>
      <c r="B82">
        <f t="shared" si="0"/>
        <v>21.273294818456598</v>
      </c>
      <c r="C82" s="262"/>
    </row>
    <row r="83" spans="1:3" ht="15.75" x14ac:dyDescent="0.25">
      <c r="A83" s="262">
        <f t="shared" si="1"/>
        <v>1.7067043506824953</v>
      </c>
      <c r="B83">
        <f t="shared" si="0"/>
        <v>20.662576097945756</v>
      </c>
      <c r="C83" s="262"/>
    </row>
    <row r="84" spans="1:3" ht="15.75" x14ac:dyDescent="0.25">
      <c r="A84" s="262">
        <f t="shared" si="1"/>
        <v>1.7749725247097952</v>
      </c>
      <c r="B84">
        <f t="shared" si="0"/>
        <v>20.060364544357668</v>
      </c>
      <c r="C84" s="262"/>
    </row>
    <row r="85" spans="1:3" ht="15.75" x14ac:dyDescent="0.25">
      <c r="A85" s="262">
        <f t="shared" si="1"/>
        <v>1.845971425698187</v>
      </c>
      <c r="B85">
        <f t="shared" si="0"/>
        <v>19.467382552316863</v>
      </c>
      <c r="C85" s="262"/>
    </row>
    <row r="86" spans="1:3" ht="15.75" x14ac:dyDescent="0.25">
      <c r="A86" s="262">
        <f t="shared" si="1"/>
        <v>1.9198102827261145</v>
      </c>
      <c r="B86">
        <f>($B$10*$I$1/(A86-$B$14)-$B$13/(A86+$B$19)^2)/100</f>
        <v>18.884255473240213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N87"/>
  <sheetViews>
    <sheetView topLeftCell="A9" workbookViewId="0">
      <selection activeCell="B13" sqref="B13:B16"/>
    </sheetView>
  </sheetViews>
  <sheetFormatPr defaultColWidth="8" defaultRowHeight="12.75" x14ac:dyDescent="0.2"/>
  <cols>
    <col min="1" max="1" width="8" style="2"/>
    <col min="2" max="2" width="9" style="2" customWidth="1"/>
    <col min="3" max="3" width="10.625" style="2" bestFit="1" customWidth="1"/>
    <col min="4" max="4" width="8" style="2"/>
    <col min="5" max="5" width="11.25" style="2" customWidth="1"/>
    <col min="6" max="16384" width="8" style="2"/>
  </cols>
  <sheetData>
    <row r="1" spans="1:14" ht="18" x14ac:dyDescent="0.25">
      <c r="A1" s="1" t="str">
        <f>' T = Tb'!A1</f>
        <v>Cyclohexane</v>
      </c>
      <c r="E1" s="2" t="s">
        <v>0</v>
      </c>
      <c r="F1" s="5">
        <f>'T10#'!F1</f>
        <v>2</v>
      </c>
      <c r="G1" s="5">
        <f>'T10#'!G1</f>
        <v>0</v>
      </c>
      <c r="H1" s="5" t="str">
        <f>'T10#'!H1</f>
        <v xml:space="preserve">T = </v>
      </c>
      <c r="I1" s="5">
        <f>' T = Tb'!$O$26</f>
        <v>551.66587960122718</v>
      </c>
      <c r="J1" s="5" t="str">
        <f>'T10#'!J1</f>
        <v>K</v>
      </c>
      <c r="K1" s="5" t="str">
        <f>'T10#'!K1</f>
        <v xml:space="preserve">VP D = </v>
      </c>
      <c r="L1" s="5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'T10#'!F2</f>
        <v>3.9300199999999998</v>
      </c>
      <c r="G2" s="5">
        <f>'T10#'!G2</f>
        <v>0</v>
      </c>
      <c r="H2" s="5" t="str">
        <f>'T10#'!H2</f>
        <v xml:space="preserve">1 - TR = </v>
      </c>
      <c r="I2" s="2">
        <f>1-I1/B3</f>
        <v>3.3136773238894301E-3</v>
      </c>
      <c r="J2" s="5">
        <f>'T10#'!J2</f>
        <v>0</v>
      </c>
      <c r="K2" s="5" t="str">
        <f>'T10#'!K2</f>
        <v xml:space="preserve">VP E = </v>
      </c>
      <c r="L2" s="5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'T10#'!F3</f>
        <v>1182.77</v>
      </c>
      <c r="G3" s="5">
        <f>'T10#'!G3</f>
        <v>0</v>
      </c>
      <c r="H3" s="5" t="str">
        <f>'T10#'!H3</f>
        <v xml:space="preserve">P = </v>
      </c>
      <c r="I3" s="144">
        <f>10^(F2-F3/(I1+F4-273.15)+L1*I5^F5+L2*I5^8+L3*I5^12)</f>
        <v>39.760579372391426</v>
      </c>
      <c r="J3" s="5" t="str">
        <f>'T10#'!J3</f>
        <v>bar</v>
      </c>
      <c r="K3" s="5" t="str">
        <f>'T10#'!K3</f>
        <v xml:space="preserve">VP F = </v>
      </c>
      <c r="L3" s="5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'T10#'!F4</f>
        <v>220.61799999999999</v>
      </c>
      <c r="G4" s="5">
        <f>'T10#'!G4</f>
        <v>0</v>
      </c>
      <c r="H4" s="5" t="str">
        <f>'T10#'!H4</f>
        <v xml:space="preserve">P = </v>
      </c>
      <c r="I4" s="2">
        <f>I3*100</f>
        <v>3976.0579372391426</v>
      </c>
      <c r="J4" s="5" t="str">
        <f>'T10#'!J4</f>
        <v>kPa</v>
      </c>
      <c r="K4" s="5" t="str">
        <f>'T10#'!K4</f>
        <v xml:space="preserve">VP to = </v>
      </c>
      <c r="L4" s="5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'T10#'!F5</f>
        <v>3.4040699999999999</v>
      </c>
      <c r="G5" s="5">
        <f>'T10#'!G5</f>
        <v>0</v>
      </c>
      <c r="H5" s="5" t="str">
        <f>'T10#'!H5</f>
        <v xml:space="preserve">x = </v>
      </c>
      <c r="I5" s="2">
        <f>(I1-L4-273.15)/B3</f>
        <v>0.45802326937891091</v>
      </c>
      <c r="J5" s="5">
        <f>'T10#'!J5</f>
        <v>0</v>
      </c>
      <c r="K5" s="5">
        <f>'T10#'!K5</f>
        <v>0</v>
      </c>
      <c r="L5" s="5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6.4667553796102166E-5</v>
      </c>
    </row>
    <row r="8" spans="1:14" ht="15.75" x14ac:dyDescent="0.3">
      <c r="A8" s="4" t="s">
        <v>26</v>
      </c>
      <c r="B8" s="5">
        <f>' T = Tb'!B8</f>
        <v>0.27300000000000002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ht="13.5" thickBot="1" x14ac:dyDescent="0.25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4" x14ac:dyDescent="0.2">
      <c r="A11" s="10" t="s">
        <v>13</v>
      </c>
      <c r="G11" s="283">
        <f>B16^3</f>
        <v>0.12965392936805822</v>
      </c>
      <c r="H11" s="34"/>
      <c r="I11" s="34"/>
      <c r="J11" s="34"/>
      <c r="K11" s="279"/>
    </row>
    <row r="12" spans="1:14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-0.33169837818373066</v>
      </c>
      <c r="H12" s="31" t="s">
        <v>32</v>
      </c>
      <c r="I12" s="287">
        <f>(2*B19)-B14-(B10*I1/I4)</f>
        <v>-1.2948502924541734</v>
      </c>
      <c r="J12" s="75">
        <f>-(B18+B15+B16)</f>
        <v>-1.2948502924541734</v>
      </c>
      <c r="K12" s="280"/>
    </row>
    <row r="13" spans="1:14" ht="18.75" x14ac:dyDescent="0.3">
      <c r="A13" s="13" t="s">
        <v>33</v>
      </c>
      <c r="B13" s="133">
        <v>2201.5820609758707</v>
      </c>
      <c r="C13" s="14">
        <f>' T = Tb'!P27</f>
        <v>2193.7036127822553</v>
      </c>
      <c r="E13" s="192">
        <f>ABS(B10*I1*LN((B16-B14)/(B15-B14))+B13*(1/(B16+B19)-1/(B15+B19))-I4*(B16-B15))</f>
        <v>5.6843418860808015E-13</v>
      </c>
      <c r="F13" s="21">
        <f>E13+E15+E16</f>
        <v>1.337222348186895E-2</v>
      </c>
      <c r="G13" s="284">
        <f>I13*B16</f>
        <v>0.28024899778073459</v>
      </c>
      <c r="H13" s="31" t="s">
        <v>34</v>
      </c>
      <c r="I13" s="287">
        <f>(B19^2)-(2*B19*B14)-(2*B10*I1*B19/I4)+(B13/I4)</f>
        <v>0.55370975366233832</v>
      </c>
      <c r="J13" s="75">
        <f>B15*B16+B15*B18+B18*B16</f>
        <v>0.5537097764704858</v>
      </c>
      <c r="K13" s="280"/>
      <c r="L13" s="26">
        <f>B13/B12</f>
        <v>1.0035913913564758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-7.8204557287362142E-2</v>
      </c>
      <c r="H14" s="31" t="s">
        <v>36</v>
      </c>
      <c r="I14" s="287">
        <f>(-B14*(B19^2))-(B10*I1*(B19^2)/I4)-(B13*B14/I4)</f>
        <v>-7.8204557287362142E-2</v>
      </c>
      <c r="J14" s="75">
        <f>-(B18*B15*B16)</f>
        <v>-7.8204560508944962E-2</v>
      </c>
      <c r="K14" s="280"/>
      <c r="L14" s="26">
        <f>B15/B14</f>
        <v>2.5677025044940418</v>
      </c>
      <c r="N14" s="4"/>
    </row>
    <row r="15" spans="1:14" ht="17.25" thickBot="1" x14ac:dyDescent="0.35">
      <c r="A15" s="22" t="s">
        <v>37</v>
      </c>
      <c r="B15" s="246">
        <v>0.36265577097285967</v>
      </c>
      <c r="C15" s="125">
        <f>B15-2*$B$14</f>
        <v>8.0180857825302543E-2</v>
      </c>
      <c r="D15" s="24" t="s">
        <v>38</v>
      </c>
      <c r="E15" s="25">
        <f>1000000*ABS(B15^3+I12*B15^2+I13*B15+I14)</f>
        <v>5.0499234932610548E-3</v>
      </c>
      <c r="G15" s="286">
        <f>SUM(G11:G14)</f>
        <v>-8.322299988039461E-9</v>
      </c>
      <c r="H15" s="281"/>
      <c r="I15" s="281"/>
      <c r="J15" s="281"/>
      <c r="K15" s="282"/>
      <c r="L15" s="26">
        <f>B16/B17</f>
        <v>0.43873452845379068</v>
      </c>
    </row>
    <row r="16" spans="1:14" ht="17.25" thickTop="1" x14ac:dyDescent="0.3">
      <c r="A16" s="22" t="s">
        <v>39</v>
      </c>
      <c r="B16" s="246">
        <v>0.50612978356822524</v>
      </c>
      <c r="C16" s="125">
        <f>B16-2*$B$14</f>
        <v>0.22365487042066812</v>
      </c>
      <c r="D16" s="24" t="s">
        <v>98</v>
      </c>
      <c r="E16" s="25">
        <f>1000000*ABS(B16^3+I12*B16^2+I13*B16+I14)</f>
        <v>8.322299988039461E-3</v>
      </c>
      <c r="L16" s="26"/>
    </row>
    <row r="17" spans="1:13" ht="16.5" x14ac:dyDescent="0.3">
      <c r="A17" s="27" t="s">
        <v>41</v>
      </c>
      <c r="B17" s="40">
        <f>B10*I1/I4</f>
        <v>1.1536128358803948</v>
      </c>
      <c r="C17" s="125"/>
      <c r="D17" s="24" t="s">
        <v>42</v>
      </c>
      <c r="E17" s="44">
        <f>100000000*ABS(B18^3+I12*B18^2+I13*B18+I14)</f>
        <v>0.64961646062400291</v>
      </c>
      <c r="H17" s="12"/>
      <c r="I17" s="4"/>
      <c r="J17" s="17"/>
      <c r="L17" s="25"/>
    </row>
    <row r="18" spans="1:13" ht="15.75" x14ac:dyDescent="0.25">
      <c r="A18" s="22" t="s">
        <v>43</v>
      </c>
      <c r="B18" s="26">
        <f>-I12-B15-B16</f>
        <v>0.42606473791308841</v>
      </c>
      <c r="C18" s="125">
        <f>B18-2*$B$14</f>
        <v>0.14358982476553128</v>
      </c>
      <c r="D18" s="4"/>
      <c r="E18" s="29"/>
      <c r="H18" s="12"/>
      <c r="I18" s="4"/>
      <c r="J18" s="17"/>
      <c r="L18" s="25"/>
    </row>
    <row r="19" spans="1:13" x14ac:dyDescent="0.2">
      <c r="A19" s="148" t="s">
        <v>135</v>
      </c>
      <c r="B19" s="264">
        <v>0</v>
      </c>
      <c r="C19" s="263">
        <v>1.17</v>
      </c>
      <c r="D19" s="29"/>
      <c r="E19" s="31"/>
      <c r="F19" s="34"/>
      <c r="G19" s="31"/>
      <c r="H19" s="42"/>
      <c r="I19" s="31"/>
      <c r="J19" s="32"/>
      <c r="K19" s="34"/>
      <c r="L19" s="45"/>
      <c r="M19" s="34"/>
    </row>
    <row r="20" spans="1:13" ht="15.75" x14ac:dyDescent="0.25">
      <c r="A20" s="261" t="s">
        <v>44</v>
      </c>
      <c r="B20" s="261" t="s">
        <v>45</v>
      </c>
      <c r="C20" s="261"/>
      <c r="D20" s="21"/>
      <c r="E20" s="31"/>
      <c r="F20" s="34"/>
      <c r="G20" s="34"/>
      <c r="H20" s="34"/>
      <c r="I20" s="31"/>
      <c r="J20" s="32"/>
      <c r="K20" s="33"/>
      <c r="L20" s="34"/>
      <c r="M20" s="34"/>
    </row>
    <row r="21" spans="1:13" ht="15.75" x14ac:dyDescent="0.25">
      <c r="A21" s="262">
        <f>B14+0.000001</f>
        <v>0.14123845657377856</v>
      </c>
      <c r="B21">
        <f>($B$10*$I$1/(A21-$B$14)-$B$13/(A21+$B$19)^2)/100</f>
        <v>45867211.082125388</v>
      </c>
      <c r="C21" s="262"/>
      <c r="E21" s="31"/>
      <c r="F21" s="34"/>
      <c r="G21" s="34"/>
      <c r="H21" s="34"/>
      <c r="I21" s="34"/>
      <c r="J21" s="34"/>
      <c r="K21" s="34"/>
      <c r="L21" s="34"/>
      <c r="M21" s="34"/>
    </row>
    <row r="22" spans="1:13" ht="15.75" x14ac:dyDescent="0.25">
      <c r="A22" s="262">
        <f>A21*$C$19</f>
        <v>0.16524899419132091</v>
      </c>
      <c r="B22">
        <f t="shared" ref="B22:B85" si="0">($B$10*$I$1/(A22-$B$14)-$B$13/(A22+$B$19)^2)/100</f>
        <v>1104.0346567293245</v>
      </c>
      <c r="C22" s="262"/>
      <c r="E22" s="193"/>
      <c r="F22" s="34"/>
      <c r="G22" s="34"/>
      <c r="H22" s="34"/>
      <c r="I22" s="34"/>
      <c r="J22" s="34"/>
      <c r="K22" s="34"/>
      <c r="L22" s="34"/>
      <c r="M22" s="34"/>
    </row>
    <row r="23" spans="1:13" ht="15.75" x14ac:dyDescent="0.25">
      <c r="A23" s="262">
        <f t="shared" ref="A23:A86" si="1">A22*$C$19</f>
        <v>0.19334132320384545</v>
      </c>
      <c r="B23">
        <f t="shared" si="0"/>
        <v>291.36498468370087</v>
      </c>
      <c r="C23" s="262"/>
      <c r="E23" s="34"/>
      <c r="F23" s="34"/>
      <c r="G23" s="34"/>
      <c r="H23" s="34"/>
      <c r="I23" s="34"/>
      <c r="J23" s="34"/>
      <c r="K23" s="34"/>
      <c r="L23" s="34"/>
      <c r="M23" s="34"/>
    </row>
    <row r="24" spans="1:13" ht="15.75" x14ac:dyDescent="0.25">
      <c r="A24" s="262">
        <f t="shared" si="1"/>
        <v>0.22620934814849916</v>
      </c>
      <c r="B24">
        <f t="shared" si="0"/>
        <v>109.56277055407176</v>
      </c>
      <c r="C24" s="262"/>
      <c r="E24" s="34"/>
      <c r="F24" s="34"/>
      <c r="G24" s="34"/>
      <c r="H24" s="34"/>
      <c r="I24" s="34"/>
      <c r="J24" s="34"/>
      <c r="K24" s="34"/>
      <c r="L24" s="34"/>
      <c r="M24" s="34"/>
    </row>
    <row r="25" spans="1:13" ht="15.75" x14ac:dyDescent="0.25">
      <c r="A25" s="262">
        <f t="shared" si="1"/>
        <v>0.26466493733374402</v>
      </c>
      <c r="B25">
        <f t="shared" si="0"/>
        <v>57.323255728240511</v>
      </c>
      <c r="C25" s="262"/>
      <c r="E25" s="34"/>
      <c r="F25" s="34"/>
      <c r="G25" s="34"/>
      <c r="H25" s="34"/>
      <c r="I25" s="34"/>
      <c r="J25" s="34"/>
      <c r="K25" s="32"/>
      <c r="L25" s="34"/>
      <c r="M25" s="34"/>
    </row>
    <row r="26" spans="1:13" ht="15.75" x14ac:dyDescent="0.25">
      <c r="A26" s="262">
        <f t="shared" si="1"/>
        <v>0.30965797668048051</v>
      </c>
      <c r="B26">
        <f t="shared" si="0"/>
        <v>42.744798936002447</v>
      </c>
      <c r="C26" s="262"/>
      <c r="E26" s="34"/>
      <c r="F26" s="34"/>
      <c r="G26" s="34"/>
      <c r="H26" s="34"/>
      <c r="I26" s="34"/>
      <c r="J26" s="34"/>
      <c r="K26" s="32"/>
      <c r="L26" s="34"/>
      <c r="M26" s="34"/>
    </row>
    <row r="27" spans="1:13" ht="15.75" x14ac:dyDescent="0.25">
      <c r="A27" s="262">
        <f t="shared" si="1"/>
        <v>0.36229983271616217</v>
      </c>
      <c r="B27">
        <f t="shared" si="0"/>
        <v>39.765059367722209</v>
      </c>
      <c r="C27" s="262"/>
      <c r="E27" s="34"/>
      <c r="F27" s="34"/>
      <c r="G27" s="34"/>
      <c r="H27" s="34"/>
      <c r="I27" s="34"/>
      <c r="J27" s="32"/>
      <c r="K27" s="32"/>
      <c r="L27" s="34"/>
      <c r="M27" s="34"/>
    </row>
    <row r="28" spans="1:13" ht="15.75" x14ac:dyDescent="0.25">
      <c r="A28" s="262">
        <f t="shared" si="1"/>
        <v>0.42389080427790971</v>
      </c>
      <c r="B28">
        <f t="shared" si="0"/>
        <v>39.752013754007457</v>
      </c>
      <c r="C28" s="262"/>
      <c r="E28" s="34"/>
      <c r="F28" s="34"/>
      <c r="G28" s="34"/>
      <c r="H28" s="34"/>
      <c r="I28" s="34"/>
      <c r="J28" s="34"/>
      <c r="K28" s="34"/>
      <c r="L28" s="34"/>
      <c r="M28" s="34"/>
    </row>
    <row r="29" spans="1:13" ht="15.75" x14ac:dyDescent="0.25">
      <c r="A29" s="262">
        <f t="shared" si="1"/>
        <v>0.49595224100515434</v>
      </c>
      <c r="B29">
        <f t="shared" si="0"/>
        <v>39.803790127592002</v>
      </c>
      <c r="C29" s="262"/>
      <c r="D29"/>
      <c r="E29"/>
      <c r="F29"/>
      <c r="G29" s="34"/>
      <c r="H29" s="34"/>
      <c r="I29" s="34"/>
      <c r="J29" s="34"/>
      <c r="K29" s="34"/>
      <c r="L29" s="34"/>
      <c r="M29" s="34"/>
    </row>
    <row r="30" spans="1:13" ht="15.75" x14ac:dyDescent="0.25">
      <c r="A30" s="262">
        <f t="shared" si="1"/>
        <v>0.5802641219760305</v>
      </c>
      <c r="B30">
        <f t="shared" si="0"/>
        <v>39.091486763437736</v>
      </c>
      <c r="C30" s="262"/>
      <c r="D30"/>
      <c r="E30"/>
      <c r="F30"/>
      <c r="G30" s="34"/>
      <c r="H30" s="34"/>
      <c r="I30" s="34"/>
      <c r="J30" s="31"/>
      <c r="K30" s="35"/>
      <c r="L30" s="34"/>
      <c r="M30" s="34"/>
    </row>
    <row r="31" spans="1:13" ht="15.75" x14ac:dyDescent="0.25">
      <c r="A31" s="262">
        <f t="shared" si="1"/>
        <v>0.67890902271195563</v>
      </c>
      <c r="B31">
        <f t="shared" si="0"/>
        <v>37.543956624716365</v>
      </c>
      <c r="C31" s="262"/>
      <c r="D31"/>
      <c r="E31"/>
      <c r="F31"/>
      <c r="G31" s="34"/>
      <c r="H31" s="34"/>
      <c r="I31" s="34"/>
      <c r="J31" s="31"/>
      <c r="K31" s="35"/>
      <c r="L31" s="34"/>
      <c r="M31" s="34"/>
    </row>
    <row r="32" spans="1:13" ht="15.75" x14ac:dyDescent="0.25">
      <c r="A32" s="262">
        <f t="shared" si="1"/>
        <v>0.79432355657298803</v>
      </c>
      <c r="B32">
        <f t="shared" si="0"/>
        <v>35.340046486593735</v>
      </c>
      <c r="C32" s="262"/>
      <c r="D32"/>
      <c r="E32"/>
      <c r="F32"/>
      <c r="G32" s="34"/>
      <c r="H32" s="34"/>
      <c r="I32" s="34"/>
      <c r="J32" s="31"/>
      <c r="K32" s="36"/>
      <c r="L32" s="34"/>
      <c r="M32" s="34"/>
    </row>
    <row r="33" spans="1:13" ht="15.75" x14ac:dyDescent="0.25">
      <c r="A33" s="262">
        <f t="shared" si="1"/>
        <v>0.92935856119039595</v>
      </c>
      <c r="B33">
        <f t="shared" si="0"/>
        <v>32.709668652065446</v>
      </c>
      <c r="C33" s="262"/>
      <c r="D33"/>
      <c r="E33"/>
      <c r="F33"/>
      <c r="G33" s="34"/>
      <c r="H33" s="34"/>
      <c r="I33" s="34"/>
      <c r="J33" s="31"/>
      <c r="K33" s="35"/>
      <c r="L33" s="34"/>
      <c r="M33" s="34"/>
    </row>
    <row r="34" spans="1:13" ht="15.75" x14ac:dyDescent="0.25">
      <c r="A34" s="262">
        <f t="shared" si="1"/>
        <v>1.0873495165927631</v>
      </c>
      <c r="B34">
        <f t="shared" si="0"/>
        <v>29.860124450373959</v>
      </c>
      <c r="C34" s="262"/>
      <c r="D34"/>
      <c r="E34"/>
      <c r="F34"/>
      <c r="G34" s="34"/>
      <c r="H34" s="34"/>
      <c r="I34" s="34"/>
      <c r="J34" s="34"/>
      <c r="K34" s="34"/>
      <c r="L34" s="34"/>
      <c r="M34" s="34"/>
    </row>
    <row r="35" spans="1:13" ht="15.75" x14ac:dyDescent="0.25">
      <c r="A35" s="262">
        <f t="shared" si="1"/>
        <v>1.2721989344135327</v>
      </c>
      <c r="B35">
        <f t="shared" si="0"/>
        <v>26.954229790531326</v>
      </c>
      <c r="C35" s="262"/>
      <c r="D35"/>
      <c r="E35"/>
      <c r="F35"/>
      <c r="G35" s="34"/>
      <c r="H35" s="34"/>
      <c r="I35" s="34"/>
      <c r="J35" s="34"/>
      <c r="K35" s="34"/>
      <c r="L35" s="34"/>
      <c r="M35" s="34"/>
    </row>
    <row r="36" spans="1:13" ht="15.75" x14ac:dyDescent="0.25">
      <c r="A36" s="262">
        <f t="shared" si="1"/>
        <v>1.4884727532638331</v>
      </c>
      <c r="B36">
        <f t="shared" si="0"/>
        <v>24.109303834594989</v>
      </c>
      <c r="C36" s="262"/>
      <c r="D36"/>
      <c r="E36"/>
      <c r="F36"/>
      <c r="G36" s="34"/>
      <c r="H36" s="34"/>
      <c r="I36" s="34"/>
      <c r="J36" s="34"/>
      <c r="K36" s="34"/>
      <c r="L36" s="34"/>
      <c r="M36" s="34"/>
    </row>
    <row r="37" spans="1:13" ht="15.75" x14ac:dyDescent="0.25">
      <c r="A37" s="262">
        <f t="shared" si="1"/>
        <v>1.7415131213186845</v>
      </c>
      <c r="B37">
        <f t="shared" si="0"/>
        <v>21.403681839671091</v>
      </c>
      <c r="C37" s="262"/>
      <c r="D37"/>
      <c r="E37"/>
      <c r="F37"/>
      <c r="G37" s="34"/>
      <c r="H37" s="34"/>
      <c r="I37" s="34"/>
      <c r="J37" s="34"/>
      <c r="K37" s="34"/>
      <c r="L37" s="34"/>
      <c r="M37" s="34"/>
    </row>
    <row r="38" spans="1:13" ht="15.75" x14ac:dyDescent="0.25">
      <c r="A38" s="262">
        <f t="shared" si="1"/>
        <v>2.0375703519428607</v>
      </c>
      <c r="B38">
        <f t="shared" si="0"/>
        <v>18.885048476810539</v>
      </c>
      <c r="C38" s="262"/>
      <c r="D38"/>
      <c r="E38"/>
      <c r="F38"/>
      <c r="G38" s="34"/>
      <c r="H38" s="34"/>
      <c r="I38" s="34"/>
      <c r="J38" s="34"/>
      <c r="K38" s="34"/>
      <c r="L38" s="34"/>
      <c r="M38" s="34"/>
    </row>
    <row r="39" spans="1:13" ht="15.75" x14ac:dyDescent="0.25">
      <c r="A39" s="262">
        <f t="shared" si="1"/>
        <v>2.383957311773147</v>
      </c>
      <c r="B39">
        <f t="shared" si="0"/>
        <v>16.578286306991259</v>
      </c>
      <c r="C39" s="262"/>
      <c r="D39"/>
      <c r="E39"/>
      <c r="F39"/>
      <c r="G39" s="34"/>
    </row>
    <row r="40" spans="1:13" ht="15.75" x14ac:dyDescent="0.25">
      <c r="A40" s="262">
        <f t="shared" si="1"/>
        <v>2.7892300547745816</v>
      </c>
      <c r="B40">
        <f t="shared" si="0"/>
        <v>14.492051361757987</v>
      </c>
      <c r="C40" s="262"/>
      <c r="E40" s="34"/>
      <c r="F40" s="34"/>
    </row>
    <row r="41" spans="1:13" ht="15.75" x14ac:dyDescent="0.25">
      <c r="A41" s="262">
        <f t="shared" si="1"/>
        <v>3.2633991640862603</v>
      </c>
      <c r="B41">
        <f t="shared" si="0"/>
        <v>12.623947000109947</v>
      </c>
      <c r="C41" s="262"/>
    </row>
    <row r="42" spans="1:13" ht="15.75" x14ac:dyDescent="0.25">
      <c r="A42" s="262">
        <f t="shared" si="1"/>
        <v>3.8181770219809241</v>
      </c>
      <c r="B42">
        <f t="shared" si="0"/>
        <v>10.964431035095224</v>
      </c>
      <c r="C42" s="262"/>
    </row>
    <row r="43" spans="1:13" ht="15.75" x14ac:dyDescent="0.25">
      <c r="A43" s="262">
        <f t="shared" si="1"/>
        <v>4.4672671157176813</v>
      </c>
      <c r="B43">
        <f t="shared" si="0"/>
        <v>9.4996746229641715</v>
      </c>
      <c r="C43" s="262"/>
    </row>
    <row r="44" spans="1:13" ht="15.75" x14ac:dyDescent="0.25">
      <c r="A44" s="262">
        <f t="shared" si="1"/>
        <v>5.2267025253896868</v>
      </c>
      <c r="B44">
        <f t="shared" si="0"/>
        <v>8.2135960559080008</v>
      </c>
      <c r="C44" s="262"/>
    </row>
    <row r="45" spans="1:13" ht="15.75" x14ac:dyDescent="0.25">
      <c r="A45" s="262">
        <f t="shared" si="1"/>
        <v>6.1152419547059331</v>
      </c>
      <c r="B45">
        <f t="shared" si="0"/>
        <v>7.0892662609981922</v>
      </c>
      <c r="C45" s="262"/>
    </row>
    <row r="46" spans="1:13" ht="15.75" x14ac:dyDescent="0.25">
      <c r="A46" s="262">
        <f t="shared" si="1"/>
        <v>7.1548330870059411</v>
      </c>
      <c r="B46">
        <f t="shared" si="0"/>
        <v>6.1098476049960029</v>
      </c>
      <c r="C46" s="262"/>
    </row>
    <row r="47" spans="1:13" ht="15.75" x14ac:dyDescent="0.25">
      <c r="A47" s="262">
        <f t="shared" si="1"/>
        <v>8.3711547117969509</v>
      </c>
      <c r="B47">
        <f t="shared" si="0"/>
        <v>5.2591932190256037</v>
      </c>
      <c r="C47" s="262"/>
    </row>
    <row r="48" spans="1:13" ht="15.75" x14ac:dyDescent="0.25">
      <c r="A48" s="262">
        <f t="shared" si="1"/>
        <v>9.794251012802432</v>
      </c>
      <c r="B48">
        <f t="shared" si="0"/>
        <v>4.5222042048171778</v>
      </c>
      <c r="C48" s="262"/>
    </row>
    <row r="49" spans="1:3" ht="15.75" x14ac:dyDescent="0.25">
      <c r="A49" s="262">
        <f t="shared" si="1"/>
        <v>11.459273684978845</v>
      </c>
      <c r="B49">
        <f t="shared" si="0"/>
        <v>3.8850177004149988</v>
      </c>
      <c r="C49" s="262"/>
    </row>
    <row r="50" spans="1:3" ht="15.75" x14ac:dyDescent="0.25">
      <c r="A50" s="262">
        <f t="shared" si="1"/>
        <v>13.407350211425248</v>
      </c>
      <c r="B50">
        <f t="shared" si="0"/>
        <v>3.3350795887648625</v>
      </c>
      <c r="C50" s="262"/>
    </row>
    <row r="51" spans="1:3" ht="15.75" x14ac:dyDescent="0.25">
      <c r="A51" s="262">
        <f t="shared" si="1"/>
        <v>15.68659974736754</v>
      </c>
      <c r="B51">
        <f t="shared" si="0"/>
        <v>2.8611408945931687</v>
      </c>
      <c r="C51" s="262"/>
    </row>
    <row r="52" spans="1:3" ht="15.75" x14ac:dyDescent="0.25">
      <c r="A52" s="262">
        <f t="shared" si="1"/>
        <v>18.353321704420019</v>
      </c>
      <c r="B52">
        <f t="shared" si="0"/>
        <v>2.4532058034608357</v>
      </c>
      <c r="C52" s="262"/>
    </row>
    <row r="53" spans="1:3" ht="15.75" x14ac:dyDescent="0.25">
      <c r="A53" s="262">
        <f t="shared" si="1"/>
        <v>21.47338639417142</v>
      </c>
      <c r="B53">
        <f t="shared" si="0"/>
        <v>2.1024509796926751</v>
      </c>
      <c r="C53" s="262"/>
    </row>
    <row r="54" spans="1:3" ht="15.75" x14ac:dyDescent="0.25">
      <c r="A54" s="262">
        <f t="shared" si="1"/>
        <v>25.123862081180562</v>
      </c>
      <c r="B54">
        <f t="shared" si="0"/>
        <v>1.8011297991006916</v>
      </c>
      <c r="C54" s="262"/>
    </row>
    <row r="55" spans="1:3" ht="15.75" x14ac:dyDescent="0.25">
      <c r="A55" s="262">
        <f t="shared" si="1"/>
        <v>29.394918634981256</v>
      </c>
      <c r="B55">
        <f t="shared" si="0"/>
        <v>1.5424707141049947</v>
      </c>
      <c r="C55" s="262"/>
    </row>
    <row r="56" spans="1:3" ht="15.75" x14ac:dyDescent="0.25">
      <c r="A56" s="262">
        <f t="shared" si="1"/>
        <v>34.392054802928065</v>
      </c>
      <c r="B56">
        <f t="shared" si="0"/>
        <v>1.3205758128142111</v>
      </c>
      <c r="C56" s="262"/>
    </row>
    <row r="57" spans="1:3" ht="15.75" x14ac:dyDescent="0.25">
      <c r="A57" s="262">
        <f t="shared" si="1"/>
        <v>40.238704119425833</v>
      </c>
      <c r="B57">
        <f t="shared" si="0"/>
        <v>1.1303233960331251</v>
      </c>
      <c r="C57" s="262"/>
    </row>
    <row r="58" spans="1:3" ht="15.75" x14ac:dyDescent="0.25">
      <c r="A58" s="262">
        <f t="shared" si="1"/>
        <v>47.079283819728225</v>
      </c>
      <c r="B58">
        <f t="shared" si="0"/>
        <v>0.96727683123957375</v>
      </c>
      <c r="C58" s="262"/>
    </row>
    <row r="59" spans="1:3" ht="15.75" x14ac:dyDescent="0.25">
      <c r="A59" s="262">
        <f t="shared" si="1"/>
        <v>55.082762069082023</v>
      </c>
      <c r="B59">
        <f t="shared" si="0"/>
        <v>0.82760086595034676</v>
      </c>
      <c r="C59" s="262"/>
    </row>
    <row r="60" spans="1:3" ht="15.75" x14ac:dyDescent="0.25">
      <c r="A60" s="262">
        <f t="shared" si="1"/>
        <v>64.446831620825961</v>
      </c>
      <c r="B60">
        <f t="shared" si="0"/>
        <v>0.7079858575931578</v>
      </c>
      <c r="C60" s="262"/>
    </row>
    <row r="61" spans="1:3" ht="15.75" x14ac:dyDescent="0.25">
      <c r="A61" s="262">
        <f t="shared" si="1"/>
        <v>75.402792996366372</v>
      </c>
      <c r="B61">
        <f t="shared" si="0"/>
        <v>0.60557990206807499</v>
      </c>
      <c r="C61" s="262"/>
    </row>
    <row r="62" spans="1:3" ht="15.75" x14ac:dyDescent="0.25">
      <c r="A62" s="262">
        <f t="shared" si="1"/>
        <v>88.221267805748653</v>
      </c>
      <c r="B62">
        <f t="shared" si="0"/>
        <v>0.51792854477045058</v>
      </c>
      <c r="C62" s="262"/>
    </row>
    <row r="63" spans="1:3" ht="15.75" x14ac:dyDescent="0.25">
      <c r="A63" s="262">
        <f t="shared" si="1"/>
        <v>103.21888333272592</v>
      </c>
      <c r="B63">
        <f t="shared" si="0"/>
        <v>0.44292158232081419</v>
      </c>
      <c r="C63" s="262"/>
    </row>
    <row r="64" spans="1:3" ht="15.75" x14ac:dyDescent="0.25">
      <c r="A64" s="262">
        <f t="shared" si="1"/>
        <v>120.76609349928933</v>
      </c>
      <c r="B64">
        <f t="shared" si="0"/>
        <v>0.37874637192570859</v>
      </c>
      <c r="C64" s="262"/>
    </row>
    <row r="65" spans="1:3" ht="15.75" x14ac:dyDescent="0.25">
      <c r="A65" s="262">
        <f t="shared" si="1"/>
        <v>141.29632939416851</v>
      </c>
      <c r="B65">
        <f t="shared" si="0"/>
        <v>0.32384703049718366</v>
      </c>
      <c r="C65" s="262"/>
    </row>
    <row r="66" spans="1:3" ht="15.75" x14ac:dyDescent="0.25">
      <c r="A66" s="262">
        <f t="shared" si="1"/>
        <v>165.31670539117715</v>
      </c>
      <c r="B66">
        <f t="shared" si="0"/>
        <v>0.27688890774891289</v>
      </c>
      <c r="C66" s="262"/>
    </row>
    <row r="67" spans="1:3" ht="15.75" x14ac:dyDescent="0.25">
      <c r="A67" s="262">
        <f t="shared" si="1"/>
        <v>193.42054530767726</v>
      </c>
      <c r="B67">
        <f t="shared" si="0"/>
        <v>0.23672774266934737</v>
      </c>
      <c r="C67" s="262"/>
    </row>
    <row r="68" spans="1:3" ht="15.75" x14ac:dyDescent="0.25">
      <c r="A68" s="262">
        <f t="shared" si="1"/>
        <v>226.30203800998237</v>
      </c>
      <c r="B68">
        <f t="shared" si="0"/>
        <v>0.20238295147556556</v>
      </c>
      <c r="C68" s="262"/>
    </row>
    <row r="69" spans="1:3" ht="15.75" x14ac:dyDescent="0.25">
      <c r="A69" s="262">
        <f t="shared" si="1"/>
        <v>264.77338447167938</v>
      </c>
      <c r="B69">
        <f t="shared" si="0"/>
        <v>0.1730145408363063</v>
      </c>
      <c r="C69" s="262"/>
    </row>
    <row r="70" spans="1:3" ht="15.75" x14ac:dyDescent="0.25">
      <c r="A70" s="262">
        <f t="shared" si="1"/>
        <v>309.78485983186488</v>
      </c>
      <c r="B70">
        <f t="shared" si="0"/>
        <v>0.14790318844194469</v>
      </c>
      <c r="C70" s="262"/>
    </row>
    <row r="71" spans="1:3" ht="15.75" x14ac:dyDescent="0.25">
      <c r="A71" s="262">
        <f t="shared" si="1"/>
        <v>362.44828600328191</v>
      </c>
      <c r="B71">
        <f t="shared" si="0"/>
        <v>0.12643308104501816</v>
      </c>
      <c r="C71" s="262"/>
    </row>
    <row r="72" spans="1:3" ht="15.75" x14ac:dyDescent="0.25">
      <c r="A72" s="262">
        <f t="shared" si="1"/>
        <v>424.06449462383978</v>
      </c>
      <c r="B72">
        <f t="shared" si="0"/>
        <v>0.10807714612069091</v>
      </c>
      <c r="C72" s="262"/>
    </row>
    <row r="73" spans="1:3" ht="15.75" x14ac:dyDescent="0.25">
      <c r="A73" s="262">
        <f t="shared" si="1"/>
        <v>496.15545870989251</v>
      </c>
      <c r="B73">
        <f t="shared" si="0"/>
        <v>9.2384356267092557E-2</v>
      </c>
      <c r="C73" s="262"/>
    </row>
    <row r="74" spans="1:3" ht="15.75" x14ac:dyDescent="0.25">
      <c r="A74" s="262">
        <f t="shared" si="1"/>
        <v>580.50188669057422</v>
      </c>
      <c r="B74">
        <f t="shared" si="0"/>
        <v>7.8968824850971633E-2</v>
      </c>
      <c r="C74" s="262"/>
    </row>
    <row r="75" spans="1:3" ht="15.75" x14ac:dyDescent="0.25">
      <c r="A75" s="262">
        <f t="shared" si="1"/>
        <v>679.18720742797177</v>
      </c>
      <c r="B75">
        <f t="shared" si="0"/>
        <v>6.750044701222277E-2</v>
      </c>
      <c r="C75" s="262"/>
    </row>
    <row r="76" spans="1:3" ht="15.75" x14ac:dyDescent="0.25">
      <c r="A76" s="262">
        <f t="shared" si="1"/>
        <v>794.64903269072693</v>
      </c>
      <c r="B76">
        <f t="shared" si="0"/>
        <v>5.7696871998181701E-2</v>
      </c>
      <c r="C76" s="262"/>
    </row>
    <row r="77" spans="1:3" ht="15.75" x14ac:dyDescent="0.25">
      <c r="A77" s="262">
        <f t="shared" si="1"/>
        <v>929.73936824815041</v>
      </c>
      <c r="B77">
        <f t="shared" si="0"/>
        <v>4.9316621067869909E-2</v>
      </c>
      <c r="C77" s="262"/>
    </row>
    <row r="78" spans="1:3" ht="15.75" x14ac:dyDescent="0.25">
      <c r="A78" s="262">
        <f t="shared" si="1"/>
        <v>1087.7950608503359</v>
      </c>
      <c r="B78">
        <f t="shared" si="0"/>
        <v>4.2153190129241028E-2</v>
      </c>
      <c r="C78" s="262"/>
    </row>
    <row r="79" spans="1:3" ht="15.75" x14ac:dyDescent="0.25">
      <c r="A79" s="262">
        <f t="shared" si="1"/>
        <v>1272.7202211948929</v>
      </c>
      <c r="B79">
        <f t="shared" si="0"/>
        <v>3.6029998130544943E-2</v>
      </c>
      <c r="C79" s="262"/>
    </row>
    <row r="80" spans="1:3" ht="15.75" x14ac:dyDescent="0.25">
      <c r="A80" s="262">
        <f t="shared" si="1"/>
        <v>1489.0826587980246</v>
      </c>
      <c r="B80">
        <f t="shared" si="0"/>
        <v>3.0796061315837599E-2</v>
      </c>
      <c r="C80" s="262"/>
    </row>
    <row r="81" spans="1:3" ht="15.75" x14ac:dyDescent="0.25">
      <c r="A81" s="262">
        <f t="shared" si="1"/>
        <v>1742.2267107936887</v>
      </c>
      <c r="B81">
        <f t="shared" si="0"/>
        <v>2.6322290067337547E-2</v>
      </c>
      <c r="C81" s="262"/>
    </row>
    <row r="82" spans="1:3" ht="15.75" x14ac:dyDescent="0.25">
      <c r="A82" s="262">
        <f t="shared" si="1"/>
        <v>2038.4052516286156</v>
      </c>
      <c r="B82">
        <f t="shared" si="0"/>
        <v>2.2498319473542618E-2</v>
      </c>
      <c r="C82" s="262"/>
    </row>
    <row r="83" spans="1:3" ht="15.75" x14ac:dyDescent="0.25">
      <c r="A83" s="262">
        <f t="shared" si="1"/>
        <v>2384.9341444054803</v>
      </c>
      <c r="B83">
        <f t="shared" si="0"/>
        <v>1.9229797242415022E-2</v>
      </c>
      <c r="C83" s="262"/>
    </row>
    <row r="84" spans="1:3" ht="15.75" x14ac:dyDescent="0.25">
      <c r="A84" s="262">
        <f t="shared" si="1"/>
        <v>2790.3729489544116</v>
      </c>
      <c r="B84">
        <f t="shared" si="0"/>
        <v>1.6436063362032936E-2</v>
      </c>
      <c r="C84" s="262"/>
    </row>
    <row r="85" spans="1:3" ht="15.75" x14ac:dyDescent="0.25">
      <c r="A85" s="262">
        <f t="shared" si="1"/>
        <v>3264.7363502766616</v>
      </c>
      <c r="B85">
        <f t="shared" si="0"/>
        <v>1.4048165212252828E-2</v>
      </c>
      <c r="C85" s="262"/>
    </row>
    <row r="86" spans="1:3" ht="15.75" x14ac:dyDescent="0.25">
      <c r="A86" s="262">
        <f t="shared" si="1"/>
        <v>3819.7415298236938</v>
      </c>
      <c r="B86">
        <f>($B$10*$I$1/(A86-$B$14)-$B$13/(A86+$B$19)^2)/100</f>
        <v>1.2007159842611796E-2</v>
      </c>
      <c r="C86" s="262"/>
    </row>
    <row r="87" spans="1:3" x14ac:dyDescent="0.2">
      <c r="A87" s="112"/>
      <c r="B87" s="112"/>
      <c r="C87" s="112"/>
    </row>
  </sheetData>
  <phoneticPr fontId="25" type="noConversion"/>
  <pageMargins left="0.75" right="0.75" top="1" bottom="1" header="0.5" footer="0.5"/>
  <pageSetup paperSize="9" orientation="portrait" horizontalDpi="4294967294" verticalDpi="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N87"/>
  <sheetViews>
    <sheetView topLeftCell="A12" zoomScale="75" workbookViewId="0">
      <selection activeCell="O3" sqref="O3"/>
    </sheetView>
  </sheetViews>
  <sheetFormatPr defaultColWidth="8" defaultRowHeight="12.75" x14ac:dyDescent="0.2"/>
  <cols>
    <col min="1" max="4" width="8.125" style="2" bestFit="1" customWidth="1"/>
    <col min="5" max="5" width="10.5" style="2" customWidth="1"/>
    <col min="6" max="6" width="8.125" style="2" bestFit="1" customWidth="1"/>
    <col min="7" max="7" width="9.5" style="2" bestFit="1" customWidth="1"/>
    <col min="8" max="8" width="8" style="2"/>
    <col min="9" max="9" width="10.875" style="2" bestFit="1" customWidth="1"/>
    <col min="10" max="16384" width="8" style="2"/>
  </cols>
  <sheetData>
    <row r="1" spans="1:14" ht="18" x14ac:dyDescent="0.25">
      <c r="A1" s="1" t="str">
        <f>' T = Tb'!A1</f>
        <v>Cyclohexane</v>
      </c>
      <c r="B1" s="2">
        <v>0.5</v>
      </c>
      <c r="E1" s="2" t="s">
        <v>0</v>
      </c>
      <c r="F1" s="5">
        <f>'T10#'!F1</f>
        <v>2</v>
      </c>
      <c r="G1" s="5">
        <f>'T10#'!G1</f>
        <v>0</v>
      </c>
      <c r="H1" s="5" t="str">
        <f>'T10#'!H1</f>
        <v xml:space="preserve">T = </v>
      </c>
      <c r="I1" s="5">
        <f>' T = Tb'!O27</f>
        <v>553.49999999999989</v>
      </c>
      <c r="J1" s="5" t="str">
        <f>'T10#'!J1</f>
        <v>K</v>
      </c>
      <c r="K1" s="5" t="str">
        <f>'T10#'!K1</f>
        <v xml:space="preserve">VP D = </v>
      </c>
      <c r="L1" s="5">
        <f>'T10#'!L1</f>
        <v>0.43429000000000001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 t="s">
        <v>4</v>
      </c>
      <c r="F2" s="5">
        <f>'T10#'!F2</f>
        <v>3.9300199999999998</v>
      </c>
      <c r="G2" s="5">
        <f>'T10#'!G2</f>
        <v>0</v>
      </c>
      <c r="H2" s="5" t="str">
        <f>'T10#'!H2</f>
        <v xml:space="preserve">1 - TR = </v>
      </c>
      <c r="I2" s="2">
        <f>1-I1/B3</f>
        <v>0</v>
      </c>
      <c r="J2" s="5">
        <f>'T10#'!J2</f>
        <v>0</v>
      </c>
      <c r="K2" s="5" t="str">
        <f>'T10#'!K2</f>
        <v xml:space="preserve">VP E = </v>
      </c>
      <c r="L2" s="5">
        <f>'T10#'!L2</f>
        <v>10.048</v>
      </c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 t="s">
        <v>5</v>
      </c>
      <c r="F3" s="5">
        <f>'T10#'!F3</f>
        <v>1182.77</v>
      </c>
      <c r="G3" s="5">
        <f>'T10#'!G3</f>
        <v>0</v>
      </c>
      <c r="H3" s="5" t="str">
        <f>'T10#'!H3</f>
        <v xml:space="preserve">P = </v>
      </c>
      <c r="I3" s="144">
        <f>10^(F2-F3/(I1+F4-273.15)+L1*I5^F5+L2*I5^8+L3*I5^12)</f>
        <v>40.650133425732548</v>
      </c>
      <c r="J3" s="5" t="str">
        <f>'T10#'!J3</f>
        <v>bar</v>
      </c>
      <c r="K3" s="5" t="str">
        <f>'T10#'!K3</f>
        <v xml:space="preserve">VP F = </v>
      </c>
      <c r="L3" s="5">
        <f>'T10#'!L3</f>
        <v>-126.96</v>
      </c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 t="s">
        <v>8</v>
      </c>
      <c r="F4" s="5">
        <f>'T10#'!F4</f>
        <v>220.61799999999999</v>
      </c>
      <c r="G4" s="5">
        <f>'T10#'!G4</f>
        <v>0</v>
      </c>
      <c r="H4" s="5" t="str">
        <f>'T10#'!H4</f>
        <v xml:space="preserve">P = </v>
      </c>
      <c r="I4" s="2">
        <f>I3*100</f>
        <v>4065.0133425732547</v>
      </c>
      <c r="J4" s="5" t="str">
        <f>'T10#'!J4</f>
        <v>kPa</v>
      </c>
      <c r="K4" s="5" t="str">
        <f>'T10#'!K4</f>
        <v xml:space="preserve">VP to = </v>
      </c>
      <c r="L4" s="5">
        <f>'T10#'!L4</f>
        <v>25</v>
      </c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 t="s">
        <v>10</v>
      </c>
      <c r="F5" s="5">
        <f>'T10#'!F5</f>
        <v>3.4040699999999999</v>
      </c>
      <c r="G5" s="5">
        <f>'T10#'!G5</f>
        <v>0</v>
      </c>
      <c r="H5" s="5" t="str">
        <f>'T10#'!H5</f>
        <v xml:space="preserve">x = </v>
      </c>
      <c r="I5" s="2">
        <f>(I1-L4-273.15)/B3</f>
        <v>0.46133694670280018</v>
      </c>
      <c r="J5" s="5">
        <f>'T10#'!J5</f>
        <v>0</v>
      </c>
      <c r="K5" s="5">
        <f>'T10#'!K5</f>
        <v>0</v>
      </c>
      <c r="L5" s="5">
        <f>'T10#'!L5</f>
        <v>0</v>
      </c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 t="s">
        <v>21</v>
      </c>
      <c r="F6" s="2">
        <f>' T = Tb'!F6</f>
        <v>282.11</v>
      </c>
      <c r="G6" s="7">
        <f>F6/B3</f>
        <v>0.5096838301716351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D7" s="2">
        <f>C8*B10*B3/B5</f>
        <v>0.42371236972133569</v>
      </c>
      <c r="E7" s="4" t="s">
        <v>24</v>
      </c>
      <c r="F7" s="2">
        <f>' T = Tb'!F7</f>
        <v>553.5</v>
      </c>
      <c r="G7" s="7">
        <f>F7/B3</f>
        <v>1</v>
      </c>
      <c r="H7" s="2" t="s">
        <v>25</v>
      </c>
      <c r="I7" s="2">
        <f>I6/I3</f>
        <v>6.3252422288500213E-5</v>
      </c>
    </row>
    <row r="8" spans="1:14" ht="15.75" x14ac:dyDescent="0.3">
      <c r="A8" s="4" t="s">
        <v>26</v>
      </c>
      <c r="B8" s="41">
        <f>' T = Tb'!B8</f>
        <v>0.27300000000000002</v>
      </c>
      <c r="C8" s="34">
        <v>0.375</v>
      </c>
      <c r="E8" s="4" t="s">
        <v>27</v>
      </c>
      <c r="F8" s="18">
        <f>' T = Tb'!F8</f>
        <v>353.93</v>
      </c>
      <c r="G8" s="7">
        <f>F8/B3</f>
        <v>0.63943992773261071</v>
      </c>
      <c r="H8" s="2" t="s">
        <v>28</v>
      </c>
    </row>
    <row r="9" spans="1:14" ht="13.5" thickBot="1" x14ac:dyDescent="0.25">
      <c r="A9" s="9" t="s">
        <v>29</v>
      </c>
      <c r="B9" s="5">
        <f>' T = Tb'!B9</f>
        <v>0.21099999999999999</v>
      </c>
      <c r="E9" s="4"/>
      <c r="F9" s="2">
        <f>' T = Tb'!F9</f>
        <v>101.325</v>
      </c>
      <c r="K9" s="4"/>
    </row>
    <row r="10" spans="1:14" ht="23.25" thickTop="1" x14ac:dyDescent="0.35">
      <c r="A10" s="2" t="s">
        <v>11</v>
      </c>
      <c r="B10" s="2">
        <v>8.3145100000000003</v>
      </c>
      <c r="C10" s="2" t="s">
        <v>12</v>
      </c>
      <c r="G10" s="275"/>
      <c r="H10" s="276" t="s">
        <v>30</v>
      </c>
      <c r="I10" s="277"/>
      <c r="J10" s="277"/>
      <c r="K10" s="278"/>
    </row>
    <row r="11" spans="1:14" x14ac:dyDescent="0.2">
      <c r="A11" s="10" t="s">
        <v>13</v>
      </c>
      <c r="G11" s="283">
        <f>B16^3</f>
        <v>7.6070002147329951E-2</v>
      </c>
      <c r="H11" s="34"/>
      <c r="I11" s="34"/>
      <c r="J11" s="34"/>
      <c r="K11" s="279"/>
    </row>
    <row r="12" spans="1:14" ht="18.75" x14ac:dyDescent="0.3">
      <c r="A12" s="13" t="s">
        <v>31</v>
      </c>
      <c r="B12" s="14">
        <f>27/64*(B10*B3)^2/B5</f>
        <v>2193.7036127822548</v>
      </c>
      <c r="C12" s="15"/>
      <c r="E12" s="16" t="s">
        <v>14</v>
      </c>
      <c r="G12" s="284">
        <f>I12*B16^2</f>
        <v>-0.22860855867058208</v>
      </c>
      <c r="H12" s="31" t="s">
        <v>32</v>
      </c>
      <c r="I12" s="287">
        <f>(2*B19)-B14-(B10*I1/I4)</f>
        <v>-1.2733570579541684</v>
      </c>
      <c r="J12" s="75">
        <f>-(B18+B15+B16)</f>
        <v>-1.2733570579541684</v>
      </c>
      <c r="K12" s="280"/>
    </row>
    <row r="13" spans="1:14" ht="18.75" x14ac:dyDescent="0.3">
      <c r="A13" s="13" t="s">
        <v>33</v>
      </c>
      <c r="B13" s="154">
        <f>B12</f>
        <v>2193.7036127822548</v>
      </c>
      <c r="C13" s="12">
        <f>' T = Tb'!P27</f>
        <v>2193.7036127822553</v>
      </c>
      <c r="E13" s="192">
        <f>ABS(B10*I1*LN((B16-B14)/(B15-B14))+B13*(1/(B16+B19)-1/(B15+B19))-I4*(B16-B15))</f>
        <v>0</v>
      </c>
      <c r="F13" s="21">
        <f>E13+E15+E16</f>
        <v>199.27611429604309</v>
      </c>
      <c r="G13" s="284">
        <f>I13*B16</f>
        <v>0.22865837769915617</v>
      </c>
      <c r="H13" s="31" t="s">
        <v>34</v>
      </c>
      <c r="I13" s="287">
        <f>(B19^2)-(2*B19*B14)-(2*B10*I1*B19/I4)+(B13/I4)</f>
        <v>0.53965471399746645</v>
      </c>
      <c r="J13" s="75">
        <f>B15*B16+B15*B18+B18*B16</f>
        <v>0.54047775628968819</v>
      </c>
      <c r="K13" s="280"/>
      <c r="L13" s="26">
        <f>B13/B12</f>
        <v>1</v>
      </c>
    </row>
    <row r="14" spans="1:14" ht="15.75" x14ac:dyDescent="0.3">
      <c r="A14" s="152" t="s">
        <v>35</v>
      </c>
      <c r="B14" s="324">
        <f>B10*B3/8/B5</f>
        <v>0.14123745657377856</v>
      </c>
      <c r="C14" s="8" t="s">
        <v>23</v>
      </c>
      <c r="G14" s="285">
        <f>+I14</f>
        <v>-7.6219459233052067E-2</v>
      </c>
      <c r="H14" s="31" t="s">
        <v>36</v>
      </c>
      <c r="I14" s="287">
        <f>(-B14*(B19^2))-(B10*I1*(B19^2)/I4)-(B13*B14/I4)</f>
        <v>-7.6219459233052067E-2</v>
      </c>
      <c r="J14" s="75">
        <f>-(B18*B15*B16)</f>
        <v>-7.6468554375922204E-2</v>
      </c>
      <c r="K14" s="280"/>
      <c r="L14" s="26">
        <f>B15/B14</f>
        <v>3</v>
      </c>
      <c r="N14" s="4"/>
    </row>
    <row r="15" spans="1:14" ht="17.25" thickBot="1" x14ac:dyDescent="0.35">
      <c r="A15" s="22" t="s">
        <v>37</v>
      </c>
      <c r="B15" s="246">
        <f>D7</f>
        <v>0.42371236972133569</v>
      </c>
      <c r="C15" s="7">
        <f>'T21'!B15</f>
        <v>0.36265577097285967</v>
      </c>
      <c r="D15" s="24" t="s">
        <v>38</v>
      </c>
      <c r="E15" s="39">
        <f>1000000*ABS(B15^3+I12*B15^2+I13*B15+I14)</f>
        <v>99.638057148021545</v>
      </c>
      <c r="G15" s="286">
        <f>SUM(G11:G14)</f>
        <v>-9.9638057148021542E-5</v>
      </c>
      <c r="H15" s="281"/>
      <c r="I15" s="281"/>
      <c r="J15" s="281"/>
      <c r="K15" s="282"/>
      <c r="L15" s="26">
        <f>B16/B17</f>
        <v>0.37426467062729463</v>
      </c>
    </row>
    <row r="16" spans="1:14" ht="17.25" thickTop="1" x14ac:dyDescent="0.3">
      <c r="A16" s="22" t="s">
        <v>39</v>
      </c>
      <c r="B16" s="246">
        <f>D7</f>
        <v>0.42371236972133569</v>
      </c>
      <c r="C16" s="7">
        <f>'T21'!B16</f>
        <v>0.50612978356822524</v>
      </c>
      <c r="D16" s="24" t="s">
        <v>98</v>
      </c>
      <c r="E16" s="39">
        <f>1000000*ABS(B16^3+I12*B16^2+I13*B16+I14)</f>
        <v>99.638057148021545</v>
      </c>
      <c r="L16" s="26"/>
    </row>
    <row r="17" spans="1:13" ht="16.5" x14ac:dyDescent="0.3">
      <c r="A17" s="27" t="s">
        <v>41</v>
      </c>
      <c r="B17" s="28">
        <f>B10*I1/I4</f>
        <v>1.1321196013803898</v>
      </c>
      <c r="D17" s="24" t="s">
        <v>42</v>
      </c>
      <c r="E17" s="44">
        <f>1000000*ABS(B18^3+I12*B18^2+I13*B18+I14)</f>
        <v>101.46516888889789</v>
      </c>
      <c r="H17" s="12"/>
      <c r="I17" s="4"/>
      <c r="J17" s="17"/>
      <c r="L17" s="25"/>
    </row>
    <row r="18" spans="1:13" ht="15.75" x14ac:dyDescent="0.25">
      <c r="A18" s="22" t="s">
        <v>43</v>
      </c>
      <c r="B18" s="26">
        <f>-I12-B15-B16</f>
        <v>0.4259323185114971</v>
      </c>
      <c r="C18" s="4"/>
      <c r="D18" s="4"/>
      <c r="E18" s="29"/>
      <c r="H18" s="12"/>
      <c r="I18" s="4"/>
      <c r="J18" s="17"/>
      <c r="L18" s="25"/>
    </row>
    <row r="19" spans="1:13" x14ac:dyDescent="0.2">
      <c r="A19" s="148" t="s">
        <v>135</v>
      </c>
      <c r="B19" s="264">
        <v>0</v>
      </c>
      <c r="C19" s="263">
        <v>1.03</v>
      </c>
      <c r="D19" s="2">
        <v>0.72299999999999998</v>
      </c>
      <c r="E19" s="31"/>
      <c r="F19" s="34"/>
      <c r="G19" s="31"/>
      <c r="H19" s="42"/>
      <c r="I19" s="31"/>
      <c r="J19" s="32"/>
      <c r="K19" s="34"/>
      <c r="L19" s="45"/>
      <c r="M19" s="34"/>
    </row>
    <row r="20" spans="1:13" ht="15.75" x14ac:dyDescent="0.25">
      <c r="A20" s="261" t="s">
        <v>44</v>
      </c>
      <c r="B20" s="261" t="s">
        <v>45</v>
      </c>
      <c r="C20" s="261"/>
      <c r="D20" s="21">
        <v>0.19408193793110431</v>
      </c>
      <c r="E20" s="31"/>
      <c r="G20" s="34"/>
      <c r="H20" s="34"/>
      <c r="I20" s="31"/>
      <c r="J20" s="32"/>
      <c r="K20" s="33"/>
      <c r="L20" s="34"/>
    </row>
    <row r="21" spans="1:13" ht="15.75" x14ac:dyDescent="0.25">
      <c r="A21" s="262">
        <v>0.2</v>
      </c>
      <c r="B21">
        <f>($B$10*$I$1/(A21-$B$14)-$B$13/(A21+$B$19)^2)/100</f>
        <v>234.7398715769466</v>
      </c>
      <c r="C21" s="262"/>
      <c r="D21" s="2">
        <v>1.2001285409756097</v>
      </c>
      <c r="E21" s="31"/>
      <c r="F21" s="34"/>
      <c r="G21" s="34"/>
      <c r="H21" s="34"/>
      <c r="I21" s="34"/>
      <c r="J21" s="34"/>
      <c r="K21" s="34"/>
      <c r="L21" s="34"/>
    </row>
    <row r="22" spans="1:13" ht="15.75" x14ac:dyDescent="0.25">
      <c r="A22" s="262">
        <f>A21*$C$19</f>
        <v>0.20600000000000002</v>
      </c>
      <c r="B22">
        <f t="shared" ref="B22:B85" si="0">($B$10*$I$1/(A22-$B$14)-$B$13/(A22+$B$19)^2)/100</f>
        <v>193.66447189375313</v>
      </c>
      <c r="C22" s="262"/>
      <c r="D22" s="2">
        <v>2.9838580230817174E-2</v>
      </c>
      <c r="E22" s="193"/>
      <c r="F22" s="34"/>
      <c r="G22" s="34"/>
      <c r="H22" s="34"/>
      <c r="I22" s="34"/>
      <c r="J22" s="34"/>
      <c r="K22" s="34"/>
      <c r="L22" s="34"/>
    </row>
    <row r="23" spans="1:13" ht="15.75" x14ac:dyDescent="0.25">
      <c r="A23" s="262">
        <f t="shared" ref="A23:A86" si="1">A22*$C$19</f>
        <v>0.21218000000000004</v>
      </c>
      <c r="B23">
        <f t="shared" si="0"/>
        <v>161.43611420118796</v>
      </c>
      <c r="C23" s="262"/>
      <c r="E23" s="34"/>
      <c r="F23" s="34"/>
      <c r="G23" s="34"/>
      <c r="H23" s="34"/>
      <c r="I23" s="34"/>
      <c r="J23" s="34"/>
      <c r="K23" s="34"/>
      <c r="L23" s="34"/>
    </row>
    <row r="24" spans="1:13" ht="15.75" x14ac:dyDescent="0.25">
      <c r="A24" s="262">
        <f t="shared" si="1"/>
        <v>0.21854540000000003</v>
      </c>
      <c r="B24">
        <f t="shared" si="0"/>
        <v>135.99410299620089</v>
      </c>
      <c r="C24" s="262"/>
      <c r="E24" s="34"/>
      <c r="F24" s="34"/>
      <c r="G24" s="34"/>
      <c r="H24" s="34"/>
      <c r="I24" s="34"/>
      <c r="J24" s="34"/>
      <c r="K24" s="34"/>
      <c r="L24" s="34"/>
    </row>
    <row r="25" spans="1:13" ht="15.75" x14ac:dyDescent="0.25">
      <c r="A25" s="262">
        <f t="shared" si="1"/>
        <v>0.22510176200000004</v>
      </c>
      <c r="B25">
        <f t="shared" si="0"/>
        <v>115.82080973663025</v>
      </c>
      <c r="C25" s="262"/>
      <c r="E25" s="34"/>
      <c r="F25" s="34"/>
      <c r="G25" s="34"/>
      <c r="H25" s="34"/>
      <c r="I25" s="34"/>
      <c r="J25" s="34"/>
      <c r="K25" s="32"/>
      <c r="L25" s="34"/>
    </row>
    <row r="26" spans="1:13" ht="15.75" x14ac:dyDescent="0.25">
      <c r="A26" s="262">
        <f t="shared" si="1"/>
        <v>0.23185481486000004</v>
      </c>
      <c r="B26">
        <f t="shared" si="0"/>
        <v>99.778312434202746</v>
      </c>
      <c r="C26" s="262"/>
      <c r="E26" s="34"/>
      <c r="F26" s="34"/>
      <c r="G26" s="34"/>
      <c r="H26" s="34"/>
      <c r="I26" s="34"/>
      <c r="J26" s="34"/>
      <c r="K26" s="32"/>
      <c r="L26" s="34"/>
    </row>
    <row r="27" spans="1:13" ht="15.75" x14ac:dyDescent="0.25">
      <c r="A27" s="262">
        <f t="shared" si="1"/>
        <v>0.23881045930580005</v>
      </c>
      <c r="B27">
        <f t="shared" si="0"/>
        <v>87.00029272481035</v>
      </c>
      <c r="C27" s="262"/>
      <c r="E27" s="34"/>
      <c r="F27" s="34"/>
      <c r="G27" s="34"/>
      <c r="H27" s="34"/>
      <c r="I27" s="34"/>
      <c r="J27" s="32"/>
      <c r="K27" s="32"/>
      <c r="L27" s="34"/>
    </row>
    <row r="28" spans="1:13" ht="15.75" x14ac:dyDescent="0.25">
      <c r="A28" s="262">
        <f t="shared" si="1"/>
        <v>0.24597477308497406</v>
      </c>
      <c r="B28">
        <f t="shared" si="0"/>
        <v>76.818575547056312</v>
      </c>
      <c r="C28" s="262"/>
      <c r="E28" s="34"/>
      <c r="F28" s="34"/>
      <c r="G28" s="34"/>
      <c r="H28" s="34"/>
      <c r="I28" s="34"/>
      <c r="J28" s="34"/>
      <c r="K28" s="34"/>
      <c r="L28" s="34"/>
    </row>
    <row r="29" spans="1:13" ht="15.75" x14ac:dyDescent="0.25">
      <c r="A29" s="262">
        <f t="shared" si="1"/>
        <v>0.2533540162775233</v>
      </c>
      <c r="B29">
        <f t="shared" si="0"/>
        <v>68.712039291537295</v>
      </c>
      <c r="C29" s="262"/>
      <c r="D29"/>
      <c r="E29"/>
      <c r="F29"/>
      <c r="G29" s="34"/>
      <c r="H29" s="34"/>
      <c r="I29" s="34"/>
      <c r="J29" s="34"/>
      <c r="K29" s="34"/>
      <c r="L29" s="34"/>
    </row>
    <row r="30" spans="1:13" ht="15.75" x14ac:dyDescent="0.25">
      <c r="A30" s="262">
        <f t="shared" si="1"/>
        <v>0.26095463676584901</v>
      </c>
      <c r="B30">
        <f t="shared" si="0"/>
        <v>62.270351750562369</v>
      </c>
      <c r="C30" s="262"/>
      <c r="D30"/>
      <c r="E30"/>
      <c r="F30"/>
      <c r="G30" s="34"/>
      <c r="H30" s="34"/>
      <c r="I30" s="34"/>
      <c r="J30" s="31"/>
      <c r="K30" s="35"/>
      <c r="L30" s="34"/>
    </row>
    <row r="31" spans="1:13" ht="15.75" x14ac:dyDescent="0.25">
      <c r="A31" s="262">
        <f t="shared" si="1"/>
        <v>0.2687832758688245</v>
      </c>
      <c r="B31">
        <f t="shared" si="0"/>
        <v>57.167760149239442</v>
      </c>
      <c r="C31" s="262"/>
      <c r="D31"/>
      <c r="E31"/>
      <c r="F31"/>
      <c r="G31" s="34"/>
      <c r="H31" s="34"/>
      <c r="I31" s="34"/>
      <c r="J31" s="31"/>
      <c r="K31" s="35"/>
      <c r="L31" s="34"/>
    </row>
    <row r="32" spans="1:13" ht="15.75" x14ac:dyDescent="0.25">
      <c r="A32" s="262">
        <f t="shared" si="1"/>
        <v>0.27684677414488923</v>
      </c>
      <c r="B32">
        <f t="shared" si="0"/>
        <v>53.143840389929245</v>
      </c>
      <c r="C32" s="262"/>
      <c r="D32"/>
      <c r="E32"/>
      <c r="F32"/>
      <c r="G32" s="34"/>
      <c r="H32" s="34"/>
      <c r="I32" s="34"/>
      <c r="J32" s="31"/>
      <c r="K32" s="36"/>
      <c r="L32" s="34"/>
    </row>
    <row r="33" spans="1:12" ht="15.75" x14ac:dyDescent="0.25">
      <c r="A33" s="262">
        <f t="shared" si="1"/>
        <v>0.28515217736923593</v>
      </c>
      <c r="B33">
        <f t="shared" si="0"/>
        <v>49.989152542909544</v>
      </c>
      <c r="C33" s="262"/>
      <c r="D33"/>
      <c r="E33"/>
      <c r="F33"/>
      <c r="G33" s="34"/>
      <c r="H33" s="34"/>
      <c r="I33" s="34"/>
      <c r="J33" s="31"/>
      <c r="K33" s="35"/>
      <c r="L33" s="34"/>
    </row>
    <row r="34" spans="1:12" ht="15.75" x14ac:dyDescent="0.25">
      <c r="A34" s="262">
        <f t="shared" si="1"/>
        <v>0.29370674269031299</v>
      </c>
      <c r="B34">
        <f t="shared" si="0"/>
        <v>47.534412917489206</v>
      </c>
      <c r="C34" s="262"/>
      <c r="D34"/>
      <c r="E34"/>
      <c r="F34"/>
      <c r="G34" s="34"/>
      <c r="H34" s="34"/>
      <c r="I34" s="34"/>
      <c r="J34" s="34"/>
      <c r="K34" s="34"/>
      <c r="L34" s="34"/>
    </row>
    <row r="35" spans="1:12" ht="15.75" x14ac:dyDescent="0.25">
      <c r="A35" s="262">
        <f t="shared" si="1"/>
        <v>0.30251794497102241</v>
      </c>
      <c r="B35">
        <f t="shared" si="0"/>
        <v>45.642224671778784</v>
      </c>
      <c r="C35" s="262"/>
      <c r="D35"/>
      <c r="E35"/>
      <c r="F35"/>
      <c r="G35" s="34"/>
      <c r="H35" s="34"/>
      <c r="I35" s="34"/>
      <c r="J35" s="34"/>
      <c r="K35" s="34"/>
      <c r="L35" s="34"/>
    </row>
    <row r="36" spans="1:12" ht="15.75" x14ac:dyDescent="0.25">
      <c r="A36" s="262">
        <f t="shared" si="1"/>
        <v>0.31159348332015308</v>
      </c>
      <c r="B36">
        <f t="shared" si="0"/>
        <v>44.200695413930916</v>
      </c>
      <c r="C36" s="262"/>
      <c r="D36"/>
      <c r="E36"/>
      <c r="F36"/>
      <c r="G36" s="34"/>
    </row>
    <row r="37" spans="1:12" ht="15.75" x14ac:dyDescent="0.25">
      <c r="A37" s="262">
        <f t="shared" si="1"/>
        <v>0.32094128781975767</v>
      </c>
      <c r="B37">
        <f t="shared" si="0"/>
        <v>43.118463876970857</v>
      </c>
      <c r="C37" s="262"/>
      <c r="D37"/>
      <c r="E37"/>
      <c r="F37"/>
    </row>
    <row r="38" spans="1:12" ht="15.75" x14ac:dyDescent="0.25">
      <c r="A38" s="262">
        <f t="shared" si="1"/>
        <v>0.33056952645435039</v>
      </c>
      <c r="B38">
        <f t="shared" si="0"/>
        <v>42.32079079379222</v>
      </c>
      <c r="C38" s="262"/>
      <c r="D38"/>
      <c r="E38"/>
      <c r="F38"/>
    </row>
    <row r="39" spans="1:12" ht="15.75" x14ac:dyDescent="0.25">
      <c r="A39" s="262">
        <f t="shared" si="1"/>
        <v>0.34048661224798094</v>
      </c>
      <c r="B39">
        <f t="shared" si="0"/>
        <v>41.746461910869151</v>
      </c>
      <c r="C39" s="262"/>
      <c r="D39"/>
      <c r="E39"/>
      <c r="F39"/>
    </row>
    <row r="40" spans="1:12" ht="15.75" x14ac:dyDescent="0.25">
      <c r="A40" s="262">
        <f t="shared" si="1"/>
        <v>0.35070121061542037</v>
      </c>
      <c r="B40">
        <f t="shared" si="0"/>
        <v>41.345316735004893</v>
      </c>
      <c r="C40" s="262"/>
    </row>
    <row r="41" spans="1:12" ht="15.75" x14ac:dyDescent="0.25">
      <c r="A41" s="262">
        <f t="shared" si="1"/>
        <v>0.361222246933883</v>
      </c>
      <c r="B41">
        <f t="shared" si="0"/>
        <v>41.076263655574728</v>
      </c>
      <c r="C41" s="262"/>
    </row>
    <row r="42" spans="1:12" ht="15.75" x14ac:dyDescent="0.25">
      <c r="A42" s="262">
        <f t="shared" si="1"/>
        <v>0.37205891434189947</v>
      </c>
      <c r="B42">
        <f t="shared" si="0"/>
        <v>40.905676204151824</v>
      </c>
      <c r="C42" s="262"/>
    </row>
    <row r="43" spans="1:12" ht="15.75" x14ac:dyDescent="0.25">
      <c r="A43" s="262">
        <f t="shared" si="1"/>
        <v>0.38322068177215646</v>
      </c>
      <c r="B43">
        <f t="shared" si="0"/>
        <v>40.806090233141276</v>
      </c>
      <c r="C43" s="262"/>
    </row>
    <row r="44" spans="1:12" ht="15.75" x14ac:dyDescent="0.25">
      <c r="A44" s="262">
        <f t="shared" si="1"/>
        <v>0.39471730222532114</v>
      </c>
      <c r="B44">
        <f t="shared" si="0"/>
        <v>40.755140332686388</v>
      </c>
      <c r="C44" s="262"/>
    </row>
    <row r="45" spans="1:12" ht="15.75" x14ac:dyDescent="0.25">
      <c r="A45" s="262">
        <f t="shared" si="1"/>
        <v>0.40655882129208076</v>
      </c>
      <c r="B45">
        <f t="shared" si="0"/>
        <v>40.73468767322251</v>
      </c>
      <c r="C45" s="262"/>
    </row>
    <row r="46" spans="1:12" ht="15.75" x14ac:dyDescent="0.25">
      <c r="A46" s="262">
        <f t="shared" si="1"/>
        <v>0.41875558593084322</v>
      </c>
      <c r="B46">
        <f t="shared" si="0"/>
        <v>40.730101929935969</v>
      </c>
      <c r="C46" s="262"/>
    </row>
    <row r="47" spans="1:12" ht="15.75" x14ac:dyDescent="0.25">
      <c r="A47" s="262">
        <f t="shared" si="1"/>
        <v>0.43131825350876851</v>
      </c>
      <c r="B47">
        <f t="shared" si="0"/>
        <v>40.7296679153432</v>
      </c>
      <c r="C47" s="262"/>
    </row>
    <row r="48" spans="1:12" ht="15.75" x14ac:dyDescent="0.25">
      <c r="A48" s="262">
        <f t="shared" si="1"/>
        <v>0.44425780111403157</v>
      </c>
      <c r="B48">
        <f t="shared" si="0"/>
        <v>40.724093662078864</v>
      </c>
      <c r="C48" s="262"/>
    </row>
    <row r="49" spans="1:3" ht="15.75" x14ac:dyDescent="0.25">
      <c r="A49" s="262">
        <f t="shared" si="1"/>
        <v>0.45758553514745254</v>
      </c>
      <c r="B49">
        <f t="shared" si="0"/>
        <v>40.706101426238746</v>
      </c>
      <c r="C49" s="262"/>
    </row>
    <row r="50" spans="1:3" ht="15.75" x14ac:dyDescent="0.25">
      <c r="A50" s="262">
        <f t="shared" si="1"/>
        <v>0.47131310120187614</v>
      </c>
      <c r="B50">
        <f t="shared" si="0"/>
        <v>40.670086762844875</v>
      </c>
      <c r="C50" s="262"/>
    </row>
    <row r="51" spans="1:3" ht="15.75" x14ac:dyDescent="0.25">
      <c r="A51" s="262">
        <f t="shared" si="1"/>
        <v>0.48545249423793241</v>
      </c>
      <c r="B51">
        <f t="shared" si="0"/>
        <v>40.611833710074954</v>
      </c>
      <c r="C51" s="262"/>
    </row>
    <row r="52" spans="1:3" ht="15.75" x14ac:dyDescent="0.25">
      <c r="A52" s="262">
        <f t="shared" si="1"/>
        <v>0.50001606906507035</v>
      </c>
      <c r="B52">
        <f t="shared" si="0"/>
        <v>40.528276394159782</v>
      </c>
      <c r="C52" s="262"/>
    </row>
    <row r="53" spans="1:3" ht="15.75" x14ac:dyDescent="0.25">
      <c r="A53" s="262">
        <f t="shared" si="1"/>
        <v>0.51501655113702249</v>
      </c>
      <c r="B53">
        <f t="shared" si="0"/>
        <v>40.417299171801915</v>
      </c>
      <c r="C53" s="262"/>
    </row>
    <row r="54" spans="1:3" ht="15.75" x14ac:dyDescent="0.25">
      <c r="A54" s="262">
        <f t="shared" si="1"/>
        <v>0.53046704767113317</v>
      </c>
      <c r="B54">
        <f t="shared" si="0"/>
        <v>40.27756886681955</v>
      </c>
      <c r="C54" s="262"/>
    </row>
    <row r="55" spans="1:3" ht="15.75" x14ac:dyDescent="0.25">
      <c r="A55" s="262">
        <f t="shared" si="1"/>
        <v>0.54638105910126722</v>
      </c>
      <c r="B55">
        <f t="shared" si="0"/>
        <v>40.108393812381543</v>
      </c>
      <c r="C55" s="262"/>
    </row>
    <row r="56" spans="1:3" ht="15.75" x14ac:dyDescent="0.25">
      <c r="A56" s="262">
        <f t="shared" si="1"/>
        <v>0.56277249087430525</v>
      </c>
      <c r="B56">
        <f t="shared" si="0"/>
        <v>39.909605340788964</v>
      </c>
      <c r="C56" s="262"/>
    </row>
    <row r="57" spans="1:3" ht="15.75" x14ac:dyDescent="0.25">
      <c r="A57" s="262">
        <f t="shared" si="1"/>
        <v>0.57965566560053439</v>
      </c>
      <c r="B57">
        <f t="shared" si="0"/>
        <v>39.681458116299375</v>
      </c>
      <c r="C57" s="262"/>
    </row>
    <row r="58" spans="1:3" ht="15.75" x14ac:dyDescent="0.25">
      <c r="A58" s="262">
        <f t="shared" si="1"/>
        <v>0.59704533556855044</v>
      </c>
      <c r="B58">
        <f t="shared" si="0"/>
        <v>39.424546319401173</v>
      </c>
      <c r="C58" s="262"/>
    </row>
    <row r="59" spans="1:3" ht="15.75" x14ac:dyDescent="0.25">
      <c r="A59" s="262">
        <f t="shared" si="1"/>
        <v>0.61495669563560695</v>
      </c>
      <c r="B59">
        <f t="shared" si="0"/>
        <v>39.139733191580859</v>
      </c>
      <c r="C59" s="262"/>
    </row>
    <row r="60" spans="1:3" ht="15.75" x14ac:dyDescent="0.25">
      <c r="A60" s="262">
        <f t="shared" si="1"/>
        <v>0.6334053965046752</v>
      </c>
      <c r="B60">
        <f t="shared" si="0"/>
        <v>38.828091860199287</v>
      </c>
      <c r="C60" s="262"/>
    </row>
    <row r="61" spans="1:3" ht="15.75" x14ac:dyDescent="0.25">
      <c r="A61" s="262">
        <f t="shared" si="1"/>
        <v>0.65240755839981546</v>
      </c>
      <c r="B61">
        <f t="shared" si="0"/>
        <v>38.490855701080029</v>
      </c>
      <c r="C61" s="262"/>
    </row>
    <row r="62" spans="1:3" ht="15.75" x14ac:dyDescent="0.25">
      <c r="A62" s="262">
        <f t="shared" si="1"/>
        <v>0.67197978515180989</v>
      </c>
      <c r="B62">
        <f t="shared" si="0"/>
        <v>38.129376775655643</v>
      </c>
      <c r="C62" s="262"/>
    </row>
    <row r="63" spans="1:3" ht="15.75" x14ac:dyDescent="0.25">
      <c r="A63" s="262">
        <f t="shared" si="1"/>
        <v>0.69213917870636421</v>
      </c>
      <c r="B63">
        <f t="shared" si="0"/>
        <v>37.745091111004861</v>
      </c>
      <c r="C63" s="262"/>
    </row>
    <row r="64" spans="1:3" ht="15.75" x14ac:dyDescent="0.25">
      <c r="A64" s="262">
        <f t="shared" si="1"/>
        <v>0.71290335406755512</v>
      </c>
      <c r="B64">
        <f t="shared" si="0"/>
        <v>37.339489783637973</v>
      </c>
      <c r="C64" s="262"/>
    </row>
    <row r="65" spans="1:3" ht="15.75" x14ac:dyDescent="0.25">
      <c r="A65" s="262">
        <f t="shared" si="1"/>
        <v>0.73429045468958176</v>
      </c>
      <c r="B65">
        <f t="shared" si="0"/>
        <v>36.914094928492084</v>
      </c>
      <c r="C65" s="262"/>
    </row>
    <row r="66" spans="1:3" ht="15.75" x14ac:dyDescent="0.25">
      <c r="A66" s="262">
        <f t="shared" si="1"/>
        <v>0.75631916833026924</v>
      </c>
      <c r="B66">
        <f t="shared" si="0"/>
        <v>36.470439928962151</v>
      </c>
      <c r="C66" s="262"/>
    </row>
    <row r="67" spans="1:3" ht="15.75" x14ac:dyDescent="0.25">
      <c r="A67" s="262">
        <f t="shared" si="1"/>
        <v>0.77900874338017734</v>
      </c>
      <c r="B67">
        <f t="shared" si="0"/>
        <v>36.010053156510956</v>
      </c>
      <c r="C67" s="262"/>
    </row>
    <row r="68" spans="1:3" ht="15.75" x14ac:dyDescent="0.25">
      <c r="A68" s="262">
        <f t="shared" si="1"/>
        <v>0.80237900568158271</v>
      </c>
      <c r="B68">
        <f t="shared" si="0"/>
        <v>35.534444723202604</v>
      </c>
      <c r="C68" s="262"/>
    </row>
    <row r="69" spans="1:3" ht="15.75" x14ac:dyDescent="0.25">
      <c r="A69" s="262">
        <f t="shared" si="1"/>
        <v>0.82645037585203018</v>
      </c>
      <c r="B69">
        <f t="shared" si="0"/>
        <v>35.04509579042854</v>
      </c>
      <c r="C69" s="262"/>
    </row>
    <row r="70" spans="1:3" ht="15.75" x14ac:dyDescent="0.25">
      <c r="A70" s="262">
        <f t="shared" si="1"/>
        <v>0.85124388712759114</v>
      </c>
      <c r="B70">
        <f t="shared" si="0"/>
        <v>34.543450044632685</v>
      </c>
      <c r="C70" s="262"/>
    </row>
    <row r="71" spans="1:3" ht="15.75" x14ac:dyDescent="0.25">
      <c r="A71" s="262">
        <f t="shared" si="1"/>
        <v>0.87678120374141888</v>
      </c>
      <c r="B71">
        <f t="shared" si="0"/>
        <v>34.03090700803245</v>
      </c>
      <c r="C71" s="262"/>
    </row>
    <row r="72" spans="1:3" ht="15.75" x14ac:dyDescent="0.25">
      <c r="A72" s="262">
        <f t="shared" si="1"/>
        <v>0.9030846398536615</v>
      </c>
      <c r="B72">
        <f t="shared" si="0"/>
        <v>33.508816900859529</v>
      </c>
      <c r="C72" s="262"/>
    </row>
    <row r="73" spans="1:3" ht="15.75" x14ac:dyDescent="0.25">
      <c r="A73" s="262">
        <f t="shared" si="1"/>
        <v>0.93017717904927133</v>
      </c>
      <c r="B73">
        <f t="shared" si="0"/>
        <v>32.978476812895195</v>
      </c>
      <c r="C73" s="262"/>
    </row>
    <row r="74" spans="1:3" ht="15.75" x14ac:dyDescent="0.25">
      <c r="A74" s="262">
        <f t="shared" si="1"/>
        <v>0.95808249442074944</v>
      </c>
      <c r="B74">
        <f t="shared" si="0"/>
        <v>32.441127977203408</v>
      </c>
      <c r="C74" s="262"/>
    </row>
    <row r="75" spans="1:3" ht="15.75" x14ac:dyDescent="0.25">
      <c r="A75" s="262">
        <f t="shared" si="1"/>
        <v>0.98682496925337193</v>
      </c>
      <c r="B75">
        <f t="shared" si="0"/>
        <v>31.897953968927357</v>
      </c>
      <c r="C75" s="262"/>
    </row>
    <row r="76" spans="1:3" ht="15.75" x14ac:dyDescent="0.25">
      <c r="A76" s="262">
        <f t="shared" si="1"/>
        <v>1.0164297183309732</v>
      </c>
      <c r="B76">
        <f t="shared" si="0"/>
        <v>31.350079677607859</v>
      </c>
      <c r="C76" s="262"/>
    </row>
    <row r="77" spans="1:3" ht="15.75" x14ac:dyDescent="0.25">
      <c r="A77" s="262">
        <f t="shared" si="1"/>
        <v>1.0469226098809024</v>
      </c>
      <c r="B77">
        <f t="shared" si="0"/>
        <v>30.798570923374555</v>
      </c>
      <c r="C77" s="262"/>
    </row>
    <row r="78" spans="1:3" ht="15.75" x14ac:dyDescent="0.25">
      <c r="A78" s="262">
        <f t="shared" si="1"/>
        <v>1.0783302881773293</v>
      </c>
      <c r="B78">
        <f t="shared" si="0"/>
        <v>30.244434606108562</v>
      </c>
      <c r="C78" s="262"/>
    </row>
    <row r="79" spans="1:3" ht="15.75" x14ac:dyDescent="0.25">
      <c r="A79" s="262">
        <f t="shared" si="1"/>
        <v>1.1106801968226492</v>
      </c>
      <c r="B79">
        <f t="shared" si="0"/>
        <v>29.6886192927502</v>
      </c>
      <c r="C79" s="262"/>
    </row>
    <row r="80" spans="1:3" ht="15.75" x14ac:dyDescent="0.25">
      <c r="A80" s="262">
        <f t="shared" si="1"/>
        <v>1.1440006027273286</v>
      </c>
      <c r="B80">
        <f t="shared" si="0"/>
        <v>29.132016161720529</v>
      </c>
      <c r="C80" s="262"/>
    </row>
    <row r="81" spans="1:3" ht="15.75" x14ac:dyDescent="0.25">
      <c r="A81" s="262">
        <f t="shared" si="1"/>
        <v>1.1783206208091486</v>
      </c>
      <c r="B81">
        <f t="shared" si="0"/>
        <v>28.575460235275251</v>
      </c>
      <c r="C81" s="262"/>
    </row>
    <row r="82" spans="1:3" ht="15.75" x14ac:dyDescent="0.25">
      <c r="A82" s="262">
        <f t="shared" si="1"/>
        <v>1.2136702394334231</v>
      </c>
      <c r="B82">
        <f t="shared" si="0"/>
        <v>28.019731840795814</v>
      </c>
      <c r="C82" s="262"/>
    </row>
    <row r="83" spans="1:3" ht="15.75" x14ac:dyDescent="0.25">
      <c r="A83" s="262">
        <f t="shared" si="1"/>
        <v>1.2500803466164259</v>
      </c>
      <c r="B83">
        <f t="shared" si="0"/>
        <v>27.465558250783499</v>
      </c>
      <c r="C83" s="262"/>
    </row>
    <row r="84" spans="1:3" ht="15.75" x14ac:dyDescent="0.25">
      <c r="A84" s="262">
        <f t="shared" si="1"/>
        <v>1.2875827570149188</v>
      </c>
      <c r="B84">
        <f t="shared" si="0"/>
        <v>26.91361545886231</v>
      </c>
      <c r="C84" s="262"/>
    </row>
    <row r="85" spans="1:3" ht="15.75" x14ac:dyDescent="0.25">
      <c r="A85" s="262">
        <f t="shared" si="1"/>
        <v>1.3262102397253663</v>
      </c>
      <c r="B85">
        <f t="shared" si="0"/>
        <v>26.364530055586084</v>
      </c>
      <c r="C85" s="262"/>
    </row>
    <row r="86" spans="1:3" ht="15.75" x14ac:dyDescent="0.25">
      <c r="A86" s="262">
        <f t="shared" si="1"/>
        <v>1.3659965469171274</v>
      </c>
      <c r="B86">
        <f>($B$10*$I$1/(A86-$B$14)-$B$13/(A86+$B$19)^2)/100</f>
        <v>25.818881173433947</v>
      </c>
      <c r="C86" s="262"/>
    </row>
    <row r="87" spans="1:3" x14ac:dyDescent="0.2">
      <c r="A87" s="112"/>
      <c r="B87" s="112"/>
      <c r="C87" s="112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N141"/>
  <sheetViews>
    <sheetView zoomScale="75" workbookViewId="0">
      <selection activeCell="B14" sqref="B14"/>
    </sheetView>
  </sheetViews>
  <sheetFormatPr defaultColWidth="8" defaultRowHeight="12.75" x14ac:dyDescent="0.2"/>
  <cols>
    <col min="1" max="1" width="8" style="2"/>
    <col min="2" max="2" width="9.75" style="2" customWidth="1"/>
    <col min="3" max="16384" width="8" style="2"/>
  </cols>
  <sheetData>
    <row r="1" spans="1:14" ht="18" x14ac:dyDescent="0.25">
      <c r="A1" s="1" t="str">
        <f>' T = Tb'!A1</f>
        <v>Cyclohexane</v>
      </c>
      <c r="E1" s="2" t="s">
        <v>0</v>
      </c>
      <c r="F1" s="2">
        <v>1</v>
      </c>
      <c r="H1" s="3" t="s">
        <v>1</v>
      </c>
      <c r="I1" s="2">
        <f>1.5*B3</f>
        <v>830.25</v>
      </c>
      <c r="J1" s="2" t="s">
        <v>2</v>
      </c>
    </row>
    <row r="2" spans="1:14" x14ac:dyDescent="0.2">
      <c r="A2" s="4" t="s">
        <v>15</v>
      </c>
      <c r="B2" s="5">
        <f>' T = Tb'!B2</f>
        <v>84.161000000000001</v>
      </c>
      <c r="C2" s="2" t="s">
        <v>3</v>
      </c>
      <c r="E2" s="4"/>
      <c r="H2" s="3"/>
      <c r="M2" s="4"/>
    </row>
    <row r="3" spans="1:14" ht="15.75" x14ac:dyDescent="0.3">
      <c r="A3" s="4" t="s">
        <v>17</v>
      </c>
      <c r="B3" s="5">
        <f>' T = Tb'!B3</f>
        <v>553.5</v>
      </c>
      <c r="C3" s="2" t="s">
        <v>2</v>
      </c>
      <c r="E3" s="4"/>
      <c r="H3" s="3"/>
      <c r="M3" s="4"/>
    </row>
    <row r="4" spans="1:14" ht="15.75" x14ac:dyDescent="0.3">
      <c r="A4" s="4" t="s">
        <v>18</v>
      </c>
      <c r="B4" s="5">
        <f>' T = Tb'!B4</f>
        <v>40.729999999999997</v>
      </c>
      <c r="C4" s="2" t="s">
        <v>7</v>
      </c>
      <c r="E4" s="4"/>
      <c r="H4" s="3"/>
      <c r="M4" s="4"/>
      <c r="N4" s="6"/>
    </row>
    <row r="5" spans="1:14" ht="15.75" x14ac:dyDescent="0.3">
      <c r="A5" s="4" t="s">
        <v>18</v>
      </c>
      <c r="B5" s="5">
        <f>' T = Tb'!B5</f>
        <v>4072.9999999999995</v>
      </c>
      <c r="C5" s="2" t="s">
        <v>9</v>
      </c>
      <c r="E5" s="4"/>
      <c r="H5" s="4"/>
      <c r="M5" s="4"/>
      <c r="N5" s="6"/>
    </row>
    <row r="6" spans="1:14" ht="15.75" x14ac:dyDescent="0.3">
      <c r="A6" s="4" t="s">
        <v>19</v>
      </c>
      <c r="B6" s="5">
        <f>' T = Tb'!B6</f>
        <v>308</v>
      </c>
      <c r="C6" s="2" t="s">
        <v>20</v>
      </c>
      <c r="E6" s="4"/>
      <c r="G6" s="7"/>
    </row>
    <row r="7" spans="1:14" ht="15.75" x14ac:dyDescent="0.3">
      <c r="A7" s="4" t="s">
        <v>19</v>
      </c>
      <c r="B7" s="5">
        <f>' T = Tb'!B7</f>
        <v>0.308</v>
      </c>
      <c r="C7" s="8" t="s">
        <v>23</v>
      </c>
      <c r="D7" s="2">
        <f>B8*B10*B3/B5</f>
        <v>0.30846260515713236</v>
      </c>
      <c r="E7" s="4"/>
      <c r="G7" s="7"/>
    </row>
    <row r="8" spans="1:14" ht="15.75" x14ac:dyDescent="0.3">
      <c r="A8" s="4" t="s">
        <v>26</v>
      </c>
      <c r="B8" s="5">
        <f>' T = Tb'!B8</f>
        <v>0.27300000000000002</v>
      </c>
      <c r="E8" s="4"/>
      <c r="G8" s="7"/>
    </row>
    <row r="9" spans="1:14" x14ac:dyDescent="0.2">
      <c r="A9" s="9" t="s">
        <v>29</v>
      </c>
      <c r="B9" s="5">
        <f>' T = Tb'!B9</f>
        <v>0.21099999999999999</v>
      </c>
      <c r="E9" s="4"/>
      <c r="K9" s="4"/>
    </row>
    <row r="10" spans="1:14" ht="18" x14ac:dyDescent="0.25">
      <c r="A10" s="2" t="s">
        <v>11</v>
      </c>
      <c r="B10" s="2">
        <v>8.3145100000000003</v>
      </c>
      <c r="C10" s="2" t="s">
        <v>12</v>
      </c>
      <c r="H10" s="1"/>
    </row>
    <row r="11" spans="1:14" x14ac:dyDescent="0.2">
      <c r="A11" s="10" t="s">
        <v>13</v>
      </c>
      <c r="K11" s="11"/>
    </row>
    <row r="12" spans="1:14" ht="18" x14ac:dyDescent="0.25">
      <c r="A12" s="13" t="s">
        <v>31</v>
      </c>
      <c r="B12" s="14">
        <f>27/64*(B10*B3)^2/B5</f>
        <v>2193.7036127822548</v>
      </c>
      <c r="C12" s="15"/>
      <c r="E12" s="16"/>
      <c r="H12" s="4"/>
      <c r="I12" s="17"/>
      <c r="J12" s="17"/>
      <c r="K12" s="6"/>
    </row>
    <row r="13" spans="1:14" ht="18" x14ac:dyDescent="0.25">
      <c r="A13" s="13" t="s">
        <v>33</v>
      </c>
      <c r="B13" s="133">
        <f>'a = a(T)'!K48</f>
        <v>1430.3290506469991</v>
      </c>
      <c r="C13" s="12"/>
      <c r="E13" s="20"/>
      <c r="F13" s="21"/>
      <c r="H13" s="4"/>
      <c r="I13" s="17"/>
      <c r="J13" s="17"/>
      <c r="K13" s="6"/>
      <c r="L13" s="26"/>
    </row>
    <row r="14" spans="1:14" ht="13.5" x14ac:dyDescent="0.25">
      <c r="A14" s="152" t="s">
        <v>35</v>
      </c>
      <c r="B14" s="324">
        <f>B10*B3/8/B5</f>
        <v>0.14123745657377856</v>
      </c>
      <c r="C14" s="8"/>
      <c r="H14" s="4"/>
      <c r="I14" s="17"/>
      <c r="J14" s="17"/>
      <c r="K14" s="6"/>
      <c r="L14" s="26"/>
      <c r="N14" s="4"/>
    </row>
    <row r="15" spans="1:14" ht="15.75" x14ac:dyDescent="0.25">
      <c r="A15" s="22" t="s">
        <v>37</v>
      </c>
      <c r="B15" s="23">
        <v>0.1575</v>
      </c>
      <c r="C15" s="7"/>
      <c r="D15" s="24"/>
      <c r="E15" s="39"/>
      <c r="K15" s="4"/>
      <c r="L15" s="26"/>
    </row>
    <row r="16" spans="1:14" ht="15.75" x14ac:dyDescent="0.25">
      <c r="A16" s="22" t="s">
        <v>39</v>
      </c>
      <c r="B16" s="23">
        <v>0</v>
      </c>
      <c r="C16" s="12"/>
      <c r="D16" s="24"/>
      <c r="E16" s="39"/>
      <c r="L16" s="26"/>
    </row>
    <row r="17" spans="1:13" ht="15.75" x14ac:dyDescent="0.25">
      <c r="A17" s="27" t="s">
        <v>41</v>
      </c>
      <c r="B17" s="40"/>
      <c r="D17" s="24"/>
      <c r="E17" s="44"/>
      <c r="H17" s="12"/>
      <c r="I17" s="4"/>
      <c r="J17" s="17"/>
      <c r="L17" s="25"/>
    </row>
    <row r="18" spans="1:13" ht="15.75" x14ac:dyDescent="0.25">
      <c r="A18" s="22" t="s">
        <v>43</v>
      </c>
      <c r="B18" s="26">
        <f>-I12-B15-B16</f>
        <v>-0.1575</v>
      </c>
      <c r="C18" s="4"/>
      <c r="D18" s="4"/>
      <c r="E18" s="29"/>
      <c r="H18" s="12"/>
      <c r="I18" s="4"/>
      <c r="J18" s="17"/>
      <c r="L18" s="25"/>
    </row>
    <row r="19" spans="1:13" x14ac:dyDescent="0.2">
      <c r="A19" s="148" t="s">
        <v>135</v>
      </c>
      <c r="B19" s="149">
        <v>0</v>
      </c>
      <c r="C19" s="15"/>
      <c r="E19" s="31"/>
      <c r="F19" s="34"/>
      <c r="G19" s="31"/>
      <c r="H19" s="42"/>
      <c r="I19" s="31"/>
      <c r="J19" s="32"/>
      <c r="K19" s="34"/>
      <c r="L19" s="45"/>
      <c r="M19" s="34"/>
    </row>
    <row r="20" spans="1:13" x14ac:dyDescent="0.2">
      <c r="A20" s="5" t="s">
        <v>44</v>
      </c>
      <c r="B20" s="5" t="s">
        <v>45</v>
      </c>
      <c r="C20" s="156" t="s">
        <v>159</v>
      </c>
      <c r="E20" s="31"/>
      <c r="F20" s="34"/>
      <c r="G20" s="34"/>
      <c r="H20" s="34"/>
      <c r="I20" s="31"/>
      <c r="J20" s="32"/>
      <c r="K20" s="33"/>
      <c r="L20" s="34"/>
    </row>
    <row r="21" spans="1:13" x14ac:dyDescent="0.2">
      <c r="A21" s="2">
        <v>0.02</v>
      </c>
      <c r="B21" s="153">
        <f>(($B$10*$I$1/(A21-$B$14))-($B$13/(A21+$B$19)^2))/100</f>
        <v>-36327.614813459382</v>
      </c>
      <c r="C21" s="2">
        <f>$B$10*$B$3*1.5/A21/100</f>
        <v>3451.5609637500002</v>
      </c>
      <c r="E21" s="31"/>
      <c r="F21" s="34"/>
      <c r="G21" s="34"/>
      <c r="H21" s="34"/>
      <c r="I21" s="34"/>
      <c r="J21" s="34"/>
      <c r="K21" s="34"/>
      <c r="L21" s="34"/>
    </row>
    <row r="22" spans="1:13" x14ac:dyDescent="0.2">
      <c r="A22" s="2">
        <f>A21*1.1</f>
        <v>2.2000000000000002E-2</v>
      </c>
      <c r="B22" s="153">
        <f t="shared" ref="B22:B84" si="0">(($B$10*$I$1/(A22-$B$14))-($B$13/(A22+$B$19)^2))/100</f>
        <v>-30131.19215785955</v>
      </c>
      <c r="C22" s="2">
        <f t="shared" ref="C22:C85" si="1">$B$10*$B$3*1.5/A22/100</f>
        <v>3137.7826943181817</v>
      </c>
      <c r="E22" s="34"/>
      <c r="F22" s="34"/>
      <c r="G22" s="34"/>
      <c r="H22" s="34"/>
      <c r="I22" s="34"/>
      <c r="J22" s="34"/>
      <c r="K22" s="34"/>
      <c r="L22" s="34"/>
    </row>
    <row r="23" spans="1:13" x14ac:dyDescent="0.2">
      <c r="A23" s="2">
        <f t="shared" ref="A23:A86" si="2">A22*1.1</f>
        <v>2.4200000000000003E-2</v>
      </c>
      <c r="B23" s="153">
        <f t="shared" si="0"/>
        <v>-25013.171274477838</v>
      </c>
      <c r="C23" s="2">
        <f t="shared" si="1"/>
        <v>2852.5297221074375</v>
      </c>
      <c r="E23" s="34"/>
      <c r="F23" s="34"/>
      <c r="G23" s="34"/>
      <c r="H23" s="34"/>
      <c r="I23" s="34"/>
      <c r="J23" s="34"/>
      <c r="K23" s="34"/>
      <c r="L23" s="34"/>
    </row>
    <row r="24" spans="1:13" x14ac:dyDescent="0.2">
      <c r="A24" s="2">
        <f t="shared" si="2"/>
        <v>2.6620000000000005E-2</v>
      </c>
      <c r="B24" s="153">
        <f t="shared" si="0"/>
        <v>-20786.861430356614</v>
      </c>
      <c r="C24" s="2">
        <f t="shared" si="1"/>
        <v>2593.2088382794886</v>
      </c>
      <c r="E24" s="34"/>
      <c r="F24" s="34"/>
      <c r="G24" s="34"/>
      <c r="H24" s="34"/>
      <c r="I24" s="34"/>
      <c r="J24" s="34"/>
      <c r="K24" s="34"/>
      <c r="L24" s="34"/>
    </row>
    <row r="25" spans="1:13" x14ac:dyDescent="0.2">
      <c r="A25" s="2">
        <f t="shared" si="2"/>
        <v>2.9282000000000006E-2</v>
      </c>
      <c r="B25" s="153">
        <f t="shared" si="0"/>
        <v>-17298.07185411773</v>
      </c>
      <c r="C25" s="2">
        <f t="shared" si="1"/>
        <v>2357.4625802540804</v>
      </c>
      <c r="E25" s="34"/>
      <c r="F25" s="34"/>
      <c r="G25" s="34"/>
      <c r="H25" s="34"/>
      <c r="I25" s="34"/>
      <c r="J25" s="34"/>
      <c r="K25" s="32"/>
      <c r="L25" s="34"/>
    </row>
    <row r="26" spans="1:13" x14ac:dyDescent="0.2">
      <c r="A26" s="2">
        <f t="shared" si="2"/>
        <v>3.2210200000000008E-2</v>
      </c>
      <c r="B26" s="153">
        <f t="shared" si="0"/>
        <v>-14419.499790040978</v>
      </c>
      <c r="C26" s="2">
        <f t="shared" si="1"/>
        <v>2143.1478002309823</v>
      </c>
      <c r="E26" s="34"/>
      <c r="F26" s="34"/>
      <c r="G26" s="34"/>
      <c r="H26" s="34"/>
      <c r="I26" s="34"/>
      <c r="J26" s="34"/>
      <c r="K26" s="32"/>
      <c r="L26" s="34"/>
    </row>
    <row r="27" spans="1:13" x14ac:dyDescent="0.2">
      <c r="A27" s="2">
        <f t="shared" si="2"/>
        <v>3.5431220000000013E-2</v>
      </c>
      <c r="B27" s="153">
        <f t="shared" si="0"/>
        <v>-12046.103407613835</v>
      </c>
      <c r="C27" s="2">
        <f t="shared" si="1"/>
        <v>1948.3161820281655</v>
      </c>
      <c r="E27" s="34"/>
      <c r="F27" s="34"/>
      <c r="G27" s="34"/>
      <c r="H27" s="34"/>
      <c r="I27" s="34"/>
      <c r="J27" s="32"/>
      <c r="K27" s="32"/>
      <c r="L27" s="34"/>
    </row>
    <row r="28" spans="1:13" x14ac:dyDescent="0.2">
      <c r="A28" s="2">
        <f t="shared" si="2"/>
        <v>3.8974342000000016E-2</v>
      </c>
      <c r="B28" s="153">
        <f t="shared" si="0"/>
        <v>-10091.293943369883</v>
      </c>
      <c r="C28" s="2">
        <f t="shared" si="1"/>
        <v>1771.1965291165141</v>
      </c>
      <c r="E28" s="34"/>
      <c r="F28" s="34"/>
      <c r="G28" s="34"/>
      <c r="H28" s="34"/>
      <c r="I28" s="34"/>
      <c r="J28" s="34"/>
      <c r="K28" s="34"/>
      <c r="L28" s="34"/>
    </row>
    <row r="29" spans="1:13" x14ac:dyDescent="0.2">
      <c r="A29" s="2">
        <f t="shared" si="2"/>
        <v>4.2871776200000024E-2</v>
      </c>
      <c r="B29" s="153">
        <f t="shared" si="0"/>
        <v>-8483.8134259905382</v>
      </c>
      <c r="C29" s="2">
        <f t="shared" si="1"/>
        <v>1610.1786628331943</v>
      </c>
      <c r="E29" s="34"/>
      <c r="F29" s="34"/>
      <c r="G29" s="34"/>
      <c r="H29" s="34"/>
      <c r="I29" s="34"/>
      <c r="J29" s="34"/>
      <c r="K29" s="34"/>
      <c r="L29" s="34"/>
    </row>
    <row r="30" spans="1:13" x14ac:dyDescent="0.2">
      <c r="A30" s="2">
        <f t="shared" si="2"/>
        <v>4.715895382000003E-2</v>
      </c>
      <c r="B30" s="153">
        <f t="shared" si="0"/>
        <v>-7165.1931879448666</v>
      </c>
      <c r="C30" s="2">
        <f t="shared" si="1"/>
        <v>1463.7987843938129</v>
      </c>
      <c r="E30" s="34"/>
      <c r="F30" s="34"/>
      <c r="G30" s="34"/>
      <c r="H30" s="34"/>
      <c r="I30" s="34"/>
      <c r="J30" s="31"/>
      <c r="K30" s="35"/>
      <c r="L30" s="34"/>
    </row>
    <row r="31" spans="1:13" x14ac:dyDescent="0.2">
      <c r="A31" s="2">
        <f t="shared" si="2"/>
        <v>5.1874849202000035E-2</v>
      </c>
      <c r="B31" s="153">
        <f t="shared" si="0"/>
        <v>-6087.7168742549184</v>
      </c>
      <c r="C31" s="2">
        <f t="shared" si="1"/>
        <v>1330.7261676307389</v>
      </c>
      <c r="E31" s="34"/>
      <c r="F31" s="34"/>
      <c r="G31" s="34"/>
      <c r="H31" s="34"/>
      <c r="I31" s="34"/>
      <c r="J31" s="31"/>
      <c r="K31" s="35"/>
      <c r="L31" s="34"/>
    </row>
    <row r="32" spans="1:13" x14ac:dyDescent="0.2">
      <c r="A32" s="2">
        <f t="shared" si="2"/>
        <v>5.7062334122200041E-2</v>
      </c>
      <c r="B32" s="153">
        <f t="shared" si="0"/>
        <v>-5212.8446310074705</v>
      </c>
      <c r="C32" s="2">
        <f t="shared" si="1"/>
        <v>1209.7510614824898</v>
      </c>
      <c r="E32" s="34"/>
      <c r="F32" s="34"/>
      <c r="G32" s="34"/>
      <c r="H32" s="34"/>
      <c r="I32" s="34"/>
      <c r="J32" s="31"/>
      <c r="K32" s="36"/>
      <c r="L32" s="34"/>
    </row>
    <row r="33" spans="1:12" x14ac:dyDescent="0.2">
      <c r="A33" s="2">
        <f t="shared" si="2"/>
        <v>6.2768567534420047E-2</v>
      </c>
      <c r="B33" s="153">
        <f t="shared" si="0"/>
        <v>-4510.1025461105182</v>
      </c>
      <c r="C33" s="2">
        <f t="shared" si="1"/>
        <v>1099.773692256809</v>
      </c>
      <c r="E33" s="34"/>
      <c r="F33" s="34"/>
      <c r="G33" s="34"/>
      <c r="H33" s="34"/>
      <c r="I33" s="34"/>
      <c r="J33" s="31"/>
      <c r="K33" s="35"/>
      <c r="L33" s="34"/>
    </row>
    <row r="34" spans="1:12" x14ac:dyDescent="0.2">
      <c r="A34" s="2">
        <f t="shared" si="2"/>
        <v>6.9045424287862062E-2</v>
      </c>
      <c r="B34" s="153">
        <f t="shared" si="0"/>
        <v>-3956.5267640170937</v>
      </c>
      <c r="C34" s="2">
        <f t="shared" si="1"/>
        <v>999.79426568800807</v>
      </c>
      <c r="E34" s="34"/>
      <c r="F34" s="34"/>
      <c r="G34" s="34"/>
      <c r="H34" s="34"/>
      <c r="I34" s="34"/>
      <c r="J34" s="34"/>
      <c r="K34" s="34"/>
      <c r="L34" s="34"/>
    </row>
    <row r="35" spans="1:12" x14ac:dyDescent="0.2">
      <c r="A35" s="2">
        <f t="shared" si="2"/>
        <v>7.5949966716648276E-2</v>
      </c>
      <c r="B35" s="153">
        <f t="shared" si="0"/>
        <v>-3536.9373983843807</v>
      </c>
      <c r="C35" s="2">
        <f t="shared" si="1"/>
        <v>908.90387789818897</v>
      </c>
      <c r="E35" s="34"/>
      <c r="F35" s="34"/>
      <c r="G35" s="34"/>
      <c r="H35" s="34"/>
      <c r="I35" s="34"/>
      <c r="J35" s="34"/>
      <c r="K35" s="34"/>
      <c r="L35" s="34"/>
    </row>
    <row r="36" spans="1:12" x14ac:dyDescent="0.2">
      <c r="A36" s="2">
        <f t="shared" si="2"/>
        <v>8.3544963388313104E-2</v>
      </c>
      <c r="B36" s="153">
        <f t="shared" si="0"/>
        <v>-3245.7895029059973</v>
      </c>
      <c r="C36" s="2">
        <f t="shared" si="1"/>
        <v>826.27625263471725</v>
      </c>
    </row>
    <row r="37" spans="1:12" x14ac:dyDescent="0.2">
      <c r="A37" s="2">
        <f t="shared" si="2"/>
        <v>9.1899459727144417E-2</v>
      </c>
      <c r="B37" s="153">
        <f t="shared" si="0"/>
        <v>-3092.7460819410194</v>
      </c>
      <c r="C37" s="2">
        <f t="shared" si="1"/>
        <v>751.16022966792468</v>
      </c>
    </row>
    <row r="38" spans="1:12" x14ac:dyDescent="0.2">
      <c r="A38" s="2">
        <f t="shared" si="2"/>
        <v>0.10108940569985887</v>
      </c>
      <c r="B38" s="153">
        <f t="shared" si="0"/>
        <v>-3119.0832910753402</v>
      </c>
      <c r="C38" s="2">
        <f t="shared" si="1"/>
        <v>682.87293606174967</v>
      </c>
    </row>
    <row r="39" spans="1:12" x14ac:dyDescent="0.2">
      <c r="A39" s="2">
        <f t="shared" si="2"/>
        <v>0.11119834626984477</v>
      </c>
      <c r="B39" s="153">
        <f t="shared" si="0"/>
        <v>-3454.7941868964176</v>
      </c>
      <c r="C39" s="2">
        <f t="shared" si="1"/>
        <v>620.79357823795419</v>
      </c>
    </row>
    <row r="40" spans="1:12" x14ac:dyDescent="0.2">
      <c r="A40" s="2">
        <f t="shared" si="2"/>
        <v>0.12231818089682926</v>
      </c>
      <c r="B40" s="153">
        <f t="shared" si="0"/>
        <v>-4604.7154967046854</v>
      </c>
      <c r="C40" s="2">
        <f t="shared" si="1"/>
        <v>564.35779839814018</v>
      </c>
    </row>
    <row r="41" spans="1:12" x14ac:dyDescent="0.2">
      <c r="A41" s="2">
        <f t="shared" si="2"/>
        <v>0.13454999898651221</v>
      </c>
      <c r="B41" s="153">
        <f t="shared" si="0"/>
        <v>-11112.566218526053</v>
      </c>
      <c r="C41" s="2">
        <f t="shared" si="1"/>
        <v>513.05254399830915</v>
      </c>
    </row>
    <row r="42" spans="1:12" x14ac:dyDescent="0.2">
      <c r="A42" s="2">
        <f t="shared" si="2"/>
        <v>0.14800499888516344</v>
      </c>
      <c r="B42" s="153">
        <f t="shared" si="0"/>
        <v>9547.3831305765852</v>
      </c>
      <c r="C42" s="2">
        <f t="shared" si="1"/>
        <v>466.4114036348264</v>
      </c>
    </row>
    <row r="43" spans="1:12" x14ac:dyDescent="0.2">
      <c r="A43" s="2">
        <f t="shared" si="2"/>
        <v>0.16280549877367981</v>
      </c>
      <c r="B43" s="153">
        <f t="shared" si="0"/>
        <v>2660.9930387366667</v>
      </c>
      <c r="C43" s="2">
        <f t="shared" si="1"/>
        <v>424.01036694075128</v>
      </c>
    </row>
    <row r="44" spans="1:12" x14ac:dyDescent="0.2">
      <c r="A44" s="2">
        <f t="shared" si="2"/>
        <v>0.1790860486510478</v>
      </c>
      <c r="B44" s="153">
        <f t="shared" si="0"/>
        <v>1377.9011394866516</v>
      </c>
      <c r="C44" s="2">
        <f t="shared" si="1"/>
        <v>385.46396994613752</v>
      </c>
    </row>
    <row r="45" spans="1:12" x14ac:dyDescent="0.2">
      <c r="A45" s="2">
        <f t="shared" si="2"/>
        <v>0.19699465351615258</v>
      </c>
      <c r="B45" s="153">
        <f t="shared" si="0"/>
        <v>869.49229853125075</v>
      </c>
      <c r="C45" s="2">
        <f t="shared" si="1"/>
        <v>350.42179086012499</v>
      </c>
    </row>
    <row r="46" spans="1:12" x14ac:dyDescent="0.2">
      <c r="A46" s="2">
        <f t="shared" si="2"/>
        <v>0.21669411886776785</v>
      </c>
      <c r="B46" s="153">
        <f t="shared" si="0"/>
        <v>610.23763109711876</v>
      </c>
      <c r="C46" s="2">
        <f t="shared" si="1"/>
        <v>318.56526441829538</v>
      </c>
    </row>
    <row r="47" spans="1:12" x14ac:dyDescent="0.2">
      <c r="A47" s="2">
        <f t="shared" si="2"/>
        <v>0.23836353075454464</v>
      </c>
      <c r="B47" s="153">
        <f t="shared" si="0"/>
        <v>458.99590023120504</v>
      </c>
      <c r="C47" s="2">
        <f t="shared" si="1"/>
        <v>289.60478583481404</v>
      </c>
    </row>
    <row r="48" spans="1:12" x14ac:dyDescent="0.2">
      <c r="A48" s="2">
        <f t="shared" si="2"/>
        <v>0.26219988382999915</v>
      </c>
      <c r="B48" s="153">
        <f t="shared" si="0"/>
        <v>362.63159545832639</v>
      </c>
      <c r="C48" s="2">
        <f t="shared" si="1"/>
        <v>263.27707803164907</v>
      </c>
    </row>
    <row r="49" spans="1:3" x14ac:dyDescent="0.2">
      <c r="A49" s="2">
        <f t="shared" si="2"/>
        <v>0.28841987221299908</v>
      </c>
      <c r="B49" s="153">
        <f t="shared" si="0"/>
        <v>297.07468062846579</v>
      </c>
      <c r="C49" s="2">
        <f t="shared" si="1"/>
        <v>239.34279821059005</v>
      </c>
    </row>
    <row r="50" spans="1:3" x14ac:dyDescent="0.2">
      <c r="A50" s="2">
        <f t="shared" si="2"/>
        <v>0.31726185943429902</v>
      </c>
      <c r="B50" s="153">
        <f t="shared" si="0"/>
        <v>250.06644899496911</v>
      </c>
      <c r="C50" s="2">
        <f t="shared" si="1"/>
        <v>217.58436200962728</v>
      </c>
    </row>
    <row r="51" spans="1:3" x14ac:dyDescent="0.2">
      <c r="A51" s="2">
        <f t="shared" si="2"/>
        <v>0.34898804537772893</v>
      </c>
      <c r="B51" s="153">
        <f t="shared" si="0"/>
        <v>214.83961559571631</v>
      </c>
      <c r="C51" s="2">
        <f t="shared" si="1"/>
        <v>197.80396546329754</v>
      </c>
    </row>
    <row r="52" spans="1:3" x14ac:dyDescent="0.2">
      <c r="A52" s="2">
        <f t="shared" si="2"/>
        <v>0.38388684991550187</v>
      </c>
      <c r="B52" s="153">
        <f t="shared" si="0"/>
        <v>187.43197388332786</v>
      </c>
      <c r="C52" s="2">
        <f t="shared" si="1"/>
        <v>179.82178678481591</v>
      </c>
    </row>
    <row r="53" spans="1:3" x14ac:dyDescent="0.2">
      <c r="A53" s="2">
        <f t="shared" si="2"/>
        <v>0.42227553490705211</v>
      </c>
      <c r="B53" s="153">
        <f t="shared" si="0"/>
        <v>165.41653525631079</v>
      </c>
      <c r="C53" s="2">
        <f t="shared" si="1"/>
        <v>163.47435162255991</v>
      </c>
    </row>
    <row r="54" spans="1:3" x14ac:dyDescent="0.2">
      <c r="A54" s="2">
        <f t="shared" si="2"/>
        <v>0.46450308839775734</v>
      </c>
      <c r="B54" s="153">
        <f t="shared" si="0"/>
        <v>147.25169169587534</v>
      </c>
      <c r="C54" s="2">
        <f t="shared" si="1"/>
        <v>148.6130469295999</v>
      </c>
    </row>
    <row r="55" spans="1:3" x14ac:dyDescent="0.2">
      <c r="A55" s="2">
        <f t="shared" si="2"/>
        <v>0.51095339723753308</v>
      </c>
      <c r="B55" s="153">
        <f t="shared" si="0"/>
        <v>131.92773124259531</v>
      </c>
      <c r="C55" s="2">
        <f t="shared" si="1"/>
        <v>135.1027699359999</v>
      </c>
    </row>
    <row r="56" spans="1:3" x14ac:dyDescent="0.2">
      <c r="A56" s="2">
        <f t="shared" si="2"/>
        <v>0.56204873696128643</v>
      </c>
      <c r="B56" s="153">
        <f t="shared" si="0"/>
        <v>118.76509633985819</v>
      </c>
      <c r="C56" s="2">
        <f t="shared" si="1"/>
        <v>122.82069994181809</v>
      </c>
    </row>
    <row r="57" spans="1:3" x14ac:dyDescent="0.2">
      <c r="A57" s="2">
        <f t="shared" si="2"/>
        <v>0.61825361065741513</v>
      </c>
      <c r="B57" s="153">
        <f t="shared" si="0"/>
        <v>107.29473513738635</v>
      </c>
      <c r="C57" s="2">
        <f t="shared" si="1"/>
        <v>111.65518176528916</v>
      </c>
    </row>
    <row r="58" spans="1:3" x14ac:dyDescent="0.2">
      <c r="A58" s="2">
        <f t="shared" si="2"/>
        <v>0.68007897172315668</v>
      </c>
      <c r="B58" s="153">
        <f t="shared" si="0"/>
        <v>97.184893782173191</v>
      </c>
      <c r="C58" s="2">
        <f t="shared" si="1"/>
        <v>101.50471069571742</v>
      </c>
    </row>
    <row r="59" spans="1:3" x14ac:dyDescent="0.2">
      <c r="A59" s="2">
        <f t="shared" si="2"/>
        <v>0.74808686889547238</v>
      </c>
      <c r="B59" s="153">
        <f t="shared" si="0"/>
        <v>88.195162195673547</v>
      </c>
      <c r="C59" s="2">
        <f t="shared" si="1"/>
        <v>92.277009723379464</v>
      </c>
    </row>
    <row r="60" spans="1:3" x14ac:dyDescent="0.2">
      <c r="A60" s="2">
        <f t="shared" si="2"/>
        <v>0.82289555578501972</v>
      </c>
      <c r="B60" s="153">
        <f t="shared" si="0"/>
        <v>80.147006426685692</v>
      </c>
      <c r="C60" s="2">
        <f t="shared" si="1"/>
        <v>83.888190657617685</v>
      </c>
    </row>
    <row r="61" spans="1:3" x14ac:dyDescent="0.2">
      <c r="A61" s="2">
        <f t="shared" si="2"/>
        <v>0.90518511136352175</v>
      </c>
      <c r="B61" s="153">
        <f t="shared" si="0"/>
        <v>72.904530032417384</v>
      </c>
      <c r="C61" s="2">
        <f t="shared" si="1"/>
        <v>76.261991506925156</v>
      </c>
    </row>
    <row r="62" spans="1:3" x14ac:dyDescent="0.2">
      <c r="A62" s="2">
        <f t="shared" si="2"/>
        <v>0.99570362249987399</v>
      </c>
      <c r="B62" s="153">
        <f t="shared" si="0"/>
        <v>66.361718183044843</v>
      </c>
      <c r="C62" s="2">
        <f t="shared" si="1"/>
        <v>69.329083188113785</v>
      </c>
    </row>
    <row r="63" spans="1:3" x14ac:dyDescent="0.2">
      <c r="A63" s="2">
        <f t="shared" si="2"/>
        <v>1.0952739847498614</v>
      </c>
      <c r="B63" s="153">
        <f t="shared" si="0"/>
        <v>60.433864394825974</v>
      </c>
      <c r="C63" s="2">
        <f t="shared" si="1"/>
        <v>63.026439261921617</v>
      </c>
    </row>
    <row r="64" spans="1:3" x14ac:dyDescent="0.2">
      <c r="A64" s="2">
        <f t="shared" si="2"/>
        <v>1.2048013832248476</v>
      </c>
      <c r="B64" s="153">
        <f t="shared" si="0"/>
        <v>55.051737075992385</v>
      </c>
      <c r="C64" s="2">
        <f t="shared" si="1"/>
        <v>57.296762965383287</v>
      </c>
    </row>
    <row r="65" spans="1:3" x14ac:dyDescent="0.2">
      <c r="A65" s="2">
        <f t="shared" si="2"/>
        <v>1.3252815215473326</v>
      </c>
      <c r="B65" s="153">
        <f t="shared" si="0"/>
        <v>50.157564095063606</v>
      </c>
      <c r="C65" s="2">
        <f t="shared" si="1"/>
        <v>52.087966332166616</v>
      </c>
    </row>
    <row r="66" spans="1:3" x14ac:dyDescent="0.2">
      <c r="A66" s="2">
        <f t="shared" si="2"/>
        <v>1.457809673702066</v>
      </c>
      <c r="B66" s="153">
        <f t="shared" si="0"/>
        <v>45.702237167286867</v>
      </c>
      <c r="C66" s="2">
        <f t="shared" si="1"/>
        <v>47.352696665606011</v>
      </c>
    </row>
    <row r="67" spans="1:3" x14ac:dyDescent="0.2">
      <c r="A67" s="2">
        <f t="shared" si="2"/>
        <v>1.6035906410722727</v>
      </c>
      <c r="B67" s="153">
        <f t="shared" si="0"/>
        <v>41.643342624723594</v>
      </c>
      <c r="C67" s="2">
        <f t="shared" si="1"/>
        <v>43.047906059641825</v>
      </c>
    </row>
    <row r="68" spans="1:3" x14ac:dyDescent="0.2">
      <c r="A68" s="2">
        <f t="shared" si="2"/>
        <v>1.7639497051795001</v>
      </c>
      <c r="B68" s="153">
        <f t="shared" si="0"/>
        <v>37.943756840994411</v>
      </c>
      <c r="C68" s="2">
        <f t="shared" si="1"/>
        <v>39.134460054219836</v>
      </c>
    </row>
    <row r="69" spans="1:3" x14ac:dyDescent="0.2">
      <c r="A69" s="2">
        <f t="shared" si="2"/>
        <v>1.9403446756974503</v>
      </c>
      <c r="B69" s="153">
        <f t="shared" si="0"/>
        <v>34.570630494382478</v>
      </c>
      <c r="C69" s="2">
        <f t="shared" si="1"/>
        <v>35.576781867472576</v>
      </c>
    </row>
    <row r="70" spans="1:3" x14ac:dyDescent="0.2">
      <c r="A70" s="2">
        <f t="shared" si="2"/>
        <v>2.1343791432671955</v>
      </c>
      <c r="B70" s="153">
        <f t="shared" si="0"/>
        <v>31.494642580627101</v>
      </c>
      <c r="C70" s="2">
        <f t="shared" si="1"/>
        <v>32.342528970429612</v>
      </c>
    </row>
    <row r="71" spans="1:3" x14ac:dyDescent="0.2">
      <c r="A71" s="2">
        <f t="shared" si="2"/>
        <v>2.347817057593915</v>
      </c>
      <c r="B71" s="153">
        <f t="shared" si="0"/>
        <v>28.689442938073977</v>
      </c>
      <c r="C71" s="2">
        <f t="shared" si="1"/>
        <v>29.40229906402692</v>
      </c>
    </row>
    <row r="72" spans="1:3" x14ac:dyDescent="0.2">
      <c r="A72" s="2">
        <f t="shared" si="2"/>
        <v>2.5825987633533067</v>
      </c>
      <c r="B72" s="153">
        <f t="shared" si="0"/>
        <v>26.131227531670159</v>
      </c>
      <c r="C72" s="2">
        <f t="shared" si="1"/>
        <v>26.729362785479015</v>
      </c>
    </row>
    <row r="73" spans="1:3" x14ac:dyDescent="0.2">
      <c r="A73" s="2">
        <f t="shared" si="2"/>
        <v>2.8408586396886375</v>
      </c>
      <c r="B73" s="153">
        <f t="shared" si="0"/>
        <v>23.798408031016432</v>
      </c>
      <c r="C73" s="2">
        <f t="shared" si="1"/>
        <v>24.299420714071829</v>
      </c>
    </row>
    <row r="74" spans="1:3" x14ac:dyDescent="0.2">
      <c r="A74" s="2">
        <f t="shared" si="2"/>
        <v>3.1249445036575016</v>
      </c>
      <c r="B74" s="153">
        <f t="shared" si="0"/>
        <v>21.671349022413946</v>
      </c>
      <c r="C74" s="2">
        <f t="shared" si="1"/>
        <v>22.090382467338028</v>
      </c>
    </row>
    <row r="75" spans="1:3" x14ac:dyDescent="0.2">
      <c r="A75" s="2">
        <f t="shared" si="2"/>
        <v>3.4374389540232522</v>
      </c>
      <c r="B75" s="153">
        <f t="shared" si="0"/>
        <v>19.732154298416205</v>
      </c>
      <c r="C75" s="2">
        <f t="shared" si="1"/>
        <v>20.082165879398204</v>
      </c>
    </row>
    <row r="76" spans="1:3" x14ac:dyDescent="0.2">
      <c r="A76" s="2">
        <f t="shared" si="2"/>
        <v>3.7811828494255777</v>
      </c>
      <c r="B76" s="153">
        <f t="shared" si="0"/>
        <v>17.964489255765262</v>
      </c>
      <c r="C76" s="2">
        <f t="shared" si="1"/>
        <v>18.256514435816545</v>
      </c>
    </row>
    <row r="77" spans="1:3" x14ac:dyDescent="0.2">
      <c r="A77" s="2">
        <f t="shared" si="2"/>
        <v>4.1593011343681354</v>
      </c>
      <c r="B77" s="153">
        <f t="shared" si="0"/>
        <v>16.353430298715097</v>
      </c>
      <c r="C77" s="2">
        <f t="shared" si="1"/>
        <v>16.596831305287768</v>
      </c>
    </row>
    <row r="78" spans="1:3" x14ac:dyDescent="0.2">
      <c r="A78" s="2">
        <f t="shared" si="2"/>
        <v>4.5752312478049495</v>
      </c>
      <c r="B78" s="153">
        <f t="shared" si="0"/>
        <v>14.885334827340687</v>
      </c>
      <c r="C78" s="2">
        <f t="shared" si="1"/>
        <v>15.088028459352515</v>
      </c>
    </row>
    <row r="79" spans="1:3" x14ac:dyDescent="0.2">
      <c r="A79" s="2">
        <f t="shared" si="2"/>
        <v>5.0327543725854449</v>
      </c>
      <c r="B79" s="153">
        <f t="shared" si="0"/>
        <v>13.547727255811544</v>
      </c>
      <c r="C79" s="2">
        <f t="shared" si="1"/>
        <v>13.716389508502287</v>
      </c>
    </row>
    <row r="80" spans="1:3" x14ac:dyDescent="0.2">
      <c r="A80" s="2">
        <f t="shared" si="2"/>
        <v>5.5360298098439902</v>
      </c>
      <c r="B80" s="153">
        <f t="shared" si="0"/>
        <v>12.32919780484589</v>
      </c>
      <c r="C80" s="2">
        <f t="shared" si="1"/>
        <v>12.46944500772935</v>
      </c>
    </row>
    <row r="81" spans="1:3" x14ac:dyDescent="0.2">
      <c r="A81" s="2">
        <f t="shared" si="2"/>
        <v>6.0896327908283894</v>
      </c>
      <c r="B81" s="153">
        <f t="shared" si="0"/>
        <v>11.219311718636765</v>
      </c>
      <c r="C81" s="2">
        <f t="shared" si="1"/>
        <v>11.335859097935773</v>
      </c>
    </row>
    <row r="82" spans="1:3" x14ac:dyDescent="0.2">
      <c r="A82" s="2">
        <f t="shared" si="2"/>
        <v>6.698596069911229</v>
      </c>
      <c r="B82" s="153">
        <f t="shared" si="0"/>
        <v>10.208527189137557</v>
      </c>
      <c r="C82" s="2">
        <f t="shared" si="1"/>
        <v>10.305326452668883</v>
      </c>
    </row>
    <row r="83" spans="1:3" x14ac:dyDescent="0.2">
      <c r="A83" s="2">
        <f t="shared" si="2"/>
        <v>7.3684556769023528</v>
      </c>
      <c r="B83" s="153">
        <f t="shared" si="0"/>
        <v>9.2881207128036678</v>
      </c>
      <c r="C83" s="2">
        <f t="shared" si="1"/>
        <v>9.3684785933353467</v>
      </c>
    </row>
    <row r="84" spans="1:3" x14ac:dyDescent="0.2">
      <c r="A84" s="2">
        <f t="shared" si="2"/>
        <v>8.1053012445925887</v>
      </c>
      <c r="B84" s="153">
        <f t="shared" si="0"/>
        <v>8.4501189145434576</v>
      </c>
      <c r="C84" s="2">
        <f t="shared" si="1"/>
        <v>8.5167987212139504</v>
      </c>
    </row>
    <row r="85" spans="1:3" x14ac:dyDescent="0.2">
      <c r="A85" s="2">
        <f t="shared" si="2"/>
        <v>8.9158313690518476</v>
      </c>
      <c r="B85" s="153">
        <f t="shared" ref="B85:B136" si="3">(($B$10*$I$1/(A85-$B$14))-($B$13/(A85+$B$19)^2))/100</f>
        <v>7.6872360910598232</v>
      </c>
      <c r="C85" s="2">
        <f t="shared" si="1"/>
        <v>7.742544292012683</v>
      </c>
    </row>
    <row r="86" spans="1:3" x14ac:dyDescent="0.2">
      <c r="A86" s="2">
        <f t="shared" si="2"/>
        <v>9.8074145059570323</v>
      </c>
      <c r="B86" s="153">
        <f t="shared" si="3"/>
        <v>6.9928168791053089</v>
      </c>
      <c r="C86" s="2">
        <f t="shared" ref="C86:C136" si="4">$B$10*$B$3*1.5/A86/100</f>
        <v>7.0386766291024392</v>
      </c>
    </row>
    <row r="87" spans="1:3" x14ac:dyDescent="0.2">
      <c r="A87" s="2">
        <f t="shared" ref="A87:A136" si="5">A86*1.1</f>
        <v>10.788155956552737</v>
      </c>
      <c r="B87" s="153">
        <f t="shared" si="3"/>
        <v>6.360783563068912</v>
      </c>
      <c r="C87" s="2">
        <f t="shared" si="4"/>
        <v>6.3987969355476704</v>
      </c>
    </row>
    <row r="88" spans="1:3" x14ac:dyDescent="0.2">
      <c r="A88" s="2">
        <f t="shared" si="5"/>
        <v>11.866971552208012</v>
      </c>
      <c r="B88" s="153">
        <f t="shared" si="3"/>
        <v>5.7855876144581568</v>
      </c>
      <c r="C88" s="2">
        <f t="shared" si="4"/>
        <v>5.8170881232251546</v>
      </c>
    </row>
    <row r="89" spans="1:3" x14ac:dyDescent="0.2">
      <c r="A89" s="2">
        <f t="shared" si="5"/>
        <v>13.053668707428814</v>
      </c>
      <c r="B89" s="153">
        <f t="shared" si="3"/>
        <v>5.2621651127706892</v>
      </c>
      <c r="C89" s="2">
        <f t="shared" si="4"/>
        <v>5.2882619302046852</v>
      </c>
    </row>
    <row r="90" spans="1:3" x14ac:dyDescent="0.2">
      <c r="A90" s="2">
        <f t="shared" si="5"/>
        <v>14.359035578171698</v>
      </c>
      <c r="B90" s="153">
        <f t="shared" si="3"/>
        <v>4.785895739585543</v>
      </c>
      <c r="C90" s="2">
        <f t="shared" si="4"/>
        <v>4.8075108456406221</v>
      </c>
    </row>
    <row r="91" spans="1:3" x14ac:dyDescent="0.2">
      <c r="A91" s="2">
        <f t="shared" si="5"/>
        <v>15.794939135988869</v>
      </c>
      <c r="B91" s="153">
        <f t="shared" si="3"/>
        <v>4.3525650700241245</v>
      </c>
      <c r="C91" s="2">
        <f t="shared" si="4"/>
        <v>4.3704644051278381</v>
      </c>
    </row>
    <row r="92" spans="1:3" x14ac:dyDescent="0.2">
      <c r="A92" s="2">
        <f t="shared" si="5"/>
        <v>17.374433049587758</v>
      </c>
      <c r="B92" s="153">
        <f t="shared" si="3"/>
        <v>3.9583299111864854</v>
      </c>
      <c r="C92" s="2">
        <f t="shared" si="4"/>
        <v>3.9731494592071255</v>
      </c>
    </row>
    <row r="93" spans="1:3" x14ac:dyDescent="0.2">
      <c r="A93" s="2">
        <f t="shared" si="5"/>
        <v>19.111876354546535</v>
      </c>
      <c r="B93" s="153">
        <f t="shared" si="3"/>
        <v>3.5996864579148049</v>
      </c>
      <c r="C93" s="2">
        <f t="shared" si="4"/>
        <v>3.6119540538246588</v>
      </c>
    </row>
    <row r="94" spans="1:3" x14ac:dyDescent="0.2">
      <c r="A94" s="2">
        <f t="shared" si="5"/>
        <v>21.023063990001191</v>
      </c>
      <c r="B94" s="153">
        <f t="shared" si="3"/>
        <v>3.2734410537360175</v>
      </c>
      <c r="C94" s="2">
        <f t="shared" si="4"/>
        <v>3.2835945943860532</v>
      </c>
    </row>
    <row r="95" spans="1:3" x14ac:dyDescent="0.2">
      <c r="A95" s="2">
        <f t="shared" si="5"/>
        <v>23.125370389001311</v>
      </c>
      <c r="B95" s="153">
        <f t="shared" si="3"/>
        <v>2.9766833600721441</v>
      </c>
      <c r="C95" s="2">
        <f t="shared" si="4"/>
        <v>2.9850859948964121</v>
      </c>
    </row>
    <row r="96" spans="1:3" x14ac:dyDescent="0.2">
      <c r="A96" s="2">
        <f t="shared" si="5"/>
        <v>25.437907427901443</v>
      </c>
      <c r="B96" s="153">
        <f t="shared" si="3"/>
        <v>2.7067617504336066</v>
      </c>
      <c r="C96" s="2">
        <f t="shared" si="4"/>
        <v>2.7137145408149199</v>
      </c>
    </row>
    <row r="97" spans="1:3" x14ac:dyDescent="0.2">
      <c r="A97" s="2">
        <f t="shared" si="5"/>
        <v>27.98169817069159</v>
      </c>
      <c r="B97" s="153">
        <f t="shared" si="3"/>
        <v>2.461260758755492</v>
      </c>
      <c r="C97" s="2">
        <f t="shared" si="4"/>
        <v>2.4670132189226539</v>
      </c>
    </row>
    <row r="98" spans="1:3" x14ac:dyDescent="0.2">
      <c r="A98" s="2">
        <f t="shared" si="5"/>
        <v>30.779867987760753</v>
      </c>
      <c r="B98" s="153">
        <f t="shared" si="3"/>
        <v>2.2379804225755113</v>
      </c>
      <c r="C98" s="2">
        <f t="shared" si="4"/>
        <v>2.2427392899296854</v>
      </c>
    </row>
    <row r="99" spans="1:3" x14ac:dyDescent="0.2">
      <c r="A99" s="2">
        <f t="shared" si="5"/>
        <v>33.857854786536834</v>
      </c>
      <c r="B99" s="153">
        <f t="shared" si="3"/>
        <v>2.0349173725598897</v>
      </c>
      <c r="C99" s="2">
        <f t="shared" si="4"/>
        <v>2.0388538999360772</v>
      </c>
    </row>
    <row r="100" spans="1:3" x14ac:dyDescent="0.2">
      <c r="A100" s="2">
        <f t="shared" si="5"/>
        <v>37.243640265190521</v>
      </c>
      <c r="B100" s="153">
        <f t="shared" si="3"/>
        <v>1.8502475300679504</v>
      </c>
      <c r="C100" s="2">
        <f t="shared" si="4"/>
        <v>1.8535035453964337</v>
      </c>
    </row>
    <row r="101" spans="1:3" x14ac:dyDescent="0.2">
      <c r="A101" s="2">
        <f t="shared" si="5"/>
        <v>40.968004291709576</v>
      </c>
      <c r="B101" s="153">
        <f t="shared" si="3"/>
        <v>1.6823102840735813</v>
      </c>
      <c r="C101" s="2">
        <f t="shared" si="4"/>
        <v>1.6850032230876666</v>
      </c>
    </row>
    <row r="102" spans="1:3" x14ac:dyDescent="0.2">
      <c r="A102" s="2">
        <f t="shared" si="5"/>
        <v>45.064804720880538</v>
      </c>
      <c r="B102" s="153">
        <f t="shared" si="3"/>
        <v>1.529594027871845</v>
      </c>
      <c r="C102" s="2">
        <f t="shared" si="4"/>
        <v>1.5318211118978788</v>
      </c>
    </row>
    <row r="103" spans="1:3" x14ac:dyDescent="0.2">
      <c r="A103" s="2">
        <f t="shared" si="5"/>
        <v>49.571285192968595</v>
      </c>
      <c r="B103" s="153">
        <f t="shared" si="3"/>
        <v>1.3907229446158551</v>
      </c>
      <c r="C103" s="2">
        <f t="shared" si="4"/>
        <v>1.3925646471798896</v>
      </c>
    </row>
    <row r="104" spans="1:3" x14ac:dyDescent="0.2">
      <c r="A104" s="2">
        <f t="shared" si="5"/>
        <v>54.528413712265461</v>
      </c>
      <c r="B104" s="153">
        <f t="shared" si="3"/>
        <v>1.2644449388686416</v>
      </c>
      <c r="C104" s="2">
        <f t="shared" si="4"/>
        <v>1.2659678610726268</v>
      </c>
    </row>
    <row r="105" spans="1:3" x14ac:dyDescent="0.2">
      <c r="A105" s="2">
        <f t="shared" si="5"/>
        <v>59.981255083492009</v>
      </c>
      <c r="B105" s="153">
        <f t="shared" si="3"/>
        <v>1.1496206190289415</v>
      </c>
      <c r="C105" s="2">
        <f t="shared" si="4"/>
        <v>1.150879873702388</v>
      </c>
    </row>
    <row r="106" spans="1:3" x14ac:dyDescent="0.2">
      <c r="A106" s="2">
        <f t="shared" si="5"/>
        <v>65.97938059184122</v>
      </c>
      <c r="B106" s="153">
        <f t="shared" si="3"/>
        <v>1.0452132427094443</v>
      </c>
      <c r="C106" s="2">
        <f t="shared" si="4"/>
        <v>1.0462544306385344</v>
      </c>
    </row>
    <row r="107" spans="1:3" x14ac:dyDescent="0.2">
      <c r="A107" s="2">
        <f t="shared" si="5"/>
        <v>72.577318651025351</v>
      </c>
      <c r="B107" s="153">
        <f t="shared" si="3"/>
        <v>0.95027954392217939</v>
      </c>
      <c r="C107" s="2">
        <f t="shared" si="4"/>
        <v>0.95114039148957663</v>
      </c>
    </row>
    <row r="108" spans="1:3" x14ac:dyDescent="0.2">
      <c r="A108" s="2">
        <f t="shared" si="5"/>
        <v>79.835050516127893</v>
      </c>
      <c r="B108" s="153">
        <f t="shared" si="3"/>
        <v>0.86396136727067541</v>
      </c>
      <c r="C108" s="2">
        <f t="shared" si="4"/>
        <v>0.86467308317234226</v>
      </c>
    </row>
    <row r="109" spans="1:3" x14ac:dyDescent="0.2">
      <c r="A109" s="2">
        <f t="shared" si="5"/>
        <v>87.818555567740688</v>
      </c>
      <c r="B109" s="153">
        <f t="shared" si="3"/>
        <v>0.78547804027610713</v>
      </c>
      <c r="C109" s="2">
        <f t="shared" si="4"/>
        <v>0.7860664392475839</v>
      </c>
    </row>
    <row r="110" spans="1:3" x14ac:dyDescent="0.2">
      <c r="A110" s="2">
        <f t="shared" si="5"/>
        <v>96.600411124514764</v>
      </c>
      <c r="B110" s="153">
        <f t="shared" si="3"/>
        <v>0.7141194204900535</v>
      </c>
      <c r="C110" s="2">
        <f t="shared" si="4"/>
        <v>0.71460585386143971</v>
      </c>
    </row>
    <row r="111" spans="1:3" x14ac:dyDescent="0.2">
      <c r="A111" s="2">
        <f t="shared" si="5"/>
        <v>106.26045223696624</v>
      </c>
      <c r="B111" s="153">
        <f t="shared" si="3"/>
        <v>0.64923955918630671</v>
      </c>
      <c r="C111" s="2">
        <f t="shared" si="4"/>
        <v>0.64964168532858169</v>
      </c>
    </row>
    <row r="112" spans="1:3" x14ac:dyDescent="0.2">
      <c r="A112" s="2">
        <f t="shared" si="5"/>
        <v>116.88649746066288</v>
      </c>
      <c r="B112" s="153">
        <f t="shared" si="3"/>
        <v>0.59025092819592684</v>
      </c>
      <c r="C112" s="2">
        <f t="shared" si="4"/>
        <v>0.59058335029871056</v>
      </c>
    </row>
    <row r="113" spans="1:3" x14ac:dyDescent="0.2">
      <c r="A113" s="2">
        <f t="shared" si="5"/>
        <v>128.57514720672918</v>
      </c>
      <c r="B113" s="153">
        <f t="shared" si="3"/>
        <v>0.5366191608717733</v>
      </c>
      <c r="C113" s="2">
        <f t="shared" si="4"/>
        <v>0.53689395481700952</v>
      </c>
    </row>
    <row r="114" spans="1:3" x14ac:dyDescent="0.2">
      <c r="A114" s="2">
        <f t="shared" si="5"/>
        <v>141.43266192740211</v>
      </c>
      <c r="B114" s="153">
        <f t="shared" si="3"/>
        <v>0.48785826225979084</v>
      </c>
      <c r="C114" s="2">
        <f t="shared" si="4"/>
        <v>0.48808541347000861</v>
      </c>
    </row>
    <row r="115" spans="1:3" x14ac:dyDescent="0.2">
      <c r="A115" s="2">
        <f t="shared" si="5"/>
        <v>155.57592812014232</v>
      </c>
      <c r="B115" s="153">
        <f t="shared" si="3"/>
        <v>0.44352624733331331</v>
      </c>
      <c r="C115" s="2">
        <f t="shared" si="4"/>
        <v>0.44371401224546242</v>
      </c>
    </row>
    <row r="116" spans="1:3" x14ac:dyDescent="0.2">
      <c r="A116" s="2">
        <f t="shared" si="5"/>
        <v>171.13352093215656</v>
      </c>
      <c r="B116" s="153">
        <f t="shared" si="3"/>
        <v>0.40322116963242599</v>
      </c>
      <c r="C116" s="2">
        <f t="shared" si="4"/>
        <v>0.40337637476860216</v>
      </c>
    </row>
    <row r="117" spans="1:3" x14ac:dyDescent="0.2">
      <c r="A117" s="2">
        <f t="shared" si="5"/>
        <v>188.24687302537222</v>
      </c>
      <c r="B117" s="153">
        <f t="shared" si="3"/>
        <v>0.3665775058615513</v>
      </c>
      <c r="C117" s="2">
        <f t="shared" si="4"/>
        <v>0.36670579524418373</v>
      </c>
    </row>
    <row r="118" spans="1:3" x14ac:dyDescent="0.2">
      <c r="A118" s="2">
        <f t="shared" si="5"/>
        <v>207.07156032790945</v>
      </c>
      <c r="B118" s="153">
        <f t="shared" si="3"/>
        <v>0.33326286495302865</v>
      </c>
      <c r="C118" s="2">
        <f t="shared" si="4"/>
        <v>0.33336890476743974</v>
      </c>
    </row>
    <row r="119" spans="1:3" x14ac:dyDescent="0.2">
      <c r="A119" s="2">
        <f t="shared" si="5"/>
        <v>227.77871636070043</v>
      </c>
      <c r="B119" s="153">
        <f t="shared" si="3"/>
        <v>0.30297499282008239</v>
      </c>
      <c r="C119" s="2">
        <f t="shared" si="4"/>
        <v>0.30306264069767247</v>
      </c>
    </row>
    <row r="120" spans="1:3" x14ac:dyDescent="0.2">
      <c r="A120" s="2">
        <f t="shared" si="5"/>
        <v>250.5565879967705</v>
      </c>
      <c r="B120" s="153">
        <f t="shared" si="3"/>
        <v>0.27543904651606577</v>
      </c>
      <c r="C120" s="2">
        <f t="shared" si="4"/>
        <v>0.27551149154333854</v>
      </c>
    </row>
    <row r="121" spans="1:3" x14ac:dyDescent="0.2">
      <c r="A121" s="2">
        <f t="shared" si="5"/>
        <v>275.61224679644755</v>
      </c>
      <c r="B121" s="153">
        <f t="shared" si="3"/>
        <v>0.25040511380434377</v>
      </c>
      <c r="C121" s="2">
        <f t="shared" si="4"/>
        <v>0.25046499231212599</v>
      </c>
    </row>
    <row r="122" spans="1:3" x14ac:dyDescent="0.2">
      <c r="A122" s="2">
        <f t="shared" si="5"/>
        <v>303.17347147609235</v>
      </c>
      <c r="B122" s="153">
        <f t="shared" si="3"/>
        <v>0.22764595623992506</v>
      </c>
      <c r="C122" s="2">
        <f t="shared" si="4"/>
        <v>0.22769544755647814</v>
      </c>
    </row>
    <row r="123" spans="1:3" x14ac:dyDescent="0.2">
      <c r="A123" s="2">
        <f t="shared" si="5"/>
        <v>333.49081862370161</v>
      </c>
      <c r="B123" s="153">
        <f t="shared" si="3"/>
        <v>0.20695495578443654</v>
      </c>
      <c r="C123" s="2">
        <f t="shared" si="4"/>
        <v>0.20699586141498011</v>
      </c>
    </row>
    <row r="124" spans="1:3" x14ac:dyDescent="0.2">
      <c r="A124" s="2">
        <f t="shared" si="5"/>
        <v>366.83990048607183</v>
      </c>
      <c r="B124" s="153">
        <f t="shared" si="3"/>
        <v>0.18814424673387808</v>
      </c>
      <c r="C124" s="2">
        <f t="shared" si="4"/>
        <v>0.18817805583180008</v>
      </c>
    </row>
    <row r="125" spans="1:3" x14ac:dyDescent="0.2">
      <c r="A125" s="2">
        <f t="shared" si="5"/>
        <v>403.52389053467903</v>
      </c>
      <c r="B125" s="153">
        <f t="shared" si="3"/>
        <v>0.1710430163465676</v>
      </c>
      <c r="C125" s="2">
        <f t="shared" si="4"/>
        <v>0.17107095984709098</v>
      </c>
    </row>
    <row r="126" spans="1:3" x14ac:dyDescent="0.2">
      <c r="A126" s="2">
        <f t="shared" si="5"/>
        <v>443.87627958814699</v>
      </c>
      <c r="B126" s="153">
        <f t="shared" si="3"/>
        <v>0.15549595902874716</v>
      </c>
      <c r="C126" s="2">
        <f t="shared" si="4"/>
        <v>0.15551905440644631</v>
      </c>
    </row>
    <row r="127" spans="1:3" x14ac:dyDescent="0.2">
      <c r="A127" s="2">
        <f t="shared" si="5"/>
        <v>488.26390754696172</v>
      </c>
      <c r="B127" s="153">
        <f t="shared" si="3"/>
        <v>0.14136187027859728</v>
      </c>
      <c r="C127" s="2">
        <f t="shared" si="4"/>
        <v>0.14138095855131483</v>
      </c>
    </row>
    <row r="128" spans="1:3" x14ac:dyDescent="0.2">
      <c r="A128" s="2">
        <f t="shared" si="5"/>
        <v>537.09029830165798</v>
      </c>
      <c r="B128" s="153">
        <f t="shared" si="3"/>
        <v>0.12851236781627123</v>
      </c>
      <c r="C128" s="2">
        <f t="shared" si="4"/>
        <v>0.12852814413755889</v>
      </c>
    </row>
    <row r="129" spans="1:3" x14ac:dyDescent="0.2">
      <c r="A129" s="2">
        <f t="shared" si="5"/>
        <v>590.79932813182381</v>
      </c>
      <c r="B129" s="153">
        <f t="shared" si="3"/>
        <v>0.11683072844762192</v>
      </c>
      <c r="C129" s="2">
        <f t="shared" si="4"/>
        <v>0.11684376739778081</v>
      </c>
    </row>
    <row r="130" spans="1:3" x14ac:dyDescent="0.2">
      <c r="A130" s="2">
        <f t="shared" si="5"/>
        <v>649.87926094500619</v>
      </c>
      <c r="B130" s="153">
        <f t="shared" si="3"/>
        <v>0.10621083023145569</v>
      </c>
      <c r="C130" s="2">
        <f t="shared" si="4"/>
        <v>0.10622160672525528</v>
      </c>
    </row>
    <row r="131" spans="1:3" x14ac:dyDescent="0.2">
      <c r="A131" s="2">
        <f t="shared" si="5"/>
        <v>714.86718703950692</v>
      </c>
      <c r="B131" s="153">
        <f t="shared" si="3"/>
        <v>9.6556190452642701E-2</v>
      </c>
      <c r="C131" s="2">
        <f t="shared" si="4"/>
        <v>9.6565097022959331E-2</v>
      </c>
    </row>
    <row r="132" spans="1:3" x14ac:dyDescent="0.2">
      <c r="A132" s="2">
        <f t="shared" si="5"/>
        <v>786.35390574345763</v>
      </c>
      <c r="B132" s="153">
        <f t="shared" si="3"/>
        <v>8.7779090753833874E-2</v>
      </c>
      <c r="C132" s="2">
        <f t="shared" si="4"/>
        <v>8.7786451839053925E-2</v>
      </c>
    </row>
    <row r="133" spans="1:3" x14ac:dyDescent="0.2">
      <c r="A133" s="2">
        <f t="shared" si="5"/>
        <v>864.98929631780345</v>
      </c>
      <c r="B133" s="153">
        <f t="shared" si="3"/>
        <v>7.9799781553882343E-2</v>
      </c>
      <c r="C133" s="2">
        <f t="shared" si="4"/>
        <v>7.9805865308230847E-2</v>
      </c>
    </row>
    <row r="134" spans="1:3" x14ac:dyDescent="0.2">
      <c r="A134" s="2">
        <f t="shared" si="5"/>
        <v>951.48822594958392</v>
      </c>
      <c r="B134" s="153">
        <f t="shared" si="3"/>
        <v>7.2545758587782339E-2</v>
      </c>
      <c r="C134" s="2">
        <f t="shared" si="4"/>
        <v>7.2550786643846218E-2</v>
      </c>
    </row>
    <row r="135" spans="1:3" x14ac:dyDescent="0.2">
      <c r="A135" s="2">
        <f t="shared" si="5"/>
        <v>1046.6370485445425</v>
      </c>
      <c r="B135" s="153">
        <f t="shared" si="3"/>
        <v>6.595110504694221E-2</v>
      </c>
      <c r="C135" s="2">
        <f t="shared" si="4"/>
        <v>6.5955260585314729E-2</v>
      </c>
    </row>
    <row r="136" spans="1:3" x14ac:dyDescent="0.2">
      <c r="A136" s="2">
        <f t="shared" si="5"/>
        <v>1151.3007533989969</v>
      </c>
      <c r="B136" s="153">
        <f t="shared" si="3"/>
        <v>5.9955893385339E-2</v>
      </c>
      <c r="C136" s="2">
        <f t="shared" si="4"/>
        <v>5.9959327804831562E-2</v>
      </c>
    </row>
    <row r="137" spans="1:3" x14ac:dyDescent="0.2">
      <c r="A137" s="194"/>
      <c r="B137" s="144"/>
    </row>
    <row r="138" spans="1:3" x14ac:dyDescent="0.2">
      <c r="A138" s="194"/>
      <c r="B138" s="144"/>
    </row>
    <row r="139" spans="1:3" x14ac:dyDescent="0.2">
      <c r="A139" s="194"/>
      <c r="B139" s="144"/>
    </row>
    <row r="140" spans="1:3" x14ac:dyDescent="0.2">
      <c r="A140" s="194"/>
      <c r="B140" s="144"/>
    </row>
    <row r="141" spans="1:3" x14ac:dyDescent="0.2">
      <c r="A141" s="194"/>
      <c r="B141" s="144"/>
    </row>
  </sheetData>
  <phoneticPr fontId="25" type="noConversion"/>
  <pageMargins left="0.75" right="0.75" top="1" bottom="1" header="0.5" footer="0.5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51"/>
  <sheetViews>
    <sheetView zoomScale="75" workbookViewId="0"/>
  </sheetViews>
  <sheetFormatPr defaultColWidth="8" defaultRowHeight="12.75" x14ac:dyDescent="0.2"/>
  <cols>
    <col min="1" max="16384" width="8" style="2"/>
  </cols>
  <sheetData>
    <row r="1" spans="1:11" ht="18" x14ac:dyDescent="0.25">
      <c r="A1" s="1" t="str">
        <f>' T = Tb'!A1</f>
        <v>Cyclohexane</v>
      </c>
      <c r="F1" s="2" t="s">
        <v>0</v>
      </c>
      <c r="G1" s="2">
        <v>1</v>
      </c>
      <c r="J1" s="4"/>
    </row>
    <row r="2" spans="1:11" x14ac:dyDescent="0.2">
      <c r="B2" s="4" t="s">
        <v>15</v>
      </c>
      <c r="C2" s="5">
        <f>' T = Tb'!B2</f>
        <v>84.161000000000001</v>
      </c>
      <c r="D2" s="2" t="s">
        <v>3</v>
      </c>
      <c r="F2" s="4" t="s">
        <v>4</v>
      </c>
      <c r="G2" s="37">
        <f>' T = Tb'!F2</f>
        <v>3.9300199999999998</v>
      </c>
      <c r="H2" s="37"/>
      <c r="J2" s="4"/>
    </row>
    <row r="3" spans="1:11" ht="15.75" x14ac:dyDescent="0.3">
      <c r="B3" s="4" t="s">
        <v>17</v>
      </c>
      <c r="C3" s="5">
        <f>' T = Tb'!B3</f>
        <v>553.5</v>
      </c>
      <c r="D3" s="2" t="s">
        <v>2</v>
      </c>
      <c r="F3" s="4" t="s">
        <v>5</v>
      </c>
      <c r="G3" s="37">
        <f>' T = Tb'!F3</f>
        <v>1182.7739999999999</v>
      </c>
      <c r="H3" s="37"/>
      <c r="J3" s="4"/>
    </row>
    <row r="4" spans="1:11" ht="15.75" x14ac:dyDescent="0.3">
      <c r="B4" s="4" t="s">
        <v>18</v>
      </c>
      <c r="C4" s="5">
        <f>' T = Tb'!B4</f>
        <v>40.729999999999997</v>
      </c>
      <c r="D4" s="2" t="s">
        <v>7</v>
      </c>
      <c r="F4" s="4" t="s">
        <v>8</v>
      </c>
      <c r="G4" s="37">
        <f>' T = Tb'!F4</f>
        <v>220.61799999999999</v>
      </c>
      <c r="H4" s="37"/>
      <c r="J4" s="4"/>
    </row>
    <row r="5" spans="1:11" ht="15.75" x14ac:dyDescent="0.3">
      <c r="B5" s="4" t="s">
        <v>18</v>
      </c>
      <c r="C5" s="5">
        <f>' T = Tb'!B5</f>
        <v>4072.9999999999995</v>
      </c>
      <c r="D5" s="2" t="s">
        <v>9</v>
      </c>
      <c r="F5" s="4" t="s">
        <v>10</v>
      </c>
      <c r="G5" s="37">
        <f>' T = Tb'!F5</f>
        <v>0</v>
      </c>
      <c r="H5" s="37"/>
      <c r="J5" s="4"/>
    </row>
    <row r="6" spans="1:11" ht="15.75" x14ac:dyDescent="0.3">
      <c r="B6" s="4" t="s">
        <v>19</v>
      </c>
      <c r="C6" s="5">
        <f>' T = Tb'!B6</f>
        <v>308</v>
      </c>
      <c r="D6" s="2" t="s">
        <v>20</v>
      </c>
      <c r="F6" s="4" t="s">
        <v>21</v>
      </c>
      <c r="G6" s="37">
        <f>' T = Tb'!F6</f>
        <v>282.11</v>
      </c>
      <c r="I6" s="7">
        <f>G6/C3</f>
        <v>0.5096838301716351</v>
      </c>
      <c r="J6" s="2" t="s">
        <v>22</v>
      </c>
    </row>
    <row r="7" spans="1:11" ht="15.75" x14ac:dyDescent="0.3">
      <c r="B7" s="4" t="s">
        <v>19</v>
      </c>
      <c r="C7" s="5">
        <f>' T = Tb'!B7</f>
        <v>0.308</v>
      </c>
      <c r="D7" s="46" t="s">
        <v>23</v>
      </c>
      <c r="F7" s="4" t="s">
        <v>24</v>
      </c>
      <c r="G7" s="37">
        <f>' T = Tb'!F7</f>
        <v>553.5</v>
      </c>
      <c r="I7" s="7">
        <f>G7/C3</f>
        <v>1</v>
      </c>
      <c r="J7" s="2" t="s">
        <v>25</v>
      </c>
    </row>
    <row r="8" spans="1:11" ht="15.75" x14ac:dyDescent="0.3">
      <c r="B8" s="4" t="s">
        <v>26</v>
      </c>
      <c r="C8" s="5">
        <f>' T = Tb'!B8</f>
        <v>0.27300000000000002</v>
      </c>
      <c r="F8" s="4" t="s">
        <v>27</v>
      </c>
      <c r="G8" s="37">
        <f>' T = Tb'!F8</f>
        <v>353.93</v>
      </c>
      <c r="H8" s="18"/>
      <c r="I8" s="7">
        <f>G8/C3</f>
        <v>0.63943992773261071</v>
      </c>
      <c r="J8" s="2" t="s">
        <v>28</v>
      </c>
    </row>
    <row r="9" spans="1:11" x14ac:dyDescent="0.2">
      <c r="B9" s="9" t="s">
        <v>29</v>
      </c>
      <c r="C9" s="5">
        <f>' T = Tb'!B9</f>
        <v>0.21099999999999999</v>
      </c>
      <c r="F9" s="4"/>
      <c r="G9" s="18">
        <v>101.325</v>
      </c>
    </row>
    <row r="10" spans="1:11" ht="18" x14ac:dyDescent="0.25">
      <c r="B10" s="2" t="s">
        <v>11</v>
      </c>
      <c r="C10" s="2">
        <v>8.3145100000000003</v>
      </c>
      <c r="D10" s="2" t="s">
        <v>12</v>
      </c>
      <c r="K10" s="1"/>
    </row>
    <row r="12" spans="1:11" ht="15.75" x14ac:dyDescent="0.3">
      <c r="B12" s="4" t="s">
        <v>99</v>
      </c>
      <c r="C12" s="21">
        <f>' T = Tb'!B12</f>
        <v>2193.7036127822548</v>
      </c>
      <c r="J12" s="5"/>
      <c r="K12" s="5"/>
    </row>
    <row r="13" spans="1:11" x14ac:dyDescent="0.2">
      <c r="B13" s="2">
        <v>0</v>
      </c>
      <c r="D13" s="4"/>
      <c r="K13" s="4"/>
    </row>
    <row r="14" spans="1:11" x14ac:dyDescent="0.2">
      <c r="D14" s="4"/>
      <c r="K14" s="4"/>
    </row>
    <row r="15" spans="1:11" x14ac:dyDescent="0.2">
      <c r="B15" s="2">
        <v>0.1575</v>
      </c>
      <c r="D15" s="4"/>
      <c r="K15" s="4"/>
    </row>
    <row r="16" spans="1:11" x14ac:dyDescent="0.2">
      <c r="B16" s="2">
        <v>0</v>
      </c>
      <c r="D16" s="4"/>
      <c r="K16" s="4"/>
    </row>
    <row r="17" spans="1:21" x14ac:dyDescent="0.2">
      <c r="D17" s="4"/>
    </row>
    <row r="18" spans="1:21" x14ac:dyDescent="0.2">
      <c r="D18" s="4"/>
    </row>
    <row r="19" spans="1:21" ht="13.5" thickBot="1" x14ac:dyDescent="0.25">
      <c r="D19" s="4"/>
    </row>
    <row r="20" spans="1:21" ht="23.25" x14ac:dyDescent="0.4">
      <c r="F20" s="4"/>
      <c r="J20" s="47" t="s">
        <v>101</v>
      </c>
      <c r="K20" s="4"/>
      <c r="L20" s="17"/>
      <c r="M20" s="17"/>
      <c r="N20" s="17"/>
      <c r="O20" s="48"/>
      <c r="P20" s="49" t="s">
        <v>160</v>
      </c>
      <c r="Q20" s="49"/>
      <c r="R20" s="50"/>
      <c r="S20" s="50"/>
      <c r="T20" s="50"/>
      <c r="U20" s="51"/>
    </row>
    <row r="21" spans="1:21" x14ac:dyDescent="0.2">
      <c r="D21" s="99"/>
      <c r="E21" s="100"/>
      <c r="F21" s="54"/>
      <c r="G21" s="100"/>
      <c r="H21" s="157"/>
      <c r="I21" s="52" t="s">
        <v>47</v>
      </c>
      <c r="J21" s="53">
        <f>M48/N48</f>
        <v>0.85537347937760355</v>
      </c>
      <c r="K21" s="54"/>
      <c r="L21" s="55"/>
      <c r="M21" s="55"/>
      <c r="N21" s="55"/>
      <c r="O21" s="56" t="s">
        <v>47</v>
      </c>
      <c r="P21" s="53">
        <f>T48/U48</f>
        <v>0.82778983872550327</v>
      </c>
      <c r="Q21" s="53"/>
      <c r="R21" s="54"/>
      <c r="S21" s="55"/>
      <c r="T21" s="55"/>
      <c r="U21" s="57"/>
    </row>
    <row r="22" spans="1:21" ht="14.25" x14ac:dyDescent="0.2">
      <c r="D22" s="61"/>
      <c r="E22" s="34"/>
      <c r="F22" s="34"/>
      <c r="G22" s="34"/>
      <c r="H22" s="158"/>
      <c r="I22" s="58" t="s">
        <v>102</v>
      </c>
      <c r="J22" s="36">
        <f>(CORREL(G26:G47,I26:I47))^2</f>
        <v>0.99964293792373948</v>
      </c>
      <c r="K22" s="34"/>
      <c r="L22" s="247" t="s">
        <v>157</v>
      </c>
      <c r="M22" s="32"/>
      <c r="N22" s="32"/>
      <c r="O22" s="59" t="s">
        <v>102</v>
      </c>
      <c r="P22" s="36">
        <f>(CORREL(P26:P47,O26:O47))^2</f>
        <v>0.99990323759061162</v>
      </c>
      <c r="Q22" s="36"/>
      <c r="R22" s="243" t="s">
        <v>158</v>
      </c>
      <c r="S22" s="32"/>
      <c r="T22" s="32"/>
      <c r="U22" s="60"/>
    </row>
    <row r="23" spans="1:21" x14ac:dyDescent="0.2">
      <c r="D23" s="61"/>
      <c r="E23" s="34"/>
      <c r="F23" s="34"/>
      <c r="G23" s="34"/>
      <c r="H23" s="158"/>
      <c r="I23" s="61"/>
      <c r="J23" s="34"/>
      <c r="K23" s="34" t="s">
        <v>48</v>
      </c>
      <c r="L23" s="32"/>
      <c r="M23" s="32"/>
      <c r="N23" s="32"/>
      <c r="O23" s="62"/>
      <c r="P23" s="34"/>
      <c r="Q23" s="34"/>
      <c r="R23" s="34" t="s">
        <v>48</v>
      </c>
      <c r="S23" s="32"/>
      <c r="T23" s="32"/>
      <c r="U23" s="60"/>
    </row>
    <row r="24" spans="1:21" s="63" customFormat="1" ht="24.75" x14ac:dyDescent="0.5">
      <c r="B24" s="64" t="s">
        <v>49</v>
      </c>
      <c r="C24" s="64" t="s">
        <v>45</v>
      </c>
      <c r="D24" s="159" t="s">
        <v>50</v>
      </c>
      <c r="E24" s="68" t="s">
        <v>103</v>
      </c>
      <c r="F24" s="65" t="s">
        <v>104</v>
      </c>
      <c r="G24" s="66" t="s">
        <v>105</v>
      </c>
      <c r="H24" s="160" t="s">
        <v>106</v>
      </c>
      <c r="I24" s="67" t="s">
        <v>107</v>
      </c>
      <c r="J24" s="66" t="s">
        <v>105</v>
      </c>
      <c r="K24" s="65" t="s">
        <v>104</v>
      </c>
      <c r="L24" s="65" t="s">
        <v>108</v>
      </c>
      <c r="M24" s="65" t="s">
        <v>109</v>
      </c>
      <c r="N24" s="68" t="s">
        <v>110</v>
      </c>
      <c r="O24" s="69" t="s">
        <v>111</v>
      </c>
      <c r="P24" s="68" t="s">
        <v>112</v>
      </c>
      <c r="Q24" s="68"/>
      <c r="R24" s="65" t="s">
        <v>104</v>
      </c>
      <c r="S24" s="65" t="s">
        <v>108</v>
      </c>
      <c r="T24" s="65" t="s">
        <v>109</v>
      </c>
      <c r="U24" s="70" t="s">
        <v>110</v>
      </c>
    </row>
    <row r="25" spans="1:21" x14ac:dyDescent="0.2">
      <c r="B25" s="5" t="s">
        <v>2</v>
      </c>
      <c r="C25" s="5" t="s">
        <v>7</v>
      </c>
      <c r="D25" s="61"/>
      <c r="E25" s="34"/>
      <c r="F25" s="34"/>
      <c r="G25" s="34"/>
      <c r="H25" s="158"/>
      <c r="I25" s="61"/>
      <c r="J25" s="34"/>
      <c r="K25" s="34"/>
      <c r="L25" s="43" t="s">
        <v>51</v>
      </c>
      <c r="M25" s="34"/>
      <c r="N25" s="34"/>
      <c r="O25" s="62"/>
      <c r="P25" s="34"/>
      <c r="Q25" s="34"/>
      <c r="R25" s="34"/>
      <c r="S25" s="43" t="s">
        <v>51</v>
      </c>
      <c r="T25" s="34"/>
      <c r="U25" s="71"/>
    </row>
    <row r="26" spans="1:21" x14ac:dyDescent="0.2">
      <c r="A26" s="5" t="s">
        <v>52</v>
      </c>
      <c r="B26" s="72">
        <f>Tmin!I1</f>
        <v>282.11</v>
      </c>
      <c r="C26" s="7">
        <f>Tmin!I3</f>
        <v>5.9989002783289953E-2</v>
      </c>
      <c r="D26" s="61">
        <f t="shared" ref="D26:D47" si="0">1000/B26</f>
        <v>3.5447165999078374</v>
      </c>
      <c r="E26" s="161">
        <f t="shared" ref="E26:E47" si="1">B26/$C$3</f>
        <v>0.5096838301716351</v>
      </c>
      <c r="F26" s="42">
        <f>Tmin!B13</f>
        <v>3357.7102261096311</v>
      </c>
      <c r="G26" s="34">
        <f t="shared" ref="G26:G47" si="2">LN(F26/$C$12)</f>
        <v>0.42566799849933679</v>
      </c>
      <c r="H26" s="158">
        <f>'Phase diagram'!D26</f>
        <v>0.15886797403654285</v>
      </c>
      <c r="I26" s="61">
        <f t="shared" ref="I26:I47" si="3">(1-E26)</f>
        <v>0.4903161698283649</v>
      </c>
      <c r="J26" s="34">
        <f t="shared" ref="J26:J47" si="4">$J$21*I26</f>
        <v>0.41940344818118847</v>
      </c>
      <c r="K26" s="42">
        <f t="shared" ref="K26:K48" si="5">$C$12*EXP(J26)</f>
        <v>3336.74143005933</v>
      </c>
      <c r="L26" s="74">
        <f t="shared" ref="L26:L47" si="6">100*(F26-K26)/F26</f>
        <v>0.62449689336641512</v>
      </c>
      <c r="M26" s="75">
        <f t="shared" ref="M26:M46" si="7">I26*G26</f>
        <v>0.20871190264270098</v>
      </c>
      <c r="N26" s="75">
        <f t="shared" ref="N26:N46" si="8">I26^2</f>
        <v>0.24040994639515798</v>
      </c>
      <c r="O26" s="62">
        <f t="shared" ref="O26:O48" si="9">1-SQRT(E26)</f>
        <v>0.28607855462128395</v>
      </c>
      <c r="P26" s="76">
        <f t="shared" ref="P26:P48" si="10">SQRT(F26/$C$12)-1</f>
        <v>0.23717926151094204</v>
      </c>
      <c r="Q26" s="76">
        <f t="shared" ref="Q26:Q47" si="11">$P$21*O26</f>
        <v>0.23681292059277773</v>
      </c>
      <c r="R26" s="42">
        <f t="shared" ref="R26:R47" si="12">$C$12*(1+O26*$P$21)^2</f>
        <v>3355.7220186315026</v>
      </c>
      <c r="S26" s="74">
        <f t="shared" ref="S26:S47" si="13">100*(F26-R26)/F26</f>
        <v>5.9213194237792435E-2</v>
      </c>
      <c r="T26" s="75">
        <f t="shared" ref="T26:T46" si="14">O26*P26</f>
        <v>6.7851900319193817E-2</v>
      </c>
      <c r="U26" s="77">
        <f t="shared" ref="U26:U46" si="15">O26^2</f>
        <v>8.1840939414202951E-2</v>
      </c>
    </row>
    <row r="27" spans="1:21" x14ac:dyDescent="0.2">
      <c r="A27" s="5" t="s">
        <v>53</v>
      </c>
      <c r="B27" s="72">
        <f>'T2'!I1</f>
        <v>291.77860134885822</v>
      </c>
      <c r="C27" s="7">
        <f>'T2'!I3</f>
        <v>9.6889293865363255E-2</v>
      </c>
      <c r="D27" s="61">
        <f t="shared" si="0"/>
        <v>3.4272561297405546</v>
      </c>
      <c r="E27" s="161">
        <f t="shared" si="1"/>
        <v>0.52715194462305004</v>
      </c>
      <c r="F27" s="42">
        <f>'T2'!B13</f>
        <v>3301.0714567875025</v>
      </c>
      <c r="G27" s="34">
        <f t="shared" si="2"/>
        <v>0.40865583681103806</v>
      </c>
      <c r="H27" s="158">
        <f>'Phase diagram'!D27</f>
        <v>0.16006508994473784</v>
      </c>
      <c r="I27" s="61">
        <f t="shared" si="3"/>
        <v>0.47284805537694996</v>
      </c>
      <c r="J27" s="34">
        <f t="shared" si="4"/>
        <v>0.40446168634471547</v>
      </c>
      <c r="K27" s="42">
        <f t="shared" si="5"/>
        <v>3287.2552602544883</v>
      </c>
      <c r="L27" s="74">
        <f t="shared" si="6"/>
        <v>0.41853673008519537</v>
      </c>
      <c r="M27" s="75">
        <f t="shared" si="7"/>
        <v>0.19323211775453955</v>
      </c>
      <c r="N27" s="75">
        <f t="shared" si="8"/>
        <v>0.22358528347376314</v>
      </c>
      <c r="O27" s="62">
        <f t="shared" si="9"/>
        <v>0.27394769842452116</v>
      </c>
      <c r="P27" s="76">
        <f t="shared" si="10"/>
        <v>0.22670034513080517</v>
      </c>
      <c r="Q27" s="76">
        <f t="shared" si="11"/>
        <v>0.22677112109805717</v>
      </c>
      <c r="R27" s="42">
        <f t="shared" si="12"/>
        <v>3301.4523864354333</v>
      </c>
      <c r="S27" s="74">
        <f t="shared" si="13"/>
        <v>-1.1539575950333381E-2</v>
      </c>
      <c r="T27" s="75">
        <f t="shared" si="14"/>
        <v>6.2104037780628681E-2</v>
      </c>
      <c r="U27" s="77">
        <f t="shared" si="15"/>
        <v>7.5047341472092396E-2</v>
      </c>
    </row>
    <row r="28" spans="1:21" x14ac:dyDescent="0.2">
      <c r="A28" s="5" t="s">
        <v>54</v>
      </c>
      <c r="B28" s="72">
        <f>'T3'!I1</f>
        <v>301.77856937044379</v>
      </c>
      <c r="C28" s="7">
        <f>'T3'!I3</f>
        <v>0.15297578457613945</v>
      </c>
      <c r="D28" s="61">
        <f t="shared" si="0"/>
        <v>3.3136879205377401</v>
      </c>
      <c r="E28" s="161">
        <f t="shared" si="1"/>
        <v>0.54521873418327693</v>
      </c>
      <c r="F28" s="42">
        <f>'T3'!B13</f>
        <v>3244.6464838802249</v>
      </c>
      <c r="G28" s="34">
        <f t="shared" si="2"/>
        <v>0.3914151395900114</v>
      </c>
      <c r="H28" s="158">
        <f>'Phase diagram'!D28</f>
        <v>0.16137316940622423</v>
      </c>
      <c r="I28" s="61">
        <f t="shared" si="3"/>
        <v>0.45478126581672307</v>
      </c>
      <c r="J28" s="34">
        <f t="shared" si="4"/>
        <v>0.38900783369740122</v>
      </c>
      <c r="K28" s="42">
        <f t="shared" si="5"/>
        <v>3236.8450213010969</v>
      </c>
      <c r="L28" s="74">
        <f t="shared" si="6"/>
        <v>0.2404410655486349</v>
      </c>
      <c r="M28" s="75">
        <f t="shared" si="7"/>
        <v>0.17800827264257474</v>
      </c>
      <c r="N28" s="75">
        <f t="shared" si="8"/>
        <v>0.20682599973786092</v>
      </c>
      <c r="O28" s="62">
        <f t="shared" si="9"/>
        <v>0.26161071636752686</v>
      </c>
      <c r="P28" s="76">
        <f t="shared" si="10"/>
        <v>0.21617120813284574</v>
      </c>
      <c r="Q28" s="76">
        <f t="shared" si="11"/>
        <v>0.21655869271073844</v>
      </c>
      <c r="R28" s="42">
        <f t="shared" si="12"/>
        <v>3246.7143683215495</v>
      </c>
      <c r="S28" s="74">
        <f t="shared" si="13"/>
        <v>-6.3732195528792085E-2</v>
      </c>
      <c r="T28" s="75">
        <f t="shared" si="14"/>
        <v>5.6552704617667524E-2</v>
      </c>
      <c r="U28" s="77">
        <f t="shared" si="15"/>
        <v>6.8440166918330589E-2</v>
      </c>
    </row>
    <row r="29" spans="1:21" x14ac:dyDescent="0.2">
      <c r="A29" s="5" t="s">
        <v>55</v>
      </c>
      <c r="B29" s="72">
        <f>'T4'!I1</f>
        <v>312.12126081304262</v>
      </c>
      <c r="C29" s="17">
        <f>'T4'!I3</f>
        <v>0.23642385647017744</v>
      </c>
      <c r="D29" s="61">
        <f t="shared" si="0"/>
        <v>3.2038829953304258</v>
      </c>
      <c r="E29" s="161">
        <f t="shared" si="1"/>
        <v>0.56390471691606614</v>
      </c>
      <c r="F29" s="42">
        <f>'T4'!B13</f>
        <v>3188.343307474006</v>
      </c>
      <c r="G29" s="34">
        <f t="shared" si="2"/>
        <v>0.37391017970552815</v>
      </c>
      <c r="H29" s="158">
        <f>'Phase diagram'!D29</f>
        <v>0.16280799846947722</v>
      </c>
      <c r="I29" s="61">
        <f t="shared" si="3"/>
        <v>0.43609528308393386</v>
      </c>
      <c r="J29" s="34">
        <f t="shared" si="4"/>
        <v>0.37302433963166548</v>
      </c>
      <c r="K29" s="42">
        <f t="shared" si="5"/>
        <v>3185.5201958003513</v>
      </c>
      <c r="L29" s="74">
        <f t="shared" si="6"/>
        <v>8.8544783337379362E-2</v>
      </c>
      <c r="M29" s="75">
        <f t="shared" si="7"/>
        <v>0.16306046566664686</v>
      </c>
      <c r="N29" s="75">
        <f t="shared" si="8"/>
        <v>0.1901790959280564</v>
      </c>
      <c r="O29" s="62">
        <f t="shared" si="9"/>
        <v>0.2490641059876908</v>
      </c>
      <c r="P29" s="76">
        <f t="shared" si="10"/>
        <v>0.2055731413668509</v>
      </c>
      <c r="Q29" s="76">
        <f t="shared" si="11"/>
        <v>0.20617273612786222</v>
      </c>
      <c r="R29" s="42">
        <f t="shared" si="12"/>
        <v>3191.5155568808068</v>
      </c>
      <c r="S29" s="74">
        <f t="shared" si="13"/>
        <v>-9.9495226858554497E-2</v>
      </c>
      <c r="T29" s="75">
        <f t="shared" si="14"/>
        <v>5.1200890669615896E-2</v>
      </c>
      <c r="U29" s="77">
        <f t="shared" si="15"/>
        <v>6.2032928891447674E-2</v>
      </c>
    </row>
    <row r="30" spans="1:21" x14ac:dyDescent="0.2">
      <c r="A30" s="5" t="s">
        <v>56</v>
      </c>
      <c r="B30" s="72">
        <f>'T5'!I1</f>
        <v>322.81842164854754</v>
      </c>
      <c r="C30" s="17">
        <f>'T5'!I3</f>
        <v>0.35811104041134006</v>
      </c>
      <c r="D30" s="61">
        <f t="shared" si="0"/>
        <v>3.0977166510302196</v>
      </c>
      <c r="E30" s="161">
        <f t="shared" si="1"/>
        <v>0.58323111408951678</v>
      </c>
      <c r="F30" s="42">
        <f>'T5'!B13</f>
        <v>3132.0903343249147</v>
      </c>
      <c r="G30" s="34">
        <f t="shared" si="2"/>
        <v>0.35610935725167692</v>
      </c>
      <c r="H30" s="158">
        <f>'Phase diagram'!D30</f>
        <v>0.16438841243443053</v>
      </c>
      <c r="I30" s="61">
        <f t="shared" si="3"/>
        <v>0.41676888591048322</v>
      </c>
      <c r="J30" s="34">
        <f t="shared" si="4"/>
        <v>0.35649305203757753</v>
      </c>
      <c r="K30" s="42">
        <f t="shared" si="5"/>
        <v>3133.2923316404695</v>
      </c>
      <c r="L30" s="74">
        <f t="shared" si="6"/>
        <v>-3.8376840616055848E-2</v>
      </c>
      <c r="M30" s="75">
        <f t="shared" si="7"/>
        <v>0.14841530008407966</v>
      </c>
      <c r="N30" s="75">
        <f t="shared" si="8"/>
        <v>0.17369630426306537</v>
      </c>
      <c r="O30" s="62">
        <f t="shared" si="9"/>
        <v>0.23630430530903423</v>
      </c>
      <c r="P30" s="76">
        <f t="shared" si="10"/>
        <v>0.1948906544276312</v>
      </c>
      <c r="Q30" s="76">
        <f t="shared" si="11"/>
        <v>0.19561030278190752</v>
      </c>
      <c r="R30" s="42">
        <f t="shared" si="12"/>
        <v>3135.8642066990083</v>
      </c>
      <c r="S30" s="74">
        <f t="shared" si="13"/>
        <v>-0.12049053415654389</v>
      </c>
      <c r="T30" s="75">
        <f t="shared" si="14"/>
        <v>4.6053500705744446E-2</v>
      </c>
      <c r="U30" s="77">
        <f t="shared" si="15"/>
        <v>5.5839724707585268E-2</v>
      </c>
    </row>
    <row r="31" spans="1:21" x14ac:dyDescent="0.2">
      <c r="A31" s="5" t="s">
        <v>57</v>
      </c>
      <c r="B31" s="72">
        <f>'T6'!I1</f>
        <v>333.88220041210576</v>
      </c>
      <c r="C31" s="17">
        <f>'T6'!I3</f>
        <v>0.5322296394350029</v>
      </c>
      <c r="D31" s="61">
        <f t="shared" si="0"/>
        <v>2.9950683168066914</v>
      </c>
      <c r="E31" s="161">
        <f t="shared" si="1"/>
        <v>0.60321987427661383</v>
      </c>
      <c r="F31" s="42">
        <f>'T6'!B13</f>
        <v>3075.8376813044592</v>
      </c>
      <c r="G31" s="34">
        <f t="shared" si="2"/>
        <v>0.33798601800617606</v>
      </c>
      <c r="H31" s="158">
        <f>'Phase diagram'!D31</f>
        <v>0.1661370398442604</v>
      </c>
      <c r="I31" s="61">
        <f t="shared" si="3"/>
        <v>0.39678012572338617</v>
      </c>
      <c r="J31" s="34">
        <f t="shared" si="4"/>
        <v>0.33939519668789581</v>
      </c>
      <c r="K31" s="42">
        <f t="shared" si="5"/>
        <v>3080.1751416039051</v>
      </c>
      <c r="L31" s="74">
        <f t="shared" si="6"/>
        <v>-0.1410172040550057</v>
      </c>
      <c r="M31" s="75">
        <f t="shared" si="7"/>
        <v>0.1341061347172372</v>
      </c>
      <c r="N31" s="75">
        <f t="shared" si="8"/>
        <v>0.15743446816906614</v>
      </c>
      <c r="O31" s="62">
        <f t="shared" si="9"/>
        <v>0.22332769183096668</v>
      </c>
      <c r="P31" s="76">
        <f t="shared" si="10"/>
        <v>0.18411186077267105</v>
      </c>
      <c r="Q31" s="76">
        <f t="shared" si="11"/>
        <v>0.18486839400369481</v>
      </c>
      <c r="R31" s="42">
        <f t="shared" si="12"/>
        <v>3079.7692638719582</v>
      </c>
      <c r="S31" s="74">
        <f t="shared" si="13"/>
        <v>-0.12782152294302981</v>
      </c>
      <c r="T31" s="75">
        <f t="shared" si="14"/>
        <v>4.1117276905064927E-2</v>
      </c>
      <c r="U31" s="77">
        <f t="shared" si="15"/>
        <v>4.9875257938547218E-2</v>
      </c>
    </row>
    <row r="32" spans="1:21" x14ac:dyDescent="0.2">
      <c r="A32" s="5" t="s">
        <v>58</v>
      </c>
      <c r="B32" s="72">
        <f>'T7'!I1</f>
        <v>345.32516199894849</v>
      </c>
      <c r="C32" s="17">
        <f>'T7'!I3</f>
        <v>0.77695697672529052</v>
      </c>
      <c r="D32" s="61">
        <f t="shared" si="0"/>
        <v>2.8958214171576788</v>
      </c>
      <c r="E32" s="161">
        <f t="shared" si="1"/>
        <v>0.62389369828174979</v>
      </c>
      <c r="F32" s="42">
        <f>'T7'!B13</f>
        <v>3019.5581553594379</v>
      </c>
      <c r="G32" s="34">
        <f t="shared" si="2"/>
        <v>0.31951925167262019</v>
      </c>
      <c r="H32" s="158">
        <f>'Phase diagram'!D32</f>
        <v>0.1680812998912565</v>
      </c>
      <c r="I32" s="61">
        <f t="shared" si="3"/>
        <v>0.37610630171825021</v>
      </c>
      <c r="J32" s="34">
        <f t="shared" si="4"/>
        <v>0.32171135591658245</v>
      </c>
      <c r="K32" s="42">
        <f t="shared" si="5"/>
        <v>3026.1846018839497</v>
      </c>
      <c r="L32" s="74">
        <f t="shared" si="6"/>
        <v>-0.21945086610603567</v>
      </c>
      <c r="M32" s="75">
        <f t="shared" si="7"/>
        <v>0.12017320407437201</v>
      </c>
      <c r="N32" s="75">
        <f t="shared" si="8"/>
        <v>0.14145595019217946</v>
      </c>
      <c r="O32" s="62">
        <f t="shared" si="9"/>
        <v>0.21013058149985975</v>
      </c>
      <c r="P32" s="76">
        <f t="shared" si="10"/>
        <v>0.1732288231974739</v>
      </c>
      <c r="Q32" s="76">
        <f t="shared" si="11"/>
        <v>0.17394396017106512</v>
      </c>
      <c r="R32" s="42">
        <f t="shared" si="12"/>
        <v>3023.2403966481629</v>
      </c>
      <c r="S32" s="74">
        <f t="shared" si="13"/>
        <v>-0.12194636099951715</v>
      </c>
      <c r="T32" s="75">
        <f t="shared" si="14"/>
        <v>3.6400673351021581E-2</v>
      </c>
      <c r="U32" s="77">
        <f t="shared" si="15"/>
        <v>4.4154861281469199E-2</v>
      </c>
    </row>
    <row r="33" spans="1:21" x14ac:dyDescent="0.2">
      <c r="A33" s="5" t="s">
        <v>59</v>
      </c>
      <c r="B33" s="72">
        <f>'T8'!I1</f>
        <v>357.16030193407204</v>
      </c>
      <c r="C33" s="17">
        <f>'T8'!I3</f>
        <v>1.1151690481244323</v>
      </c>
      <c r="D33" s="61">
        <f t="shared" si="0"/>
        <v>2.799863239516998</v>
      </c>
      <c r="E33" s="161">
        <f t="shared" si="1"/>
        <v>0.64527606492153933</v>
      </c>
      <c r="F33" s="42">
        <f>'T8'!B13</f>
        <v>2963.2477865852852</v>
      </c>
      <c r="G33" s="34">
        <f t="shared" si="2"/>
        <v>0.30069462918409434</v>
      </c>
      <c r="H33" s="158">
        <f>'Phase diagram'!D33</f>
        <v>0.17025474465960611</v>
      </c>
      <c r="I33" s="61">
        <f t="shared" si="3"/>
        <v>0.35472393507846067</v>
      </c>
      <c r="J33" s="34">
        <f t="shared" si="4"/>
        <v>0.30342144656657805</v>
      </c>
      <c r="K33" s="42">
        <f t="shared" si="5"/>
        <v>2971.3390488420664</v>
      </c>
      <c r="L33" s="74">
        <f t="shared" si="6"/>
        <v>-0.27305385305307872</v>
      </c>
      <c r="M33" s="75">
        <f t="shared" si="7"/>
        <v>0.10666358212114049</v>
      </c>
      <c r="N33" s="75">
        <f t="shared" si="8"/>
        <v>0.12582907011754799</v>
      </c>
      <c r="O33" s="62">
        <f t="shared" si="9"/>
        <v>0.19670922766314602</v>
      </c>
      <c r="P33" s="76">
        <f t="shared" si="10"/>
        <v>0.16223783479697307</v>
      </c>
      <c r="Q33" s="76">
        <f t="shared" si="11"/>
        <v>0.16283389984309396</v>
      </c>
      <c r="R33" s="42">
        <f t="shared" si="12"/>
        <v>2966.2880272397115</v>
      </c>
      <c r="S33" s="74">
        <f t="shared" si="13"/>
        <v>-0.10259825952421307</v>
      </c>
      <c r="T33" s="75">
        <f t="shared" si="14"/>
        <v>3.1913679180653652E-2</v>
      </c>
      <c r="U33" s="77">
        <f t="shared" si="15"/>
        <v>3.8694520247831411E-2</v>
      </c>
    </row>
    <row r="34" spans="1:21" x14ac:dyDescent="0.2">
      <c r="A34" s="5" t="s">
        <v>60</v>
      </c>
      <c r="B34" s="72">
        <f>'T9'!I1</f>
        <v>369.40106113097517</v>
      </c>
      <c r="C34" s="17">
        <f>'T9'!I3</f>
        <v>1.5751790376191113</v>
      </c>
      <c r="D34" s="61">
        <f t="shared" si="0"/>
        <v>2.7070848062492141</v>
      </c>
      <c r="E34" s="161">
        <f t="shared" si="1"/>
        <v>0.66739125768920537</v>
      </c>
      <c r="F34" s="42">
        <f>'T9'!B13</f>
        <v>2906.9258413535481</v>
      </c>
      <c r="G34" s="34">
        <f t="shared" si="2"/>
        <v>0.28150484804305292</v>
      </c>
      <c r="H34" s="158">
        <f>'Phase diagram'!D34</f>
        <v>0.17269890421240794</v>
      </c>
      <c r="I34" s="61">
        <f t="shared" si="3"/>
        <v>0.33260874231079463</v>
      </c>
      <c r="J34" s="34">
        <f t="shared" si="4"/>
        <v>0.28450469718179316</v>
      </c>
      <c r="K34" s="42">
        <f t="shared" si="5"/>
        <v>2915.6592732748136</v>
      </c>
      <c r="L34" s="74">
        <f t="shared" si="6"/>
        <v>-0.30043531888653052</v>
      </c>
      <c r="M34" s="75">
        <f t="shared" si="7"/>
        <v>9.3630973461991188E-2</v>
      </c>
      <c r="N34" s="75">
        <f t="shared" si="8"/>
        <v>0.11062857546156858</v>
      </c>
      <c r="O34" s="62">
        <f t="shared" si="9"/>
        <v>0.18305982000564736</v>
      </c>
      <c r="P34" s="76">
        <f t="shared" si="10"/>
        <v>0.1511396181856024</v>
      </c>
      <c r="Q34" s="76">
        <f t="shared" si="11"/>
        <v>0.15153505887959448</v>
      </c>
      <c r="R34" s="42">
        <f t="shared" si="12"/>
        <v>2908.9233648433692</v>
      </c>
      <c r="S34" s="74">
        <f t="shared" si="13"/>
        <v>-6.8716011306673083E-2</v>
      </c>
      <c r="T34" s="75">
        <f t="shared" si="14"/>
        <v>2.766759130077864E-2</v>
      </c>
      <c r="U34" s="77">
        <f t="shared" si="15"/>
        <v>3.351089770050001E-2</v>
      </c>
    </row>
    <row r="35" spans="1:21" x14ac:dyDescent="0.2">
      <c r="A35" s="5" t="s">
        <v>61</v>
      </c>
      <c r="B35" s="72">
        <f>'T10#'!I1</f>
        <v>382.06134115621563</v>
      </c>
      <c r="C35" s="17">
        <f>'T10#'!I3</f>
        <v>2.1951194728688952</v>
      </c>
      <c r="D35" s="61">
        <f t="shared" si="0"/>
        <v>2.6173807508860842</v>
      </c>
      <c r="E35" s="161">
        <f t="shared" si="1"/>
        <v>0.69026439233281955</v>
      </c>
      <c r="F35" s="42">
        <f>'T10#'!B13</f>
        <v>2849.7599239768392</v>
      </c>
      <c r="G35" s="34">
        <f t="shared" si="2"/>
        <v>0.26164349069330334</v>
      </c>
      <c r="H35" s="158">
        <f>'Phase diagram'!D35</f>
        <v>0.17548281667760959</v>
      </c>
      <c r="I35" s="61">
        <f t="shared" si="3"/>
        <v>0.30973560766718045</v>
      </c>
      <c r="J35" s="34">
        <f t="shared" si="4"/>
        <v>0.26493962441741248</v>
      </c>
      <c r="K35" s="42">
        <f t="shared" si="5"/>
        <v>2859.168611395437</v>
      </c>
      <c r="L35" s="74">
        <f t="shared" si="6"/>
        <v>-0.33015719462669485</v>
      </c>
      <c r="M35" s="75">
        <f t="shared" si="7"/>
        <v>8.104030558205258E-2</v>
      </c>
      <c r="N35" s="75">
        <f t="shared" si="8"/>
        <v>9.593614665695753E-2</v>
      </c>
      <c r="O35" s="62">
        <f t="shared" si="9"/>
        <v>0.16917848346782716</v>
      </c>
      <c r="P35" s="76">
        <f t="shared" si="10"/>
        <v>0.13976459486030746</v>
      </c>
      <c r="Q35" s="76">
        <f t="shared" si="11"/>
        <v>0.14004422954565787</v>
      </c>
      <c r="R35" s="42">
        <f t="shared" si="12"/>
        <v>2851.1584399154081</v>
      </c>
      <c r="S35" s="74">
        <f t="shared" si="13"/>
        <v>-4.9074868616202805E-2</v>
      </c>
      <c r="T35" s="75">
        <f t="shared" si="14"/>
        <v>2.3645162200962085E-2</v>
      </c>
      <c r="U35" s="77">
        <f t="shared" si="15"/>
        <v>2.8621359268473867E-2</v>
      </c>
    </row>
    <row r="36" spans="1:21" x14ac:dyDescent="0.2">
      <c r="A36" s="5" t="s">
        <v>62</v>
      </c>
      <c r="B36" s="72">
        <f>'T11'!I1</f>
        <v>395.15552001711933</v>
      </c>
      <c r="C36" s="17">
        <f>'T11'!I3</f>
        <v>3.0136125409209025</v>
      </c>
      <c r="D36" s="61">
        <f t="shared" si="0"/>
        <v>2.5306491984641313</v>
      </c>
      <c r="E36" s="161">
        <f t="shared" si="1"/>
        <v>0.71392144537871605</v>
      </c>
      <c r="F36" s="42">
        <f>'T11'!B13</f>
        <v>2792.9565171684917</v>
      </c>
      <c r="G36" s="34">
        <f t="shared" si="2"/>
        <v>0.24150945549991346</v>
      </c>
      <c r="H36" s="158">
        <f>'Phase diagram'!D36</f>
        <v>0.17865537124683364</v>
      </c>
      <c r="I36" s="61">
        <f t="shared" si="3"/>
        <v>0.28607855462128395</v>
      </c>
      <c r="J36" s="34">
        <f t="shared" si="4"/>
        <v>0.24470400864172345</v>
      </c>
      <c r="K36" s="42">
        <f t="shared" si="5"/>
        <v>2801.8930316707051</v>
      </c>
      <c r="L36" s="74">
        <f t="shared" si="6"/>
        <v>-0.31996611645330159</v>
      </c>
      <c r="M36" s="75">
        <f t="shared" si="7"/>
        <v>6.9090675956788541E-2</v>
      </c>
      <c r="N36" s="75">
        <f t="shared" si="8"/>
        <v>8.1840939414202951E-2</v>
      </c>
      <c r="O36" s="62">
        <f t="shared" si="9"/>
        <v>0.1550612771456642</v>
      </c>
      <c r="P36" s="76">
        <f t="shared" si="10"/>
        <v>0.12834812594103506</v>
      </c>
      <c r="Q36" s="76">
        <f t="shared" si="11"/>
        <v>0.12835814960097994</v>
      </c>
      <c r="R36" s="42">
        <f t="shared" si="12"/>
        <v>2793.0061397452037</v>
      </c>
      <c r="S36" s="74">
        <f t="shared" si="13"/>
        <v>-1.7767042346316781E-3</v>
      </c>
      <c r="T36" s="75">
        <f t="shared" si="14"/>
        <v>1.9901824327669449E-2</v>
      </c>
      <c r="U36" s="77">
        <f t="shared" si="15"/>
        <v>2.4043999670044482E-2</v>
      </c>
    </row>
    <row r="37" spans="1:21" x14ac:dyDescent="0.2">
      <c r="A37" s="5" t="s">
        <v>63</v>
      </c>
      <c r="B37" s="72">
        <f>'T12'!I1</f>
        <v>408.69846849057387</v>
      </c>
      <c r="C37" s="17">
        <f>'T12'!I3</f>
        <v>4.0833336596706147</v>
      </c>
      <c r="D37" s="61">
        <f t="shared" si="0"/>
        <v>2.4467916498274418</v>
      </c>
      <c r="E37" s="161">
        <f t="shared" si="1"/>
        <v>0.73838928363247314</v>
      </c>
      <c r="F37" s="42">
        <f>'T12'!B13</f>
        <v>2736.0189936276879</v>
      </c>
      <c r="G37" s="34">
        <f t="shared" si="2"/>
        <v>0.22091267901359618</v>
      </c>
      <c r="H37" s="158">
        <f>'Phase diagram'!D37</f>
        <v>0.18231702957701265</v>
      </c>
      <c r="I37" s="61">
        <f t="shared" si="3"/>
        <v>0.26161071636752686</v>
      </c>
      <c r="J37" s="34">
        <f t="shared" si="4"/>
        <v>0.22377486870175883</v>
      </c>
      <c r="K37" s="42">
        <f t="shared" si="5"/>
        <v>2743.861216589004</v>
      </c>
      <c r="L37" s="74">
        <f t="shared" si="6"/>
        <v>-0.28662896637709762</v>
      </c>
      <c r="M37" s="75">
        <f t="shared" si="7"/>
        <v>5.7793124211416413E-2</v>
      </c>
      <c r="N37" s="75">
        <f t="shared" si="8"/>
        <v>6.8440166918330589E-2</v>
      </c>
      <c r="O37" s="62">
        <f t="shared" si="9"/>
        <v>0.14070419317183147</v>
      </c>
      <c r="P37" s="76">
        <f t="shared" si="10"/>
        <v>0.11678758849075566</v>
      </c>
      <c r="Q37" s="76">
        <f t="shared" si="11"/>
        <v>0.11647350137371243</v>
      </c>
      <c r="R37" s="42">
        <f t="shared" si="12"/>
        <v>2734.4802453742236</v>
      </c>
      <c r="S37" s="74">
        <f t="shared" si="13"/>
        <v>5.624040831032627E-2</v>
      </c>
      <c r="T37" s="75">
        <f t="shared" si="14"/>
        <v>1.6432503411075647E-2</v>
      </c>
      <c r="U37" s="77">
        <f t="shared" si="15"/>
        <v>1.9797669976136065E-2</v>
      </c>
    </row>
    <row r="38" spans="1:21" x14ac:dyDescent="0.2">
      <c r="A38" s="5" t="s">
        <v>64</v>
      </c>
      <c r="B38" s="72">
        <f>'T13'!I1</f>
        <v>422.70556701144949</v>
      </c>
      <c r="C38" s="72">
        <f>'T13'!I3</f>
        <v>5.4653241467681433</v>
      </c>
      <c r="D38" s="61">
        <f t="shared" si="0"/>
        <v>2.365712869764296</v>
      </c>
      <c r="E38" s="161">
        <f t="shared" si="1"/>
        <v>0.76369569469096565</v>
      </c>
      <c r="F38" s="42">
        <f>'T13'!B13</f>
        <v>2678.9243050311352</v>
      </c>
      <c r="G38" s="34">
        <f t="shared" si="2"/>
        <v>0.19982407239104555</v>
      </c>
      <c r="H38" s="158">
        <f>'Phase diagram'!D38</f>
        <v>0.18659311795897909</v>
      </c>
      <c r="I38" s="61">
        <f t="shared" si="3"/>
        <v>0.23630430530903435</v>
      </c>
      <c r="J38" s="34">
        <f t="shared" si="4"/>
        <v>0.20212843582409623</v>
      </c>
      <c r="K38" s="42">
        <f t="shared" si="5"/>
        <v>2685.1046383717926</v>
      </c>
      <c r="L38" s="74">
        <f t="shared" si="6"/>
        <v>-0.23070205190383566</v>
      </c>
      <c r="M38" s="75">
        <f t="shared" si="7"/>
        <v>4.721928861038821E-2</v>
      </c>
      <c r="N38" s="75">
        <f t="shared" si="8"/>
        <v>5.5839724707585317E-2</v>
      </c>
      <c r="O38" s="62">
        <f t="shared" si="9"/>
        <v>0.12610315557786478</v>
      </c>
      <c r="P38" s="76">
        <f t="shared" si="10"/>
        <v>0.10507370731267307</v>
      </c>
      <c r="Q38" s="76">
        <f t="shared" si="11"/>
        <v>0.10438691081857773</v>
      </c>
      <c r="R38" s="42">
        <f t="shared" si="12"/>
        <v>2675.5954699086765</v>
      </c>
      <c r="S38" s="74">
        <f t="shared" si="13"/>
        <v>0.12426014113974843</v>
      </c>
      <c r="T38" s="75">
        <f t="shared" si="14"/>
        <v>1.325012606039304E-2</v>
      </c>
      <c r="U38" s="77">
        <f t="shared" si="15"/>
        <v>1.5902005846695169E-2</v>
      </c>
    </row>
    <row r="39" spans="1:21" x14ac:dyDescent="0.2">
      <c r="A39" s="5" t="s">
        <v>65</v>
      </c>
      <c r="B39" s="72">
        <f>'T14'!I1</f>
        <v>437.19272313982765</v>
      </c>
      <c r="C39" s="72">
        <f>'T14'!I3</f>
        <v>7.2322144341739794</v>
      </c>
      <c r="D39" s="61">
        <f t="shared" si="0"/>
        <v>2.2873207788505878</v>
      </c>
      <c r="E39" s="161">
        <f t="shared" si="1"/>
        <v>0.78986941850014025</v>
      </c>
      <c r="F39" s="42">
        <f>'T14'!B13</f>
        <v>2621.6182330722486</v>
      </c>
      <c r="G39" s="34">
        <f t="shared" si="2"/>
        <v>0.17820051048087707</v>
      </c>
      <c r="H39" s="158">
        <f>'Phase diagram'!D39</f>
        <v>0.19165988536529444</v>
      </c>
      <c r="I39" s="61">
        <f t="shared" si="3"/>
        <v>0.21013058149985975</v>
      </c>
      <c r="J39" s="34">
        <f t="shared" si="4"/>
        <v>0.17974012662117411</v>
      </c>
      <c r="K39" s="42">
        <f t="shared" si="5"/>
        <v>2625.6576275781517</v>
      </c>
      <c r="L39" s="74">
        <f t="shared" si="6"/>
        <v>-0.15408019577165588</v>
      </c>
      <c r="M39" s="75">
        <f t="shared" si="7"/>
        <v>3.744537689091855E-2</v>
      </c>
      <c r="N39" s="75">
        <f t="shared" si="8"/>
        <v>4.4154861281469199E-2</v>
      </c>
      <c r="O39" s="62">
        <f t="shared" si="9"/>
        <v>0.11125401913699762</v>
      </c>
      <c r="P39" s="76">
        <f t="shared" si="10"/>
        <v>9.3190248883871174E-2</v>
      </c>
      <c r="Q39" s="76">
        <f t="shared" si="11"/>
        <v>9.2094946558979318E-2</v>
      </c>
      <c r="R39" s="42">
        <f t="shared" si="12"/>
        <v>2616.3674982757334</v>
      </c>
      <c r="S39" s="74">
        <f t="shared" si="13"/>
        <v>0.20028601915702673</v>
      </c>
      <c r="T39" s="75">
        <f t="shared" si="14"/>
        <v>1.0367789732707775E-2</v>
      </c>
      <c r="U39" s="77">
        <f t="shared" si="15"/>
        <v>1.2377456774135431E-2</v>
      </c>
    </row>
    <row r="40" spans="1:21" x14ac:dyDescent="0.2">
      <c r="A40" s="5" t="s">
        <v>66</v>
      </c>
      <c r="B40" s="72">
        <f>'T15'!I1</f>
        <v>452.1763896268742</v>
      </c>
      <c r="C40" s="72">
        <f>'T15'!I3</f>
        <v>9.4706375657707227</v>
      </c>
      <c r="D40" s="61">
        <f t="shared" si="0"/>
        <v>2.2115263488772103</v>
      </c>
      <c r="E40" s="161">
        <f t="shared" si="1"/>
        <v>0.81694017999435264</v>
      </c>
      <c r="F40" s="42">
        <f>'T15'!B13</f>
        <v>2563.9927684110266</v>
      </c>
      <c r="G40" s="34">
        <f t="shared" si="2"/>
        <v>0.15597445578393471</v>
      </c>
      <c r="H40" s="158">
        <f>'Phase diagram'!D40</f>
        <v>0.19777614662262244</v>
      </c>
      <c r="I40" s="61">
        <f t="shared" si="3"/>
        <v>0.18305982000564736</v>
      </c>
      <c r="J40" s="34">
        <f t="shared" si="4"/>
        <v>0.15658451517246841</v>
      </c>
      <c r="K40" s="42">
        <f t="shared" si="5"/>
        <v>2565.5574334923122</v>
      </c>
      <c r="L40" s="74">
        <f t="shared" si="6"/>
        <v>-6.1024551260929462E-2</v>
      </c>
      <c r="M40" s="75">
        <f t="shared" si="7"/>
        <v>2.8552655801285888E-2</v>
      </c>
      <c r="N40" s="75">
        <f t="shared" si="8"/>
        <v>3.351089770050001E-2</v>
      </c>
      <c r="O40" s="62">
        <f t="shared" si="9"/>
        <v>9.6152568187333642E-2</v>
      </c>
      <c r="P40" s="76">
        <f t="shared" si="10"/>
        <v>8.1108850542869648E-2</v>
      </c>
      <c r="Q40" s="76">
        <f t="shared" si="11"/>
        <v>7.9594118912835868E-2</v>
      </c>
      <c r="R40" s="42">
        <f t="shared" si="12"/>
        <v>2556.8130284750573</v>
      </c>
      <c r="S40" s="74">
        <f t="shared" si="13"/>
        <v>0.28002184812786385</v>
      </c>
      <c r="T40" s="75">
        <f t="shared" si="14"/>
        <v>7.7988242824195272E-3</v>
      </c>
      <c r="U40" s="77">
        <f t="shared" si="15"/>
        <v>9.2453163690198459E-3</v>
      </c>
    </row>
    <row r="41" spans="1:21" x14ac:dyDescent="0.2">
      <c r="A41" s="5" t="s">
        <v>67</v>
      </c>
      <c r="B41" s="72">
        <f>'T16'!I1</f>
        <v>467.6735830998748</v>
      </c>
      <c r="C41" s="72">
        <f>'T16'!I3</f>
        <v>12.284868054237537</v>
      </c>
      <c r="D41" s="61">
        <f t="shared" si="0"/>
        <v>2.138243501742632</v>
      </c>
      <c r="E41" s="161">
        <f t="shared" si="1"/>
        <v>0.84493872285433569</v>
      </c>
      <c r="F41" s="42">
        <f>'T16'!B13</f>
        <v>2505.8574756560688</v>
      </c>
      <c r="G41" s="34">
        <f t="shared" si="2"/>
        <v>0.13303971877674572</v>
      </c>
      <c r="H41" s="158">
        <f>'Phase diagram'!D41</f>
        <v>0.20534350355114442</v>
      </c>
      <c r="I41" s="61">
        <f t="shared" si="3"/>
        <v>0.15506127714566431</v>
      </c>
      <c r="J41" s="34">
        <f t="shared" si="4"/>
        <v>0.13263530414882177</v>
      </c>
      <c r="K41" s="42">
        <f t="shared" si="5"/>
        <v>2504.8442751277871</v>
      </c>
      <c r="L41" s="74">
        <f t="shared" si="6"/>
        <v>4.0433286335106351E-2</v>
      </c>
      <c r="M41" s="75">
        <f t="shared" si="7"/>
        <v>2.062930870462221E-2</v>
      </c>
      <c r="N41" s="75">
        <f t="shared" si="8"/>
        <v>2.4043999670044516E-2</v>
      </c>
      <c r="O41" s="62">
        <f t="shared" si="9"/>
        <v>8.0794515435022141E-2</v>
      </c>
      <c r="P41" s="76">
        <f t="shared" si="10"/>
        <v>6.8782189224995349E-2</v>
      </c>
      <c r="Q41" s="76">
        <f t="shared" si="11"/>
        <v>6.6880878901862159E-2</v>
      </c>
      <c r="R41" s="42">
        <f t="shared" si="12"/>
        <v>2496.9498143790966</v>
      </c>
      <c r="S41" s="74">
        <f t="shared" si="13"/>
        <v>0.35547357994253437</v>
      </c>
      <c r="T41" s="75">
        <f t="shared" si="14"/>
        <v>5.5572236489935005E-3</v>
      </c>
      <c r="U41" s="77">
        <f t="shared" si="15"/>
        <v>6.5277537243800306E-3</v>
      </c>
    </row>
    <row r="42" spans="1:21" x14ac:dyDescent="0.2">
      <c r="A42" s="5" t="s">
        <v>68</v>
      </c>
      <c r="B42" s="72">
        <f>'T17'!I1</f>
        <v>483.70190338765184</v>
      </c>
      <c r="C42" s="72">
        <f>'T17'!I3</f>
        <v>15.802389576581332</v>
      </c>
      <c r="D42" s="61">
        <f t="shared" si="0"/>
        <v>2.0673890116958518</v>
      </c>
      <c r="E42" s="161">
        <f t="shared" si="1"/>
        <v>0.87389684442213522</v>
      </c>
      <c r="F42" s="42">
        <f>'T17'!B13</f>
        <v>2446.8845743504285</v>
      </c>
      <c r="G42" s="34">
        <f t="shared" si="2"/>
        <v>0.10922435024044506</v>
      </c>
      <c r="H42" s="158">
        <f>'Phase diagram'!D42</f>
        <v>0.21503402617941178</v>
      </c>
      <c r="I42" s="61">
        <f t="shared" si="3"/>
        <v>0.12610315557786478</v>
      </c>
      <c r="J42" s="34">
        <f t="shared" si="4"/>
        <v>0.10786529494713346</v>
      </c>
      <c r="K42" s="42">
        <f t="shared" si="5"/>
        <v>2443.5613816303667</v>
      </c>
      <c r="L42" s="74">
        <f t="shared" si="6"/>
        <v>0.13581321958940387</v>
      </c>
      <c r="M42" s="75">
        <f t="shared" si="7"/>
        <v>1.3773535231262036E-2</v>
      </c>
      <c r="N42" s="75">
        <f t="shared" si="8"/>
        <v>1.5902005846695169E-2</v>
      </c>
      <c r="O42" s="62">
        <f t="shared" si="9"/>
        <v>6.5175500737098102E-2</v>
      </c>
      <c r="P42" s="76">
        <f t="shared" si="10"/>
        <v>5.6130941384509914E-2</v>
      </c>
      <c r="Q42" s="76">
        <f t="shared" si="11"/>
        <v>5.3951617244016356E-2</v>
      </c>
      <c r="R42" s="42">
        <f t="shared" si="12"/>
        <v>2436.7967101375648</v>
      </c>
      <c r="S42" s="74">
        <f t="shared" si="13"/>
        <v>0.41227380803369901</v>
      </c>
      <c r="T42" s="75">
        <f t="shared" si="14"/>
        <v>3.6583622115801363E-3</v>
      </c>
      <c r="U42" s="77">
        <f t="shared" si="15"/>
        <v>4.2478458963314753E-3</v>
      </c>
    </row>
    <row r="43" spans="1:21" x14ac:dyDescent="0.2">
      <c r="A43" s="5" t="s">
        <v>69</v>
      </c>
      <c r="B43" s="72">
        <f>'T18'!I1</f>
        <v>500.27955350831081</v>
      </c>
      <c r="C43" s="72">
        <f>'T18'!I3</f>
        <v>20.181889915626428</v>
      </c>
      <c r="D43" s="61">
        <f t="shared" si="0"/>
        <v>1.9988824108187098</v>
      </c>
      <c r="E43" s="161">
        <f t="shared" si="1"/>
        <v>0.90384743181266636</v>
      </c>
      <c r="F43" s="42">
        <f>'T18'!B13</f>
        <v>2386.6582141931503</v>
      </c>
      <c r="G43" s="34">
        <f t="shared" si="2"/>
        <v>8.4302887920996036E-2</v>
      </c>
      <c r="H43" s="158">
        <f>'Phase diagram'!D43</f>
        <v>0.22808373551016328</v>
      </c>
      <c r="I43" s="61">
        <f t="shared" si="3"/>
        <v>9.6152568187333642E-2</v>
      </c>
      <c r="J43" s="34">
        <f t="shared" si="4"/>
        <v>8.2246356801491852E-2</v>
      </c>
      <c r="K43" s="42">
        <f t="shared" si="5"/>
        <v>2381.755020817021</v>
      </c>
      <c r="L43" s="74">
        <f t="shared" si="6"/>
        <v>0.20544179082579581</v>
      </c>
      <c r="M43" s="75">
        <f t="shared" si="7"/>
        <v>8.1059391792127171E-3</v>
      </c>
      <c r="N43" s="75">
        <f t="shared" si="8"/>
        <v>9.2453163690198459E-3</v>
      </c>
      <c r="O43" s="62">
        <f t="shared" si="9"/>
        <v>4.9291089863639503E-2</v>
      </c>
      <c r="P43" s="76">
        <f t="shared" si="10"/>
        <v>4.3052430781145512E-2</v>
      </c>
      <c r="Q43" s="76">
        <f t="shared" si="11"/>
        <v>4.0802663328826434E-2</v>
      </c>
      <c r="R43" s="42">
        <f t="shared" si="12"/>
        <v>2376.373716243379</v>
      </c>
      <c r="S43" s="74">
        <f t="shared" si="13"/>
        <v>0.43091624467260248</v>
      </c>
      <c r="T43" s="75">
        <f t="shared" si="14"/>
        <v>2.122101234481563E-3</v>
      </c>
      <c r="U43" s="77">
        <f t="shared" si="15"/>
        <v>2.4296115399453852E-3</v>
      </c>
    </row>
    <row r="44" spans="1:21" x14ac:dyDescent="0.2">
      <c r="A44" s="5" t="s">
        <v>70</v>
      </c>
      <c r="B44" s="72">
        <f>'T19'!I1</f>
        <v>517.42536034201612</v>
      </c>
      <c r="C44" s="72">
        <f>'T19'!I3</f>
        <v>25.622303004294665</v>
      </c>
      <c r="D44" s="61">
        <f t="shared" si="0"/>
        <v>1.9326458976402006</v>
      </c>
      <c r="E44" s="161">
        <f t="shared" si="1"/>
        <v>0.93482449926290179</v>
      </c>
      <c r="F44" s="42">
        <f>'T19'!B13</f>
        <v>2324.6621932066255</v>
      </c>
      <c r="G44" s="34">
        <f t="shared" si="2"/>
        <v>5.798347240077701E-2</v>
      </c>
      <c r="H44" s="158">
        <f>'Phase diagram'!D44</f>
        <v>0.24715177193429846</v>
      </c>
      <c r="I44" s="61">
        <f t="shared" si="3"/>
        <v>6.5175500737098213E-2</v>
      </c>
      <c r="J44" s="34">
        <f t="shared" si="4"/>
        <v>5.5749394835669264E-2</v>
      </c>
      <c r="K44" s="42">
        <f t="shared" si="5"/>
        <v>2319.4745145502652</v>
      </c>
      <c r="L44" s="74">
        <f t="shared" si="6"/>
        <v>0.22315838712051417</v>
      </c>
      <c r="M44" s="75">
        <f t="shared" si="7"/>
        <v>3.779101848196356E-3</v>
      </c>
      <c r="N44" s="75">
        <f t="shared" si="8"/>
        <v>4.24784589633149E-3</v>
      </c>
      <c r="O44" s="62">
        <f t="shared" si="9"/>
        <v>3.313677323889197E-2</v>
      </c>
      <c r="P44" s="76">
        <f t="shared" si="10"/>
        <v>2.9416087551716652E-2</v>
      </c>
      <c r="Q44" s="76">
        <f t="shared" si="11"/>
        <v>2.7430284175305956E-2</v>
      </c>
      <c r="R44" s="42">
        <f t="shared" si="12"/>
        <v>2315.7020273193889</v>
      </c>
      <c r="S44" s="74">
        <f t="shared" si="13"/>
        <v>0.38543948077363438</v>
      </c>
      <c r="T44" s="75">
        <f t="shared" si="14"/>
        <v>9.7475422277662753E-4</v>
      </c>
      <c r="U44" s="77">
        <f t="shared" si="15"/>
        <v>1.0980457406857471E-3</v>
      </c>
    </row>
    <row r="45" spans="1:21" x14ac:dyDescent="0.2">
      <c r="A45" s="5" t="s">
        <v>71</v>
      </c>
      <c r="B45" s="72">
        <f>'T20'!I1</f>
        <v>535.15879601227323</v>
      </c>
      <c r="C45" s="72">
        <f>'T20'!I3</f>
        <v>32.364085574389165</v>
      </c>
      <c r="D45" s="61">
        <f t="shared" si="0"/>
        <v>1.8686042487790226</v>
      </c>
      <c r="E45" s="161">
        <f t="shared" si="1"/>
        <v>0.96686322676110792</v>
      </c>
      <c r="F45" s="42">
        <f>'T20'!B13</f>
        <v>2260.5924440564149</v>
      </c>
      <c r="G45" s="34">
        <f t="shared" si="2"/>
        <v>3.0035659480420009E-2</v>
      </c>
      <c r="H45" s="158">
        <f>'Phase diagram'!D45</f>
        <v>0.27982847066724797</v>
      </c>
      <c r="I45" s="61">
        <f t="shared" si="3"/>
        <v>3.3136773238892081E-2</v>
      </c>
      <c r="J45" s="34">
        <f t="shared" si="4"/>
        <v>2.8344317020697781E-2</v>
      </c>
      <c r="K45" s="42">
        <f t="shared" si="5"/>
        <v>2256.7722396193253</v>
      </c>
      <c r="L45" s="74">
        <f t="shared" si="6"/>
        <v>0.16899129461101031</v>
      </c>
      <c r="M45" s="75">
        <f t="shared" si="7"/>
        <v>9.9528483728325698E-4</v>
      </c>
      <c r="N45" s="75">
        <f t="shared" si="8"/>
        <v>1.0980457406857545E-3</v>
      </c>
      <c r="O45" s="62">
        <f t="shared" si="9"/>
        <v>1.6707964661002661E-2</v>
      </c>
      <c r="P45" s="76">
        <f t="shared" si="10"/>
        <v>1.5131163979297924E-2</v>
      </c>
      <c r="Q45" s="76">
        <f t="shared" si="11"/>
        <v>1.38306833721628E-2</v>
      </c>
      <c r="R45" s="42">
        <f t="shared" si="12"/>
        <v>2254.8040816872922</v>
      </c>
      <c r="S45" s="74">
        <f t="shared" si="13"/>
        <v>0.25605510556940964</v>
      </c>
      <c r="T45" s="75">
        <f t="shared" si="14"/>
        <v>2.528109530459461E-4</v>
      </c>
      <c r="U45" s="77">
        <f t="shared" si="15"/>
        <v>2.7915608311331378E-4</v>
      </c>
    </row>
    <row r="46" spans="1:21" x14ac:dyDescent="0.2">
      <c r="A46" s="5" t="s">
        <v>72</v>
      </c>
      <c r="B46" s="72">
        <f>'T21'!I1</f>
        <v>551.66587960122718</v>
      </c>
      <c r="C46" s="72">
        <f>'T21'!I3</f>
        <v>39.760579372391426</v>
      </c>
      <c r="D46" s="61">
        <f t="shared" si="0"/>
        <v>1.812691407927661</v>
      </c>
      <c r="E46" s="161">
        <f t="shared" si="1"/>
        <v>0.99668632267611057</v>
      </c>
      <c r="F46" s="42">
        <f>'T21'!B13</f>
        <v>2201.5820609758707</v>
      </c>
      <c r="G46" s="34">
        <f t="shared" si="2"/>
        <v>3.5849577097656102E-3</v>
      </c>
      <c r="H46" s="158">
        <f>'Phase diagram'!D46</f>
        <v>0.36265577097285967</v>
      </c>
      <c r="I46" s="61">
        <f t="shared" si="3"/>
        <v>3.3136773238894301E-3</v>
      </c>
      <c r="J46" s="34">
        <f t="shared" si="4"/>
        <v>2.8344317020699678E-3</v>
      </c>
      <c r="K46" s="42">
        <f t="shared" si="5"/>
        <v>2199.9303362897326</v>
      </c>
      <c r="L46" s="74">
        <f t="shared" si="6"/>
        <v>7.5024443349886033E-2</v>
      </c>
      <c r="M46" s="75">
        <f t="shared" si="7"/>
        <v>1.1879393069952888E-5</v>
      </c>
      <c r="N46" s="75">
        <f t="shared" si="8"/>
        <v>1.0980457406859015E-5</v>
      </c>
      <c r="O46" s="62">
        <f t="shared" si="9"/>
        <v>1.6582134979471475E-3</v>
      </c>
      <c r="P46" s="76">
        <f t="shared" si="10"/>
        <v>1.7940863054022316E-3</v>
      </c>
      <c r="Q46" s="76">
        <f t="shared" si="11"/>
        <v>1.3726522840381218E-3</v>
      </c>
      <c r="R46" s="42">
        <f t="shared" si="12"/>
        <v>2199.7301306513841</v>
      </c>
      <c r="S46" s="74">
        <f t="shared" si="13"/>
        <v>8.4118160177309845E-2</v>
      </c>
      <c r="T46" s="75">
        <f t="shared" si="14"/>
        <v>2.9749781281001089E-6</v>
      </c>
      <c r="U46" s="77">
        <f t="shared" si="15"/>
        <v>2.7496720047741142E-6</v>
      </c>
    </row>
    <row r="47" spans="1:21" x14ac:dyDescent="0.2">
      <c r="B47" s="5">
        <f>C3</f>
        <v>553.5</v>
      </c>
      <c r="C47" s="72">
        <f>C5/100</f>
        <v>40.729999999999997</v>
      </c>
      <c r="D47" s="61">
        <f t="shared" si="0"/>
        <v>1.8066847335140017</v>
      </c>
      <c r="E47" s="161">
        <f t="shared" si="1"/>
        <v>1</v>
      </c>
      <c r="F47" s="42">
        <f>C12</f>
        <v>2193.7036127822548</v>
      </c>
      <c r="G47" s="34">
        <f t="shared" si="2"/>
        <v>0</v>
      </c>
      <c r="H47" s="158">
        <f>'Phase diagram'!D47</f>
        <v>0.42371236972133569</v>
      </c>
      <c r="I47" s="61">
        <f t="shared" si="3"/>
        <v>0</v>
      </c>
      <c r="J47" s="34">
        <f t="shared" si="4"/>
        <v>0</v>
      </c>
      <c r="K47" s="42">
        <f t="shared" si="5"/>
        <v>2193.7036127822548</v>
      </c>
      <c r="L47" s="74">
        <f t="shared" si="6"/>
        <v>0</v>
      </c>
      <c r="M47" s="75"/>
      <c r="N47" s="75"/>
      <c r="O47" s="62">
        <f t="shared" si="9"/>
        <v>0</v>
      </c>
      <c r="P47" s="76">
        <f t="shared" si="10"/>
        <v>0</v>
      </c>
      <c r="Q47" s="76">
        <f t="shared" si="11"/>
        <v>0</v>
      </c>
      <c r="R47" s="42">
        <f t="shared" si="12"/>
        <v>2193.7036127822548</v>
      </c>
      <c r="S47" s="74">
        <f t="shared" si="13"/>
        <v>0</v>
      </c>
      <c r="T47" s="75"/>
      <c r="U47" s="77"/>
    </row>
    <row r="48" spans="1:21" ht="13.5" thickBot="1" x14ac:dyDescent="0.25">
      <c r="D48" s="78"/>
      <c r="E48" s="79"/>
      <c r="F48" s="79"/>
      <c r="G48" s="79"/>
      <c r="H48" s="162"/>
      <c r="I48" s="78">
        <v>-0.5</v>
      </c>
      <c r="J48" s="79">
        <f>$J$21*I48</f>
        <v>-0.42768673968880178</v>
      </c>
      <c r="K48" s="80">
        <f t="shared" si="5"/>
        <v>1430.3290506469991</v>
      </c>
      <c r="L48" s="79"/>
      <c r="M48" s="81">
        <f>SUM(M26:M47)</f>
        <v>1.7144384294117794</v>
      </c>
      <c r="N48" s="81">
        <f>SUM(N26:N47)</f>
        <v>2.0043156243974951</v>
      </c>
      <c r="O48" s="82">
        <f t="shared" si="9"/>
        <v>1</v>
      </c>
      <c r="P48" s="83">
        <f t="shared" si="10"/>
        <v>-1</v>
      </c>
      <c r="Q48" s="83"/>
      <c r="R48" s="84"/>
      <c r="S48" s="85"/>
      <c r="T48" s="86">
        <f>SUM(T26:T47)</f>
        <v>0.52482671209460241</v>
      </c>
      <c r="U48" s="87">
        <f>SUM(U26:U47)</f>
        <v>0.63400960913297222</v>
      </c>
    </row>
    <row r="51" spans="1:21" x14ac:dyDescent="0.2">
      <c r="A51" s="248"/>
      <c r="B51" s="72"/>
      <c r="C51" s="72"/>
      <c r="D51" s="61"/>
      <c r="E51" s="161"/>
      <c r="F51" s="42"/>
      <c r="G51" s="34"/>
      <c r="H51" s="158"/>
      <c r="I51" s="61"/>
      <c r="J51" s="34"/>
      <c r="K51" s="42"/>
      <c r="L51" s="74"/>
      <c r="M51" s="75"/>
      <c r="N51" s="75"/>
      <c r="O51" s="62"/>
      <c r="P51" s="76"/>
      <c r="Q51" s="76"/>
      <c r="R51" s="42"/>
      <c r="S51" s="74"/>
      <c r="T51" s="75"/>
      <c r="U51" s="77"/>
    </row>
  </sheetData>
  <phoneticPr fontId="3" type="noConversion"/>
  <pageMargins left="0.75" right="0.75" top="1" bottom="1" header="0.5" footer="0.5"/>
  <pageSetup paperSize="9" orientation="portrait" horizontalDpi="4294967294" verticalDpi="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A49"/>
  <sheetViews>
    <sheetView zoomScale="75" workbookViewId="0">
      <selection activeCell="R14" sqref="R14"/>
    </sheetView>
  </sheetViews>
  <sheetFormatPr defaultColWidth="8" defaultRowHeight="12.75" x14ac:dyDescent="0.2"/>
  <cols>
    <col min="1" max="1" width="8" style="2"/>
    <col min="2" max="4" width="8.125" style="2" bestFit="1" customWidth="1"/>
    <col min="5" max="5" width="11.875" style="2" bestFit="1" customWidth="1"/>
    <col min="6" max="6" width="9.625" style="2" bestFit="1" customWidth="1"/>
    <col min="7" max="7" width="8.125" style="2" bestFit="1" customWidth="1"/>
    <col min="8" max="8" width="9.875" style="2" bestFit="1" customWidth="1"/>
    <col min="9" max="9" width="10.875" style="2" bestFit="1" customWidth="1"/>
    <col min="10" max="10" width="9.25" style="2" bestFit="1" customWidth="1"/>
    <col min="11" max="11" width="8.5" style="2" bestFit="1" customWidth="1"/>
    <col min="12" max="16" width="8.5" style="2" customWidth="1"/>
    <col min="17" max="17" width="8.125" style="2" bestFit="1" customWidth="1"/>
    <col min="18" max="18" width="8.375" style="2" bestFit="1" customWidth="1"/>
    <col min="19" max="19" width="8.5" style="2" bestFit="1" customWidth="1"/>
    <col min="20" max="20" width="8.125" style="2" bestFit="1" customWidth="1"/>
    <col min="21" max="21" width="8" style="2"/>
    <col min="22" max="22" width="8.125" style="2" bestFit="1" customWidth="1"/>
    <col min="23" max="16384" width="8" style="2"/>
  </cols>
  <sheetData>
    <row r="1" spans="1:27" ht="18.75" thickTop="1" x14ac:dyDescent="0.25">
      <c r="A1" s="1" t="str">
        <f>' T = Tb'!A1</f>
        <v>Cyclohexane</v>
      </c>
      <c r="E1" s="275" t="s">
        <v>0</v>
      </c>
      <c r="F1" s="296">
        <f>' T = Tb'!F1</f>
        <v>1</v>
      </c>
      <c r="G1" s="277"/>
      <c r="H1" s="297"/>
      <c r="I1" s="277"/>
      <c r="J1" s="278"/>
      <c r="K1" s="275" t="str">
        <f>'T10#'!E1</f>
        <v>Method</v>
      </c>
      <c r="L1" s="277">
        <f>'T10#'!F1</f>
        <v>2</v>
      </c>
      <c r="M1" s="277"/>
      <c r="N1" s="277" t="str">
        <f>'T10#'!H1</f>
        <v xml:space="preserve">T = </v>
      </c>
      <c r="O1" s="277">
        <f>'T10#'!I1</f>
        <v>382.06134115621563</v>
      </c>
      <c r="P1" s="277" t="str">
        <f>'T10#'!J1</f>
        <v>K</v>
      </c>
      <c r="Q1" s="277" t="str">
        <f>'T10#'!K1</f>
        <v xml:space="preserve">VP D = </v>
      </c>
      <c r="R1" s="278">
        <f>'T10#'!L1</f>
        <v>0.43429000000000001</v>
      </c>
    </row>
    <row r="2" spans="1:27" x14ac:dyDescent="0.2">
      <c r="A2" s="4" t="s">
        <v>15</v>
      </c>
      <c r="B2" s="5">
        <f>' T = Tb'!B2</f>
        <v>84.161000000000001</v>
      </c>
      <c r="C2" s="2" t="s">
        <v>3</v>
      </c>
      <c r="E2" s="298" t="s">
        <v>4</v>
      </c>
      <c r="F2" s="35">
        <f>' T = Tb'!F2</f>
        <v>3.9300199999999998</v>
      </c>
      <c r="G2" s="34"/>
      <c r="H2" s="45"/>
      <c r="I2" s="34"/>
      <c r="J2" s="293"/>
      <c r="K2" s="292" t="str">
        <f>'T10#'!E2</f>
        <v xml:space="preserve">VP A = </v>
      </c>
      <c r="L2" s="34">
        <f>'T10#'!F2</f>
        <v>3.9300199999999998</v>
      </c>
      <c r="M2" s="34"/>
      <c r="N2" s="34" t="str">
        <f>'T10#'!H2</f>
        <v xml:space="preserve">1 - TR = </v>
      </c>
      <c r="O2" s="34">
        <f>'T10#'!I2</f>
        <v>0.30973560766718045</v>
      </c>
      <c r="P2" s="34">
        <f>'T10#'!J2</f>
        <v>0</v>
      </c>
      <c r="Q2" s="34" t="str">
        <f>'T10#'!K2</f>
        <v xml:space="preserve">VP E = </v>
      </c>
      <c r="R2" s="293">
        <f>'T10#'!L2</f>
        <v>10.048</v>
      </c>
      <c r="Y2" s="4"/>
    </row>
    <row r="3" spans="1:27" ht="15.75" x14ac:dyDescent="0.3">
      <c r="A3" s="4" t="s">
        <v>17</v>
      </c>
      <c r="B3" s="5">
        <f>' T = Tb'!B3</f>
        <v>553.5</v>
      </c>
      <c r="C3" s="2" t="s">
        <v>2</v>
      </c>
      <c r="E3" s="298" t="s">
        <v>5</v>
      </c>
      <c r="F3" s="35">
        <f>' T = Tb'!F3</f>
        <v>1182.7739999999999</v>
      </c>
      <c r="G3" s="34"/>
      <c r="H3" s="45"/>
      <c r="I3" s="299"/>
      <c r="J3" s="293"/>
      <c r="K3" s="292" t="str">
        <f>'T10#'!E3</f>
        <v xml:space="preserve">VP B = </v>
      </c>
      <c r="L3" s="34">
        <f>'T10#'!F3</f>
        <v>1182.77</v>
      </c>
      <c r="M3" s="34"/>
      <c r="N3" s="34" t="str">
        <f>'T10#'!H3</f>
        <v xml:space="preserve">P = </v>
      </c>
      <c r="O3" s="34">
        <f>'T10#'!I3</f>
        <v>2.1951194728688952</v>
      </c>
      <c r="P3" s="34" t="str">
        <f>'T10#'!J3</f>
        <v>bar</v>
      </c>
      <c r="Q3" s="34" t="str">
        <f>'T10#'!K3</f>
        <v xml:space="preserve">VP F = </v>
      </c>
      <c r="R3" s="293">
        <f>'T10#'!L3</f>
        <v>-126.96</v>
      </c>
      <c r="Y3" s="4"/>
    </row>
    <row r="4" spans="1:27" ht="15.75" x14ac:dyDescent="0.3">
      <c r="A4" s="4" t="s">
        <v>18</v>
      </c>
      <c r="B4" s="5">
        <f>' T = Tb'!B4</f>
        <v>40.729999999999997</v>
      </c>
      <c r="C4" s="2" t="s">
        <v>7</v>
      </c>
      <c r="E4" s="298" t="s">
        <v>8</v>
      </c>
      <c r="F4" s="35">
        <f>' T = Tb'!F4</f>
        <v>220.61799999999999</v>
      </c>
      <c r="G4" s="34"/>
      <c r="H4" s="45"/>
      <c r="I4" s="34"/>
      <c r="J4" s="293"/>
      <c r="K4" s="292" t="str">
        <f>'T10#'!E4</f>
        <v xml:space="preserve">VP C = </v>
      </c>
      <c r="L4" s="34">
        <f>'T10#'!F4</f>
        <v>220.61799999999999</v>
      </c>
      <c r="M4" s="34"/>
      <c r="N4" s="34" t="str">
        <f>'T10#'!H4</f>
        <v xml:space="preserve">P = </v>
      </c>
      <c r="O4" s="34">
        <f>'T10#'!I4</f>
        <v>219.51194728688952</v>
      </c>
      <c r="P4" s="34" t="str">
        <f>'T10#'!J4</f>
        <v>kPa</v>
      </c>
      <c r="Q4" s="34" t="str">
        <f>'T10#'!K4</f>
        <v xml:space="preserve">VP to = </v>
      </c>
      <c r="R4" s="293">
        <f>'T10#'!L4</f>
        <v>25</v>
      </c>
      <c r="Y4" s="4"/>
      <c r="Z4" s="6"/>
    </row>
    <row r="5" spans="1:27" ht="15.75" x14ac:dyDescent="0.3">
      <c r="A5" s="4" t="s">
        <v>18</v>
      </c>
      <c r="B5" s="5">
        <f>' T = Tb'!B5</f>
        <v>4072.9999999999995</v>
      </c>
      <c r="C5" s="2" t="s">
        <v>9</v>
      </c>
      <c r="E5" s="298" t="s">
        <v>10</v>
      </c>
      <c r="F5" s="35">
        <f>' T = Tb'!F5</f>
        <v>0</v>
      </c>
      <c r="G5" s="34"/>
      <c r="H5" s="31"/>
      <c r="I5" s="34"/>
      <c r="J5" s="293"/>
      <c r="K5" s="292" t="str">
        <f>'T10#'!E5</f>
        <v xml:space="preserve">VP n = </v>
      </c>
      <c r="L5" s="34">
        <f>'T10#'!F5</f>
        <v>3.4040699999999999</v>
      </c>
      <c r="M5" s="34"/>
      <c r="N5" s="34" t="str">
        <f>'T10#'!H5</f>
        <v xml:space="preserve">x = </v>
      </c>
      <c r="O5" s="34">
        <f>'T10#'!I5</f>
        <v>0.15160133903561998</v>
      </c>
      <c r="P5" s="34"/>
      <c r="Q5" s="34"/>
      <c r="R5" s="293"/>
      <c r="Y5" s="4"/>
      <c r="Z5" s="6"/>
    </row>
    <row r="6" spans="1:27" ht="15.75" x14ac:dyDescent="0.3">
      <c r="A6" s="4" t="s">
        <v>19</v>
      </c>
      <c r="B6" s="5">
        <f>' T = Tb'!B6</f>
        <v>308</v>
      </c>
      <c r="C6" s="2" t="s">
        <v>20</v>
      </c>
      <c r="E6" s="298" t="s">
        <v>21</v>
      </c>
      <c r="F6" s="35">
        <f>' T = Tb'!F6</f>
        <v>282.11</v>
      </c>
      <c r="G6" s="76">
        <f>F6/B3</f>
        <v>0.5096838301716351</v>
      </c>
      <c r="H6" s="34" t="s">
        <v>22</v>
      </c>
      <c r="I6" s="34">
        <v>2.5712194055283128E-3</v>
      </c>
      <c r="J6" s="293"/>
      <c r="K6" s="292" t="str">
        <f>'T10#'!E6</f>
        <v xml:space="preserve">Tmin = </v>
      </c>
      <c r="L6" s="34">
        <f>'T10#'!F6</f>
        <v>282.11</v>
      </c>
      <c r="M6" s="34">
        <f>'T10#'!G6</f>
        <v>0.5096838301716351</v>
      </c>
      <c r="N6" s="34" t="str">
        <f>'T10#'!H6</f>
        <v>Tmin/Tc</v>
      </c>
      <c r="O6" s="34">
        <f>'T10#'!I6</f>
        <v>2.5712194055283128E-3</v>
      </c>
      <c r="P6" s="34"/>
      <c r="Q6" s="34"/>
      <c r="R6" s="293"/>
    </row>
    <row r="7" spans="1:27" ht="15.75" x14ac:dyDescent="0.3">
      <c r="A7" s="4" t="s">
        <v>19</v>
      </c>
      <c r="B7" s="5">
        <f>' T = Tb'!B7</f>
        <v>0.308</v>
      </c>
      <c r="C7" s="8" t="s">
        <v>23</v>
      </c>
      <c r="E7" s="298" t="s">
        <v>24</v>
      </c>
      <c r="F7" s="35">
        <f>' T = Tb'!F7</f>
        <v>553.5</v>
      </c>
      <c r="G7" s="76">
        <f>F7/B3</f>
        <v>1</v>
      </c>
      <c r="H7" s="34" t="s">
        <v>25</v>
      </c>
      <c r="I7" s="34">
        <f>I6/C23</f>
        <v>4.2861512714535914E-2</v>
      </c>
      <c r="J7" s="293"/>
      <c r="K7" s="292" t="str">
        <f>'T10#'!E7</f>
        <v xml:space="preserve">Tmax = </v>
      </c>
      <c r="L7" s="34">
        <f>'T10#'!F7</f>
        <v>553.5</v>
      </c>
      <c r="M7" s="34">
        <f>'T10#'!G7</f>
        <v>1</v>
      </c>
      <c r="N7" s="34" t="str">
        <f>'T10#'!H7</f>
        <v>Tmax/Tc</v>
      </c>
      <c r="O7" s="34">
        <f>'T10#'!I7</f>
        <v>1.1713346072083615E-3</v>
      </c>
      <c r="P7" s="34"/>
      <c r="Q7" s="34"/>
      <c r="R7" s="293"/>
      <c r="Z7" s="34"/>
      <c r="AA7" s="34"/>
    </row>
    <row r="8" spans="1:27" ht="15.75" x14ac:dyDescent="0.3">
      <c r="A8" s="4" t="s">
        <v>26</v>
      </c>
      <c r="B8" s="5">
        <f>' T = Tb'!B8</f>
        <v>0.27300000000000002</v>
      </c>
      <c r="E8" s="298" t="s">
        <v>27</v>
      </c>
      <c r="F8" s="35">
        <f>' T = Tb'!F8</f>
        <v>353.93</v>
      </c>
      <c r="G8" s="76">
        <f>F8/B3</f>
        <v>0.63943992773261071</v>
      </c>
      <c r="H8" s="34" t="s">
        <v>28</v>
      </c>
      <c r="I8" s="34"/>
      <c r="J8" s="293"/>
      <c r="K8" s="292" t="str">
        <f>'T10#'!E8</f>
        <v xml:space="preserve">Tb = </v>
      </c>
      <c r="L8" s="34">
        <f>'T10#'!F8</f>
        <v>353.93</v>
      </c>
      <c r="M8" s="34">
        <f>'T10#'!G8</f>
        <v>0.63943992773261071</v>
      </c>
      <c r="N8" s="34" t="str">
        <f>'T10#'!H8</f>
        <v>Tb/Tc</v>
      </c>
      <c r="O8" s="34"/>
      <c r="P8" s="34"/>
      <c r="Q8" s="34"/>
      <c r="R8" s="293"/>
      <c r="Z8" s="34"/>
      <c r="AA8" s="34"/>
    </row>
    <row r="9" spans="1:27" ht="13.5" thickBot="1" x14ac:dyDescent="0.25">
      <c r="A9" s="9" t="s">
        <v>29</v>
      </c>
      <c r="B9" s="5">
        <f>' T = Tb'!B9</f>
        <v>0.21099999999999999</v>
      </c>
      <c r="E9" s="300"/>
      <c r="F9" s="281">
        <f>' T = Tb'!F9</f>
        <v>101.325</v>
      </c>
      <c r="G9" s="281"/>
      <c r="H9" s="281"/>
      <c r="I9" s="281"/>
      <c r="J9" s="295"/>
      <c r="K9" s="294"/>
      <c r="L9" s="281">
        <f>'T10#'!F9</f>
        <v>101.325</v>
      </c>
      <c r="M9" s="281"/>
      <c r="N9" s="281"/>
      <c r="O9" s="281"/>
      <c r="P9" s="281"/>
      <c r="Q9" s="281"/>
      <c r="R9" s="295"/>
      <c r="Z9" s="34"/>
      <c r="AA9" s="34"/>
    </row>
    <row r="10" spans="1:27" ht="23.25" thickTop="1" x14ac:dyDescent="0.35">
      <c r="A10" s="2" t="s">
        <v>11</v>
      </c>
      <c r="B10" s="2">
        <v>8.3145100000000003</v>
      </c>
      <c r="C10" s="2" t="s">
        <v>12</v>
      </c>
      <c r="H10" s="1" t="s">
        <v>30</v>
      </c>
      <c r="Z10" s="34"/>
      <c r="AA10" s="34"/>
    </row>
    <row r="11" spans="1:27" x14ac:dyDescent="0.2">
      <c r="A11" s="10" t="s">
        <v>13</v>
      </c>
      <c r="K11" s="11"/>
      <c r="L11" s="11"/>
      <c r="M11" s="11"/>
      <c r="N11" s="11"/>
      <c r="O11" s="11"/>
      <c r="P11" s="11"/>
      <c r="Z11" s="34"/>
      <c r="AA11" s="34"/>
    </row>
    <row r="12" spans="1:27" ht="18" x14ac:dyDescent="0.25">
      <c r="A12" s="13" t="s">
        <v>31</v>
      </c>
      <c r="B12" s="14">
        <f>27/64*(B10*B3)^2/B5</f>
        <v>2193.7036127822548</v>
      </c>
      <c r="C12" s="15"/>
      <c r="E12" s="16"/>
      <c r="J12" s="41">
        <f>-(B18+B15+K23)</f>
        <v>5.9990383444031181E-2</v>
      </c>
      <c r="K12" s="6"/>
      <c r="L12" s="6"/>
      <c r="M12" s="6"/>
      <c r="N12" s="6"/>
      <c r="O12" s="6"/>
      <c r="P12" s="6"/>
      <c r="X12" s="4"/>
      <c r="Y12" s="41"/>
      <c r="Z12" s="34"/>
      <c r="AA12" s="34"/>
    </row>
    <row r="13" spans="1:27" ht="18" x14ac:dyDescent="0.25">
      <c r="A13" s="13" t="s">
        <v>33</v>
      </c>
      <c r="B13" s="133">
        <v>2193.7036127822553</v>
      </c>
      <c r="C13" s="14">
        <f>' T = Tb'!P27</f>
        <v>2193.7036127822553</v>
      </c>
      <c r="E13" s="266"/>
      <c r="F13" s="21"/>
      <c r="J13" s="41">
        <f>B15*K23+B15*B18+B18*K23</f>
        <v>-6154.3189563565365</v>
      </c>
      <c r="K13" s="6"/>
      <c r="L13" s="6"/>
      <c r="M13" s="6"/>
      <c r="N13" s="6"/>
      <c r="O13" s="6"/>
      <c r="P13" s="6"/>
      <c r="V13" s="26">
        <f>B13/B12</f>
        <v>1.0000000000000002</v>
      </c>
      <c r="X13" s="4"/>
      <c r="Y13" s="41"/>
      <c r="Z13" s="34"/>
      <c r="AA13" s="34"/>
    </row>
    <row r="14" spans="1:27" ht="13.5" x14ac:dyDescent="0.25">
      <c r="A14" s="152" t="s">
        <v>35</v>
      </c>
      <c r="B14" s="324">
        <f>B10*B3/8/B5</f>
        <v>0.14123745657377856</v>
      </c>
      <c r="C14" s="8" t="s">
        <v>23</v>
      </c>
      <c r="J14" s="41">
        <f>-(B18*B15*K23)</f>
        <v>969.29984050533028</v>
      </c>
      <c r="K14" s="6"/>
      <c r="L14" s="6"/>
      <c r="M14" s="6"/>
      <c r="N14" s="6"/>
      <c r="O14" s="6"/>
      <c r="P14" s="6"/>
      <c r="V14" s="26">
        <f>B15/B14</f>
        <v>1.1151432758754498</v>
      </c>
      <c r="X14" s="4"/>
      <c r="Y14" s="12"/>
      <c r="Z14" s="34"/>
      <c r="AA14" s="34"/>
    </row>
    <row r="15" spans="1:27" ht="15.75" x14ac:dyDescent="0.25">
      <c r="A15" s="22" t="s">
        <v>37</v>
      </c>
      <c r="B15" s="23">
        <v>0.1575</v>
      </c>
      <c r="C15" s="7">
        <f>'T20'!B15</f>
        <v>0.27982847066724797</v>
      </c>
      <c r="D15" s="24"/>
      <c r="E15" s="25"/>
      <c r="F15" s="95">
        <f>B44-273</f>
        <v>280.49999999999989</v>
      </c>
      <c r="U15" s="4"/>
      <c r="V15" s="26" t="e">
        <f>K23/#REF!</f>
        <v>#REF!</v>
      </c>
      <c r="X15" s="4"/>
      <c r="Z15" s="31"/>
      <c r="AA15" s="35"/>
    </row>
    <row r="16" spans="1:27" ht="15.75" x14ac:dyDescent="0.25">
      <c r="A16" s="22" t="s">
        <v>39</v>
      </c>
      <c r="B16" s="2">
        <v>0</v>
      </c>
      <c r="C16" s="7">
        <f>'T20'!B16</f>
        <v>0.78999812734424524</v>
      </c>
      <c r="D16" s="24"/>
      <c r="E16" s="25"/>
      <c r="R16" s="219"/>
      <c r="S16" s="27"/>
      <c r="T16" s="88"/>
      <c r="U16" s="17"/>
      <c r="Z16" s="31"/>
      <c r="AA16" s="35"/>
    </row>
    <row r="17" spans="1:27" ht="14.25" x14ac:dyDescent="0.25">
      <c r="A17" s="27" t="s">
        <v>41</v>
      </c>
      <c r="D17" s="24"/>
      <c r="E17" s="44"/>
      <c r="S17" s="27"/>
      <c r="T17" s="89"/>
      <c r="U17" s="4"/>
      <c r="V17" s="17"/>
      <c r="Z17" s="31"/>
      <c r="AA17" s="36"/>
    </row>
    <row r="18" spans="1:27" ht="14.25" x14ac:dyDescent="0.25">
      <c r="A18" s="22" t="s">
        <v>43</v>
      </c>
      <c r="B18" s="26">
        <f>-H23-B15-K23</f>
        <v>78.340579388785798</v>
      </c>
      <c r="C18" s="4"/>
      <c r="D18" s="4"/>
      <c r="E18" s="29"/>
      <c r="S18" s="27"/>
      <c r="U18" s="4"/>
      <c r="V18" s="17"/>
      <c r="W18" s="21"/>
      <c r="Z18" s="31"/>
      <c r="AA18" s="35"/>
    </row>
    <row r="19" spans="1:27" x14ac:dyDescent="0.2">
      <c r="A19" s="148" t="s">
        <v>135</v>
      </c>
      <c r="B19" s="149">
        <v>0</v>
      </c>
      <c r="C19" s="15"/>
      <c r="E19" s="31"/>
      <c r="F19" s="27" t="s">
        <v>73</v>
      </c>
      <c r="G19" s="89">
        <f>'a = a(T)'!J21</f>
        <v>0.85537347937760355</v>
      </c>
      <c r="H19" s="31"/>
      <c r="I19" s="31"/>
      <c r="J19" s="31"/>
      <c r="K19" s="249" t="s">
        <v>161</v>
      </c>
      <c r="L19" s="249"/>
      <c r="M19" s="249"/>
      <c r="N19" s="249"/>
      <c r="O19" s="249"/>
      <c r="P19" s="249"/>
      <c r="Q19" s="31"/>
      <c r="S19" s="27"/>
      <c r="U19" s="4"/>
      <c r="V19" s="17"/>
      <c r="W19" s="21"/>
      <c r="Z19" s="31"/>
      <c r="AA19" s="35"/>
    </row>
    <row r="20" spans="1:27" x14ac:dyDescent="0.2">
      <c r="C20" s="15" t="s">
        <v>74</v>
      </c>
      <c r="F20" s="63" t="s">
        <v>75</v>
      </c>
      <c r="L20" s="63" t="s">
        <v>75</v>
      </c>
      <c r="M20" s="63"/>
      <c r="N20" s="63"/>
      <c r="O20" s="63"/>
      <c r="P20" s="63"/>
      <c r="Q20" s="63" t="s">
        <v>75</v>
      </c>
      <c r="R20" s="5" t="s">
        <v>76</v>
      </c>
      <c r="U20" s="4"/>
      <c r="V20" s="17"/>
      <c r="W20" s="21"/>
      <c r="Z20" s="31"/>
      <c r="AA20" s="35"/>
    </row>
    <row r="21" spans="1:27" ht="15.75" x14ac:dyDescent="0.3">
      <c r="B21" s="5" t="s">
        <v>49</v>
      </c>
      <c r="C21" s="5" t="s">
        <v>45</v>
      </c>
      <c r="D21" s="4" t="s">
        <v>50</v>
      </c>
      <c r="E21" s="5" t="s">
        <v>113</v>
      </c>
      <c r="F21" s="30" t="s">
        <v>114</v>
      </c>
      <c r="G21" s="5" t="s">
        <v>77</v>
      </c>
      <c r="H21" s="5" t="s">
        <v>45</v>
      </c>
      <c r="I21" s="4" t="s">
        <v>32</v>
      </c>
      <c r="J21" s="4" t="s">
        <v>34</v>
      </c>
      <c r="K21" s="4" t="s">
        <v>36</v>
      </c>
      <c r="L21" s="30" t="s">
        <v>114</v>
      </c>
      <c r="M21" s="5" t="s">
        <v>45</v>
      </c>
      <c r="N21" s="4" t="s">
        <v>32</v>
      </c>
      <c r="O21" s="4" t="s">
        <v>34</v>
      </c>
      <c r="P21" s="4" t="s">
        <v>36</v>
      </c>
      <c r="Q21" s="30" t="s">
        <v>114</v>
      </c>
      <c r="R21" s="5" t="s">
        <v>45</v>
      </c>
      <c r="S21" s="5" t="s">
        <v>115</v>
      </c>
      <c r="T21" s="90" t="s">
        <v>116</v>
      </c>
      <c r="U21" s="5" t="s">
        <v>77</v>
      </c>
      <c r="V21" s="5" t="s">
        <v>49</v>
      </c>
      <c r="W21" s="248" t="s">
        <v>204</v>
      </c>
      <c r="X21" s="90"/>
      <c r="Y21" s="91"/>
    </row>
    <row r="22" spans="1:27" ht="14.25" x14ac:dyDescent="0.2">
      <c r="B22" s="5" t="s">
        <v>2</v>
      </c>
      <c r="C22" s="5" t="s">
        <v>7</v>
      </c>
      <c r="D22" s="248" t="s">
        <v>162</v>
      </c>
      <c r="E22" s="5"/>
      <c r="F22" s="92" t="s">
        <v>23</v>
      </c>
      <c r="G22" s="5"/>
      <c r="H22" s="5" t="s">
        <v>7</v>
      </c>
      <c r="I22" s="5"/>
      <c r="J22" s="5"/>
      <c r="K22" s="5"/>
      <c r="L22" s="92" t="s">
        <v>23</v>
      </c>
      <c r="M22" s="5" t="s">
        <v>7</v>
      </c>
      <c r="N22" s="5"/>
      <c r="O22" s="5"/>
      <c r="P22" s="5"/>
      <c r="Q22" s="92" t="s">
        <v>23</v>
      </c>
      <c r="R22" s="5" t="s">
        <v>7</v>
      </c>
      <c r="S22" s="5" t="s">
        <v>51</v>
      </c>
      <c r="V22" s="93" t="s">
        <v>117</v>
      </c>
    </row>
    <row r="23" spans="1:27" x14ac:dyDescent="0.2">
      <c r="A23" s="4" t="s">
        <v>128</v>
      </c>
      <c r="B23" s="72">
        <f>'Phase diagram'!B26</f>
        <v>282.11</v>
      </c>
      <c r="C23" s="41">
        <f>10^($F$2-$F$3/($F$4+B23-273.15))</f>
        <v>5.9989002783289953E-2</v>
      </c>
      <c r="D23" s="2">
        <f t="shared" ref="D23:D44" si="0">1000/B23</f>
        <v>3.5447165999078374</v>
      </c>
      <c r="E23" s="40">
        <f t="shared" ref="E23:E44" si="1">B23/$B$3</f>
        <v>0.5096838301716351</v>
      </c>
      <c r="F23" s="94">
        <f>'Phase diagram'!F26</f>
        <v>389.71158286511047</v>
      </c>
      <c r="G23" s="72">
        <f>$B$12*EXP($G$19*(1-E23))</f>
        <v>3336.74143005933</v>
      </c>
      <c r="H23" s="7">
        <f>($B$10*B23/(F23-$B$14)-G23/(F23+$B$19)^2)/100</f>
        <v>5.9990383444035011E-2</v>
      </c>
      <c r="I23" s="267">
        <f>(2*$B$19)-$B$14-($B$10*B23/H23/100)</f>
        <v>-391.13830756002045</v>
      </c>
      <c r="J23" s="267">
        <f>($B$19^2)-(2*$B$19*$B$14)-(2*$B$10*B23*$B$19/100/H23)+(G23/H23/100)</f>
        <v>556.21271918893035</v>
      </c>
      <c r="K23" s="267">
        <f>(-$B$14*($B$19^2))-($B$10*B23*($B$19^2)/H23/100)-(G23*$B$14/H23/100)</f>
        <v>-78.558069772229828</v>
      </c>
      <c r="L23" s="250">
        <f>F23-(F23^3+I23*F23^2+J23*F23+K23)/(3*F23^2+2*I23*F23+J23)</f>
        <v>389.71158286511047</v>
      </c>
      <c r="M23" s="7">
        <f>($B$10*B23/(L23-$B$14)-G23/(L23+$B$19)^2)/100</f>
        <v>5.9990383444035011E-2</v>
      </c>
      <c r="N23" s="267">
        <f>(2*$B$19)-$B$14-($B$10*B23/M23/100)</f>
        <v>-391.13830756002045</v>
      </c>
      <c r="O23" s="267">
        <f>($B$19^2)-(2*$B$19*$B$14)-(2*$B$10*B23*$B$19/100/M23)+(G23/M23/100)</f>
        <v>556.21271918893035</v>
      </c>
      <c r="P23" s="267">
        <f>(-$B$14*($B$19^2))-($B$10*B23*($B$19^2)/M23/100)-(G23*$B$14/M23/100)</f>
        <v>-78.558069772229828</v>
      </c>
      <c r="Q23" s="268">
        <f>L23-(L23^3+N23*L23^2+O23*L23+P23)/(3*L23^2+2*N23*L23+O23)</f>
        <v>389.71158286511047</v>
      </c>
      <c r="R23" s="41">
        <f>($B$10*B23/(Q23-$B$14)-G23/(Q23+$B$19)^2)/100</f>
        <v>5.9990383444035011E-2</v>
      </c>
      <c r="S23" s="251">
        <f t="shared" ref="S23:S44" si="2">100*(R23-C23)/C23</f>
        <v>2.3015230808982375E-3</v>
      </c>
      <c r="T23" s="7">
        <f t="shared" ref="T23:T44" si="3">R23/C23</f>
        <v>1.0000230152308089</v>
      </c>
      <c r="U23" s="95">
        <f>[1]Tmin!B13</f>
        <v>2997.7826494595834</v>
      </c>
      <c r="V23" s="96">
        <f t="shared" ref="V23:V44" si="4">B23-273.15</f>
        <v>8.9600000000000364</v>
      </c>
      <c r="W23" s="41"/>
      <c r="X23" s="41"/>
    </row>
    <row r="24" spans="1:27" s="315" customFormat="1" x14ac:dyDescent="0.2">
      <c r="A24" s="313" t="s">
        <v>53</v>
      </c>
      <c r="B24" s="312">
        <f>'Phase diagram'!B27</f>
        <v>291.77860134885822</v>
      </c>
      <c r="C24" s="314">
        <f t="shared" ref="C24:C31" si="5">10^($F$2-$F$3/($F$4+B24-273.15))</f>
        <v>9.6889293865363255E-2</v>
      </c>
      <c r="D24" s="315">
        <f t="shared" si="0"/>
        <v>3.4272561297405546</v>
      </c>
      <c r="E24" s="310">
        <f t="shared" si="1"/>
        <v>0.52715194462305004</v>
      </c>
      <c r="F24" s="311">
        <f>'Phase diagram'!F27</f>
        <v>249.16307186809024</v>
      </c>
      <c r="G24" s="312">
        <f t="shared" ref="G24:G44" si="6">$B$12*EXP($G$19*(1-E24))</f>
        <v>3287.2552602544883</v>
      </c>
      <c r="H24" s="310">
        <f t="shared" ref="H24:H44" si="7">($B$10*B24/(F24-$B$14)-G24/(F24+$B$19)^2)/100</f>
        <v>9.6891519367622594E-2</v>
      </c>
      <c r="I24" s="316">
        <f t="shared" ref="I24:I44" si="8">(2*$B$19)-$B$14-($B$10*B24/H24/100)</f>
        <v>-250.52394530703708</v>
      </c>
      <c r="J24" s="316">
        <f t="shared" ref="J24:J44" si="9">($B$19^2)-(2*$B$19*$B$14)-(2*$B$10*B24*$B$19/100/H24)+(G24/H24/100)</f>
        <v>339.27172178837378</v>
      </c>
      <c r="K24" s="316">
        <f t="shared" ref="K24:K44" si="10">(-$B$14*($B$19^2))-($B$10*B24*($B$19^2)/H24/100)-(G24*$B$14/H24/100)</f>
        <v>-47.917875072796527</v>
      </c>
      <c r="L24" s="317">
        <f t="shared" ref="L24:L44" si="11">F24-(F24^3+I24*F24^2+J24*F24+K24)/(3*F24^2+2*I24*F24+J24)</f>
        <v>249.16307186809024</v>
      </c>
      <c r="M24" s="310">
        <f t="shared" ref="M24:M44" si="12">($B$10*B24/(L24-$B$14)-G24/(L24+$B$19)^2)/100</f>
        <v>9.6891519367622594E-2</v>
      </c>
      <c r="N24" s="316">
        <f t="shared" ref="N24:N44" si="13">(2*$B$19)-$B$14-($B$10*B24/M24/100)</f>
        <v>-250.52394530703708</v>
      </c>
      <c r="O24" s="316">
        <f t="shared" ref="O24:O44" si="14">($B$19^2)-(2*$B$19*$B$14)-(2*$B$10*B24*$B$19/100/M24)+(G24/M24/100)</f>
        <v>339.27172178837378</v>
      </c>
      <c r="P24" s="316">
        <f t="shared" ref="P24:P44" si="15">(-$B$14*($B$19^2))-($B$10*B24*($B$19^2)/M24/100)-(G24*$B$14/M24/100)</f>
        <v>-47.917875072796527</v>
      </c>
      <c r="Q24" s="316">
        <f t="shared" ref="Q24:Q44" si="16">L24-(L24^3+N24*L24^2+O24*L24+P24)/(3*L24^2+2*N24*L24+O24)</f>
        <v>249.16307186809024</v>
      </c>
      <c r="R24" s="314">
        <f t="shared" ref="R24:R44" si="17">($B$10*B24/(Q24-$B$14)-G24/(Q24+$B$19)^2)/100</f>
        <v>9.6891519367622594E-2</v>
      </c>
      <c r="S24" s="321">
        <f t="shared" si="2"/>
        <v>2.2969537402474636E-3</v>
      </c>
      <c r="T24" s="310">
        <f t="shared" si="3"/>
        <v>1.0000229695374026</v>
      </c>
      <c r="U24" s="318">
        <f>[1]T2!B13</f>
        <v>2949.5510179907387</v>
      </c>
      <c r="V24" s="319">
        <f t="shared" si="4"/>
        <v>18.62860134885824</v>
      </c>
      <c r="W24" s="314"/>
      <c r="X24" s="314"/>
    </row>
    <row r="25" spans="1:27" s="315" customFormat="1" x14ac:dyDescent="0.2">
      <c r="A25" s="313" t="s">
        <v>54</v>
      </c>
      <c r="B25" s="312">
        <f>'Phase diagram'!B28</f>
        <v>301.77856937044379</v>
      </c>
      <c r="C25" s="314">
        <f t="shared" si="5"/>
        <v>0.15297578457613945</v>
      </c>
      <c r="D25" s="315">
        <f t="shared" si="0"/>
        <v>3.3136879205377401</v>
      </c>
      <c r="E25" s="310">
        <f t="shared" si="1"/>
        <v>0.54521873418327693</v>
      </c>
      <c r="F25" s="311">
        <f>'Phase diagram'!F28</f>
        <v>162.86212507583846</v>
      </c>
      <c r="G25" s="312">
        <f t="shared" si="6"/>
        <v>3236.8450213010969</v>
      </c>
      <c r="H25" s="310">
        <f t="shared" si="7"/>
        <v>0.15297872626535736</v>
      </c>
      <c r="I25" s="316">
        <f t="shared" si="8"/>
        <v>-164.16018270938528</v>
      </c>
      <c r="J25" s="316">
        <f t="shared" si="9"/>
        <v>211.58791815840169</v>
      </c>
      <c r="K25" s="316">
        <f t="shared" si="10"/>
        <v>-29.884139402433476</v>
      </c>
      <c r="L25" s="317">
        <f t="shared" si="11"/>
        <v>162.86212507583846</v>
      </c>
      <c r="M25" s="310">
        <f t="shared" si="12"/>
        <v>0.15297872626535736</v>
      </c>
      <c r="N25" s="316">
        <f t="shared" si="13"/>
        <v>-164.16018270938528</v>
      </c>
      <c r="O25" s="316">
        <f t="shared" si="14"/>
        <v>211.58791815840169</v>
      </c>
      <c r="P25" s="316">
        <f t="shared" si="15"/>
        <v>-29.884139402433476</v>
      </c>
      <c r="Q25" s="316">
        <f t="shared" si="16"/>
        <v>162.86212507583846</v>
      </c>
      <c r="R25" s="314">
        <f t="shared" si="17"/>
        <v>0.15297872626535736</v>
      </c>
      <c r="S25" s="321">
        <f t="shared" si="2"/>
        <v>1.9229770424528372E-3</v>
      </c>
      <c r="T25" s="310">
        <f t="shared" si="3"/>
        <v>1.0000192297704245</v>
      </c>
      <c r="U25" s="318">
        <f>[1]T3!B13</f>
        <v>2901.2148970394792</v>
      </c>
      <c r="V25" s="319">
        <f t="shared" si="4"/>
        <v>28.628569370443813</v>
      </c>
      <c r="W25" s="314"/>
      <c r="X25" s="314"/>
    </row>
    <row r="26" spans="1:27" s="315" customFormat="1" x14ac:dyDescent="0.2">
      <c r="A26" s="313" t="s">
        <v>55</v>
      </c>
      <c r="B26" s="312">
        <f>'Phase diagram'!B29</f>
        <v>312.12126081304262</v>
      </c>
      <c r="C26" s="314">
        <f t="shared" si="5"/>
        <v>0.23642385647017744</v>
      </c>
      <c r="D26" s="315">
        <f t="shared" si="0"/>
        <v>3.2038829953304258</v>
      </c>
      <c r="E26" s="310">
        <f t="shared" si="1"/>
        <v>0.56390471691606614</v>
      </c>
      <c r="F26" s="311">
        <f>'Phase diagram'!F29</f>
        <v>108.6680719854226</v>
      </c>
      <c r="G26" s="312">
        <f t="shared" si="6"/>
        <v>3185.5201958003513</v>
      </c>
      <c r="H26" s="310">
        <f t="shared" si="7"/>
        <v>0.23642624716498592</v>
      </c>
      <c r="I26" s="316">
        <f t="shared" si="8"/>
        <v>-109.90634921388562</v>
      </c>
      <c r="J26" s="316">
        <f t="shared" si="9"/>
        <v>134.73631773114394</v>
      </c>
      <c r="K26" s="316">
        <f t="shared" si="10"/>
        <v>-19.029814824463273</v>
      </c>
      <c r="L26" s="317">
        <f t="shared" si="11"/>
        <v>108.6680719854226</v>
      </c>
      <c r="M26" s="310">
        <f t="shared" si="12"/>
        <v>0.23642624716498592</v>
      </c>
      <c r="N26" s="316">
        <f t="shared" si="13"/>
        <v>-109.90634921388562</v>
      </c>
      <c r="O26" s="316">
        <f t="shared" si="14"/>
        <v>134.73631773114394</v>
      </c>
      <c r="P26" s="316">
        <f t="shared" si="15"/>
        <v>-19.029814824463273</v>
      </c>
      <c r="Q26" s="316">
        <f t="shared" si="16"/>
        <v>108.6680719854226</v>
      </c>
      <c r="R26" s="314">
        <f t="shared" si="17"/>
        <v>0.23642624716498592</v>
      </c>
      <c r="S26" s="321">
        <f t="shared" si="2"/>
        <v>1.0111901752102139E-3</v>
      </c>
      <c r="T26" s="310">
        <f t="shared" si="3"/>
        <v>1.0000101119017522</v>
      </c>
      <c r="U26" s="318">
        <f>[1]T4!B13</f>
        <v>2852.7642657649799</v>
      </c>
      <c r="V26" s="319">
        <f t="shared" si="4"/>
        <v>38.971260813042647</v>
      </c>
      <c r="W26" s="314"/>
      <c r="X26" s="314"/>
    </row>
    <row r="27" spans="1:27" s="315" customFormat="1" x14ac:dyDescent="0.2">
      <c r="A27" s="313" t="s">
        <v>56</v>
      </c>
      <c r="B27" s="312">
        <f>'Phase diagram'!B30</f>
        <v>322.81842164854754</v>
      </c>
      <c r="C27" s="314">
        <f t="shared" si="5"/>
        <v>0.35811104041134006</v>
      </c>
      <c r="D27" s="315">
        <f t="shared" si="0"/>
        <v>3.0977166510302196</v>
      </c>
      <c r="E27" s="310">
        <f t="shared" si="1"/>
        <v>0.58323111408951678</v>
      </c>
      <c r="F27" s="311">
        <f>'Phase diagram'!F30</f>
        <v>73.91113677217723</v>
      </c>
      <c r="G27" s="312">
        <f t="shared" si="6"/>
        <v>3133.2923316404695</v>
      </c>
      <c r="H27" s="310">
        <f t="shared" si="7"/>
        <v>0.3581088401030631</v>
      </c>
      <c r="I27" s="316">
        <f t="shared" si="8"/>
        <v>-75.092668262040419</v>
      </c>
      <c r="J27" s="316">
        <f t="shared" si="9"/>
        <v>87.495531546741859</v>
      </c>
      <c r="K27" s="316">
        <f t="shared" si="10"/>
        <v>-12.357646337232627</v>
      </c>
      <c r="L27" s="317">
        <f t="shared" si="11"/>
        <v>73.91113677217723</v>
      </c>
      <c r="M27" s="310">
        <f t="shared" si="12"/>
        <v>0.3581088401030631</v>
      </c>
      <c r="N27" s="316">
        <f t="shared" si="13"/>
        <v>-75.092668262040419</v>
      </c>
      <c r="O27" s="316">
        <f t="shared" si="14"/>
        <v>87.495531546741859</v>
      </c>
      <c r="P27" s="316">
        <f t="shared" si="15"/>
        <v>-12.357646337232627</v>
      </c>
      <c r="Q27" s="316">
        <f t="shared" si="16"/>
        <v>73.91113677217723</v>
      </c>
      <c r="R27" s="314">
        <f t="shared" si="17"/>
        <v>0.3581088401030631</v>
      </c>
      <c r="S27" s="321">
        <f t="shared" si="2"/>
        <v>-6.1442067645831532E-4</v>
      </c>
      <c r="T27" s="310">
        <f t="shared" si="3"/>
        <v>0.99999385579323541</v>
      </c>
      <c r="U27" s="318">
        <f>[1]T5!B13</f>
        <v>2804.1925602377291</v>
      </c>
      <c r="V27" s="319">
        <f t="shared" si="4"/>
        <v>49.668421648547564</v>
      </c>
      <c r="W27" s="314"/>
      <c r="X27" s="314"/>
    </row>
    <row r="28" spans="1:27" s="315" customFormat="1" x14ac:dyDescent="0.2">
      <c r="A28" s="313" t="s">
        <v>57</v>
      </c>
      <c r="B28" s="312">
        <f>'Phase diagram'!B31</f>
        <v>333.88220041210576</v>
      </c>
      <c r="C28" s="314">
        <f t="shared" si="5"/>
        <v>0.5322296394350029</v>
      </c>
      <c r="D28" s="315">
        <f t="shared" si="0"/>
        <v>2.9950683168066914</v>
      </c>
      <c r="E28" s="310">
        <f t="shared" si="1"/>
        <v>0.60321987427661383</v>
      </c>
      <c r="F28" s="311">
        <f>'Phase diagram'!F31</f>
        <v>51.174238674517106</v>
      </c>
      <c r="G28" s="312">
        <f t="shared" si="6"/>
        <v>3080.1751416039051</v>
      </c>
      <c r="H28" s="310">
        <f t="shared" si="7"/>
        <v>0.53221307667434126</v>
      </c>
      <c r="I28" s="316">
        <f t="shared" si="8"/>
        <v>-52.30205453937387</v>
      </c>
      <c r="J28" s="316">
        <f t="shared" si="9"/>
        <v>57.874848939283957</v>
      </c>
      <c r="K28" s="316">
        <f t="shared" si="10"/>
        <v>-8.1740964637761131</v>
      </c>
      <c r="L28" s="317">
        <f t="shared" si="11"/>
        <v>51.174238674517099</v>
      </c>
      <c r="M28" s="310">
        <f t="shared" si="12"/>
        <v>0.53221307667434137</v>
      </c>
      <c r="N28" s="316">
        <f t="shared" si="13"/>
        <v>-52.302054539373863</v>
      </c>
      <c r="O28" s="316">
        <f t="shared" si="14"/>
        <v>57.87484893928395</v>
      </c>
      <c r="P28" s="316">
        <f t="shared" si="15"/>
        <v>-8.1740964637761113</v>
      </c>
      <c r="Q28" s="316">
        <f t="shared" si="16"/>
        <v>51.174238674517092</v>
      </c>
      <c r="R28" s="314">
        <f t="shared" si="17"/>
        <v>0.53221307667434137</v>
      </c>
      <c r="S28" s="321">
        <f t="shared" si="2"/>
        <v>-3.111957590169908E-3</v>
      </c>
      <c r="T28" s="310">
        <f t="shared" si="3"/>
        <v>0.99996888042409826</v>
      </c>
      <c r="U28" s="318">
        <f>[1]T6!B13</f>
        <v>2755.5090527231714</v>
      </c>
      <c r="V28" s="319">
        <f t="shared" si="4"/>
        <v>60.732200412105783</v>
      </c>
      <c r="W28" s="314"/>
      <c r="X28" s="314"/>
    </row>
    <row r="29" spans="1:27" s="315" customFormat="1" x14ac:dyDescent="0.2">
      <c r="A29" s="313" t="s">
        <v>58</v>
      </c>
      <c r="B29" s="312">
        <f>'Phase diagram'!B32</f>
        <v>345.32516199894849</v>
      </c>
      <c r="C29" s="314">
        <f t="shared" si="5"/>
        <v>0.77695697672529052</v>
      </c>
      <c r="D29" s="315">
        <f t="shared" si="0"/>
        <v>2.8958214171576788</v>
      </c>
      <c r="E29" s="310">
        <f t="shared" si="1"/>
        <v>0.62389369828174979</v>
      </c>
      <c r="F29" s="311">
        <f>'Phase diagram'!F32</f>
        <v>36.02109683451485</v>
      </c>
      <c r="G29" s="312">
        <f>$B$12*EXP($G$19*(1-E29))</f>
        <v>3026.1846018839497</v>
      </c>
      <c r="H29" s="310">
        <f t="shared" si="7"/>
        <v>0.77690590661222236</v>
      </c>
      <c r="I29" s="316">
        <f t="shared" si="8"/>
        <v>-37.098216265141211</v>
      </c>
      <c r="J29" s="316">
        <f t="shared" si="9"/>
        <v>38.951751764636946</v>
      </c>
      <c r="K29" s="316">
        <f t="shared" si="10"/>
        <v>-5.5014463483305134</v>
      </c>
      <c r="L29" s="317">
        <f t="shared" si="11"/>
        <v>36.02109683451485</v>
      </c>
      <c r="M29" s="310">
        <f t="shared" si="12"/>
        <v>0.77690590661222236</v>
      </c>
      <c r="N29" s="316">
        <f t="shared" si="13"/>
        <v>-37.098216265141211</v>
      </c>
      <c r="O29" s="316">
        <f t="shared" si="14"/>
        <v>38.951751764636946</v>
      </c>
      <c r="P29" s="316">
        <f t="shared" si="15"/>
        <v>-5.5014463483305134</v>
      </c>
      <c r="Q29" s="316">
        <f t="shared" si="16"/>
        <v>36.02109683451485</v>
      </c>
      <c r="R29" s="314">
        <f t="shared" si="17"/>
        <v>0.77690590661222236</v>
      </c>
      <c r="S29" s="321">
        <f t="shared" si="2"/>
        <v>-6.5730940834590459E-3</v>
      </c>
      <c r="T29" s="310">
        <f t="shared" si="3"/>
        <v>0.99993426905916538</v>
      </c>
      <c r="U29" s="318">
        <f>[1]T7!B13</f>
        <v>2706.6876159359672</v>
      </c>
      <c r="V29" s="319">
        <f t="shared" si="4"/>
        <v>72.175161998948511</v>
      </c>
      <c r="W29" s="314"/>
      <c r="X29" s="314"/>
    </row>
    <row r="30" spans="1:27" s="315" customFormat="1" x14ac:dyDescent="0.2">
      <c r="A30" s="313" t="s">
        <v>59</v>
      </c>
      <c r="B30" s="312">
        <f>'Phase diagram'!B33</f>
        <v>357.16030193407204</v>
      </c>
      <c r="C30" s="314">
        <f t="shared" si="5"/>
        <v>1.1151690481244323</v>
      </c>
      <c r="D30" s="315">
        <f t="shared" si="0"/>
        <v>2.799863239516998</v>
      </c>
      <c r="E30" s="310">
        <f t="shared" si="1"/>
        <v>0.64527606492153933</v>
      </c>
      <c r="F30" s="312">
        <f>'Phase diagram'!F33</f>
        <v>25.743992092727716</v>
      </c>
      <c r="G30" s="312">
        <f t="shared" si="6"/>
        <v>2971.3390488420664</v>
      </c>
      <c r="H30" s="310">
        <f t="shared" si="7"/>
        <v>1.1150469625112718</v>
      </c>
      <c r="I30" s="320">
        <f t="shared" si="8"/>
        <v>-26.773415309834753</v>
      </c>
      <c r="J30" s="320">
        <f t="shared" si="9"/>
        <v>26.647658338534146</v>
      </c>
      <c r="K30" s="320">
        <f t="shared" si="10"/>
        <v>-3.7636474873816046</v>
      </c>
      <c r="L30" s="317">
        <f t="shared" si="11"/>
        <v>25.743992092727712</v>
      </c>
      <c r="M30" s="310">
        <f t="shared" si="12"/>
        <v>1.1150469625112718</v>
      </c>
      <c r="N30" s="320">
        <f t="shared" si="13"/>
        <v>-26.773415309834753</v>
      </c>
      <c r="O30" s="320">
        <f t="shared" si="14"/>
        <v>26.647658338534146</v>
      </c>
      <c r="P30" s="320">
        <f t="shared" si="15"/>
        <v>-3.7636474873816046</v>
      </c>
      <c r="Q30" s="317">
        <f t="shared" si="16"/>
        <v>25.743992092727712</v>
      </c>
      <c r="R30" s="314">
        <f t="shared" si="17"/>
        <v>1.1150469625112718</v>
      </c>
      <c r="S30" s="321">
        <f t="shared" si="2"/>
        <v>-1.0947722532816733E-2</v>
      </c>
      <c r="T30" s="310">
        <f t="shared" si="3"/>
        <v>0.99989052277467183</v>
      </c>
      <c r="U30" s="318">
        <f>[1]T8!B13</f>
        <v>2657.742605235363</v>
      </c>
      <c r="V30" s="319">
        <f t="shared" si="4"/>
        <v>84.010301934072061</v>
      </c>
      <c r="W30" s="314"/>
      <c r="X30" s="314"/>
    </row>
    <row r="31" spans="1:27" s="315" customFormat="1" x14ac:dyDescent="0.2">
      <c r="A31" s="313" t="s">
        <v>60</v>
      </c>
      <c r="B31" s="312">
        <f>'Phase diagram'!B34</f>
        <v>369.40106113097517</v>
      </c>
      <c r="C31" s="314">
        <f t="shared" si="5"/>
        <v>1.5751790376191113</v>
      </c>
      <c r="D31" s="315">
        <f t="shared" si="0"/>
        <v>2.7070848062492141</v>
      </c>
      <c r="E31" s="310">
        <f t="shared" si="1"/>
        <v>0.66739125768920537</v>
      </c>
      <c r="F31" s="312">
        <f>'Phase diagram'!F34</f>
        <v>18.658308586849238</v>
      </c>
      <c r="G31" s="312">
        <f t="shared" si="6"/>
        <v>2915.6592732748136</v>
      </c>
      <c r="H31" s="310">
        <f t="shared" si="7"/>
        <v>1.5749281724337334</v>
      </c>
      <c r="I31" s="320">
        <f t="shared" si="8"/>
        <v>-19.643008207413125</v>
      </c>
      <c r="J31" s="320">
        <f t="shared" si="9"/>
        <v>18.512966650213965</v>
      </c>
      <c r="K31" s="320">
        <f t="shared" si="10"/>
        <v>-2.6147243233114055</v>
      </c>
      <c r="L31" s="317">
        <f t="shared" si="11"/>
        <v>18.658308586849234</v>
      </c>
      <c r="M31" s="310">
        <f t="shared" si="12"/>
        <v>1.5749281724337336</v>
      </c>
      <c r="N31" s="320">
        <f t="shared" si="13"/>
        <v>-19.643008207413121</v>
      </c>
      <c r="O31" s="320">
        <f t="shared" si="14"/>
        <v>18.512966650213961</v>
      </c>
      <c r="P31" s="320">
        <f t="shared" si="15"/>
        <v>-2.614724323311405</v>
      </c>
      <c r="Q31" s="317">
        <f t="shared" si="16"/>
        <v>18.658308586849234</v>
      </c>
      <c r="R31" s="314">
        <f t="shared" si="17"/>
        <v>1.5749281724337336</v>
      </c>
      <c r="S31" s="321">
        <f t="shared" si="2"/>
        <v>-1.5926137879337849E-2</v>
      </c>
      <c r="T31" s="310">
        <f t="shared" si="3"/>
        <v>0.99984073862120659</v>
      </c>
      <c r="U31" s="318">
        <f>[1]T9!B13</f>
        <v>2608.6756092619103</v>
      </c>
      <c r="V31" s="319">
        <f t="shared" si="4"/>
        <v>96.251061130975188</v>
      </c>
      <c r="W31" s="314"/>
      <c r="X31" s="314"/>
    </row>
    <row r="32" spans="1:27" s="305" customFormat="1" x14ac:dyDescent="0.2">
      <c r="A32" s="304" t="s">
        <v>61</v>
      </c>
      <c r="B32" s="302">
        <f>'Phase diagram'!B35</f>
        <v>382.06134115621563</v>
      </c>
      <c r="C32" s="303">
        <f>10^($L$2-$L$3/($L$4+B32-273.15)+$R$1*W32^$L$5+$R$2*W32^8+$R$3*W32^12)</f>
        <v>2.1951194728688952</v>
      </c>
      <c r="D32" s="305">
        <f t="shared" si="0"/>
        <v>2.6173807508860842</v>
      </c>
      <c r="E32" s="301">
        <f t="shared" si="1"/>
        <v>0.69026439233281955</v>
      </c>
      <c r="F32" s="302">
        <f>'Phase diagram'!F35</f>
        <v>13.672999001867636</v>
      </c>
      <c r="G32" s="302">
        <f t="shared" si="6"/>
        <v>2859.168611395437</v>
      </c>
      <c r="H32" s="301">
        <f t="shared" si="7"/>
        <v>2.1946162023717752</v>
      </c>
      <c r="I32" s="306">
        <f t="shared" si="8"/>
        <v>-14.615990892840586</v>
      </c>
      <c r="J32" s="306">
        <f t="shared" si="9"/>
        <v>13.028103083835177</v>
      </c>
      <c r="K32" s="306">
        <f t="shared" si="10"/>
        <v>-1.8400561435418814</v>
      </c>
      <c r="L32" s="307">
        <f t="shared" si="11"/>
        <v>13.672999001867638</v>
      </c>
      <c r="M32" s="301">
        <f t="shared" si="12"/>
        <v>2.1946162023717752</v>
      </c>
      <c r="N32" s="306">
        <f t="shared" si="13"/>
        <v>-14.615990892840586</v>
      </c>
      <c r="O32" s="306">
        <f t="shared" si="14"/>
        <v>13.028103083835177</v>
      </c>
      <c r="P32" s="306">
        <f t="shared" si="15"/>
        <v>-1.8400561435418814</v>
      </c>
      <c r="Q32" s="307">
        <f t="shared" si="16"/>
        <v>13.672999001867636</v>
      </c>
      <c r="R32" s="303">
        <f t="shared" si="17"/>
        <v>2.1946162023717752</v>
      </c>
      <c r="S32" s="322">
        <f t="shared" si="2"/>
        <v>-2.2926792975974594E-2</v>
      </c>
      <c r="T32" s="301">
        <f t="shared" si="3"/>
        <v>0.99977073207024025</v>
      </c>
      <c r="U32" s="308">
        <f>[1]T10!B13</f>
        <v>2559.4863572115314</v>
      </c>
      <c r="V32" s="309">
        <f t="shared" si="4"/>
        <v>108.91134115621566</v>
      </c>
      <c r="W32" s="303">
        <f>(B32-$R$4-273.15)/$B$3</f>
        <v>0.15160133903561998</v>
      </c>
      <c r="X32" s="303"/>
    </row>
    <row r="33" spans="1:24" s="305" customFormat="1" x14ac:dyDescent="0.2">
      <c r="A33" s="304" t="s">
        <v>62</v>
      </c>
      <c r="B33" s="302">
        <f>'Phase diagram'!B36</f>
        <v>395.15552001711933</v>
      </c>
      <c r="C33" s="303">
        <f t="shared" ref="C33:C44" si="18">10^($L$2-$L$3/($L$4+B33-273.15)+$R$1*W33^$L$5+$R$2*W33^8+$R$3*W33^12)</f>
        <v>3.0136125409209025</v>
      </c>
      <c r="D33" s="305">
        <f t="shared" si="0"/>
        <v>2.5306491984641313</v>
      </c>
      <c r="E33" s="301">
        <f t="shared" si="1"/>
        <v>0.71392144537871605</v>
      </c>
      <c r="F33" s="302">
        <f>'Phase diagram'!F36</f>
        <v>10.142480102312053</v>
      </c>
      <c r="G33" s="302">
        <f t="shared" si="6"/>
        <v>2801.8930316707051</v>
      </c>
      <c r="H33" s="301">
        <f t="shared" si="7"/>
        <v>3.0127438208991522</v>
      </c>
      <c r="I33" s="306">
        <f t="shared" si="8"/>
        <v>-11.046660280599273</v>
      </c>
      <c r="J33" s="306">
        <f t="shared" si="9"/>
        <v>9.3001370120957763</v>
      </c>
      <c r="K33" s="306">
        <f t="shared" si="10"/>
        <v>-1.3135276973760677</v>
      </c>
      <c r="L33" s="307">
        <f t="shared" si="11"/>
        <v>10.142480102312049</v>
      </c>
      <c r="M33" s="301">
        <f t="shared" si="12"/>
        <v>3.012743820899153</v>
      </c>
      <c r="N33" s="306">
        <f t="shared" si="13"/>
        <v>-11.046660280599269</v>
      </c>
      <c r="O33" s="306">
        <f t="shared" si="14"/>
        <v>9.3001370120957727</v>
      </c>
      <c r="P33" s="306">
        <f t="shared" si="15"/>
        <v>-1.3135276973760674</v>
      </c>
      <c r="Q33" s="307">
        <f t="shared" si="16"/>
        <v>10.142480102312048</v>
      </c>
      <c r="R33" s="303">
        <f t="shared" si="17"/>
        <v>3.012743820899153</v>
      </c>
      <c r="S33" s="322">
        <f t="shared" si="2"/>
        <v>-2.8826533270397157E-2</v>
      </c>
      <c r="T33" s="301">
        <f t="shared" si="3"/>
        <v>0.99971173466729601</v>
      </c>
      <c r="U33" s="308">
        <f>[1]T11!B13</f>
        <v>2510.1699846282795</v>
      </c>
      <c r="V33" s="309">
        <f t="shared" si="4"/>
        <v>122.00552001711935</v>
      </c>
      <c r="W33" s="303">
        <f t="shared" ref="W33:W44" si="19">(B33-$R$4-273.15)/$B$3</f>
        <v>0.17525839208151645</v>
      </c>
      <c r="X33" s="303"/>
    </row>
    <row r="34" spans="1:24" s="305" customFormat="1" x14ac:dyDescent="0.2">
      <c r="A34" s="304" t="s">
        <v>63</v>
      </c>
      <c r="B34" s="302">
        <f>'Phase diagram'!B37</f>
        <v>408.69846849057387</v>
      </c>
      <c r="C34" s="303">
        <f t="shared" si="18"/>
        <v>4.0833336596706147</v>
      </c>
      <c r="D34" s="305">
        <f t="shared" si="0"/>
        <v>2.4467916498274418</v>
      </c>
      <c r="E34" s="301">
        <f t="shared" si="1"/>
        <v>0.73838928363247314</v>
      </c>
      <c r="F34" s="302">
        <f>'Phase diagram'!F37</f>
        <v>7.5976665488940327</v>
      </c>
      <c r="G34" s="302">
        <f t="shared" si="6"/>
        <v>2743.861216589004</v>
      </c>
      <c r="H34" s="301">
        <f t="shared" si="7"/>
        <v>4.0819750999922455</v>
      </c>
      <c r="I34" s="306">
        <f t="shared" si="8"/>
        <v>-8.4659514002135055</v>
      </c>
      <c r="J34" s="306">
        <f t="shared" si="9"/>
        <v>6.7218960169409572</v>
      </c>
      <c r="K34" s="306">
        <f t="shared" si="10"/>
        <v>-0.94938349678615352</v>
      </c>
      <c r="L34" s="307">
        <f t="shared" si="11"/>
        <v>7.5976665488940327</v>
      </c>
      <c r="M34" s="301">
        <f t="shared" si="12"/>
        <v>4.0819750999922455</v>
      </c>
      <c r="N34" s="306">
        <f t="shared" si="13"/>
        <v>-8.4659514002135055</v>
      </c>
      <c r="O34" s="306">
        <f t="shared" si="14"/>
        <v>6.7218960169409572</v>
      </c>
      <c r="P34" s="306">
        <f t="shared" si="15"/>
        <v>-0.94938349678615352</v>
      </c>
      <c r="Q34" s="307">
        <f t="shared" si="16"/>
        <v>7.5976665488940327</v>
      </c>
      <c r="R34" s="303">
        <f t="shared" si="17"/>
        <v>4.0819750999922455</v>
      </c>
      <c r="S34" s="322">
        <f t="shared" si="2"/>
        <v>-3.3270846607199984E-2</v>
      </c>
      <c r="T34" s="301">
        <f t="shared" si="3"/>
        <v>0.99966729153392797</v>
      </c>
      <c r="U34" s="308">
        <f>[1]T12!B13</f>
        <v>2460.7135856545074</v>
      </c>
      <c r="V34" s="309">
        <f t="shared" si="4"/>
        <v>135.5484684905739</v>
      </c>
      <c r="W34" s="303">
        <f t="shared" si="19"/>
        <v>0.19972623033527354</v>
      </c>
    </row>
    <row r="35" spans="1:24" s="305" customFormat="1" x14ac:dyDescent="0.2">
      <c r="A35" s="304" t="s">
        <v>64</v>
      </c>
      <c r="B35" s="302">
        <f>'Phase diagram'!B38</f>
        <v>422.70556701144949</v>
      </c>
      <c r="C35" s="303">
        <f t="shared" si="18"/>
        <v>5.4653241467681433</v>
      </c>
      <c r="D35" s="305">
        <f t="shared" si="0"/>
        <v>2.365712869764296</v>
      </c>
      <c r="E35" s="301">
        <f t="shared" si="1"/>
        <v>0.76369569469096565</v>
      </c>
      <c r="F35" s="302">
        <f>'Phase diagram'!F38</f>
        <v>5.738842149331612</v>
      </c>
      <c r="G35" s="302">
        <f t="shared" si="6"/>
        <v>2685.1046383717926</v>
      </c>
      <c r="H35" s="301">
        <f t="shared" si="7"/>
        <v>5.463447582949426</v>
      </c>
      <c r="I35" s="306">
        <f t="shared" si="8"/>
        <v>-6.5741529565611065</v>
      </c>
      <c r="J35" s="306">
        <f t="shared" si="9"/>
        <v>4.9146708147280274</v>
      </c>
      <c r="K35" s="306">
        <f t="shared" si="10"/>
        <v>-0.69413560576956668</v>
      </c>
      <c r="L35" s="307">
        <f t="shared" si="11"/>
        <v>5.738842149331612</v>
      </c>
      <c r="M35" s="301">
        <f t="shared" si="12"/>
        <v>5.463447582949426</v>
      </c>
      <c r="N35" s="306">
        <f t="shared" si="13"/>
        <v>-6.5741529565611065</v>
      </c>
      <c r="O35" s="306">
        <f t="shared" si="14"/>
        <v>4.9146708147280274</v>
      </c>
      <c r="P35" s="306">
        <f t="shared" si="15"/>
        <v>-0.69413560576956668</v>
      </c>
      <c r="Q35" s="307">
        <f t="shared" si="16"/>
        <v>5.738842149331612</v>
      </c>
      <c r="R35" s="303">
        <f t="shared" si="17"/>
        <v>5.463447582949426</v>
      </c>
      <c r="S35" s="322">
        <f t="shared" si="2"/>
        <v>-3.4335819218096017E-2</v>
      </c>
      <c r="T35" s="301">
        <f t="shared" si="3"/>
        <v>0.99965664180781899</v>
      </c>
      <c r="U35" s="308">
        <f>[1]T13!B13</f>
        <v>2411.0919145212806</v>
      </c>
      <c r="V35" s="309">
        <f t="shared" si="4"/>
        <v>149.55556701144951</v>
      </c>
      <c r="W35" s="303">
        <f t="shared" si="19"/>
        <v>0.22503264139376605</v>
      </c>
    </row>
    <row r="36" spans="1:24" s="305" customFormat="1" x14ac:dyDescent="0.2">
      <c r="A36" s="304" t="s">
        <v>65</v>
      </c>
      <c r="B36" s="302">
        <f>'Phase diagram'!B39</f>
        <v>437.19272313982765</v>
      </c>
      <c r="C36" s="303">
        <f t="shared" si="18"/>
        <v>7.2322144341739794</v>
      </c>
      <c r="D36" s="305">
        <f t="shared" si="0"/>
        <v>2.2873207788505878</v>
      </c>
      <c r="E36" s="301">
        <f t="shared" si="1"/>
        <v>0.78986941850014025</v>
      </c>
      <c r="F36" s="301">
        <f>'Phase diagram'!F39</f>
        <v>4.3635892010039035</v>
      </c>
      <c r="G36" s="302">
        <f t="shared" si="6"/>
        <v>2625.6576275781517</v>
      </c>
      <c r="H36" s="301">
        <f t="shared" si="7"/>
        <v>7.2300930049538747</v>
      </c>
      <c r="I36" s="306">
        <f t="shared" si="8"/>
        <v>-5.1688951450470659</v>
      </c>
      <c r="J36" s="306">
        <f t="shared" si="9"/>
        <v>3.6315682602964006</v>
      </c>
      <c r="K36" s="306">
        <f t="shared" si="10"/>
        <v>-0.51291346445832542</v>
      </c>
      <c r="L36" s="307">
        <f t="shared" si="11"/>
        <v>4.3635892010039035</v>
      </c>
      <c r="M36" s="301">
        <f t="shared" si="12"/>
        <v>7.2300930049538747</v>
      </c>
      <c r="N36" s="306">
        <f t="shared" si="13"/>
        <v>-5.1688951450470659</v>
      </c>
      <c r="O36" s="306">
        <f t="shared" si="14"/>
        <v>3.6315682602964006</v>
      </c>
      <c r="P36" s="306">
        <f t="shared" si="15"/>
        <v>-0.51291346445832542</v>
      </c>
      <c r="Q36" s="307">
        <f t="shared" si="16"/>
        <v>4.3635892010039035</v>
      </c>
      <c r="R36" s="303">
        <f t="shared" si="17"/>
        <v>7.2300930049538747</v>
      </c>
      <c r="S36" s="322">
        <f t="shared" si="2"/>
        <v>-2.9333051991383693E-2</v>
      </c>
      <c r="T36" s="301">
        <f t="shared" si="3"/>
        <v>0.99970666948008613</v>
      </c>
      <c r="U36" s="308">
        <f>[1]T14!B13</f>
        <v>2361.2620010163641</v>
      </c>
      <c r="V36" s="309">
        <f t="shared" si="4"/>
        <v>164.04272313982767</v>
      </c>
      <c r="W36" s="303">
        <f t="shared" si="19"/>
        <v>0.25120636520294071</v>
      </c>
    </row>
    <row r="37" spans="1:24" s="305" customFormat="1" x14ac:dyDescent="0.2">
      <c r="A37" s="304" t="s">
        <v>66</v>
      </c>
      <c r="B37" s="302">
        <f>'Phase diagram'!B40</f>
        <v>452.1763896268742</v>
      </c>
      <c r="C37" s="303">
        <f t="shared" si="18"/>
        <v>9.4706375657707227</v>
      </c>
      <c r="D37" s="305">
        <f t="shared" si="0"/>
        <v>2.2115263488772103</v>
      </c>
      <c r="E37" s="301">
        <f t="shared" si="1"/>
        <v>0.81694017999435264</v>
      </c>
      <c r="F37" s="301">
        <f>'Phase diagram'!F40</f>
        <v>3.3331985696224531</v>
      </c>
      <c r="G37" s="302">
        <f t="shared" si="6"/>
        <v>2565.5574334923122</v>
      </c>
      <c r="H37" s="301">
        <f t="shared" si="7"/>
        <v>9.4692292533687059</v>
      </c>
      <c r="I37" s="306">
        <f t="shared" si="8"/>
        <v>-4.1115976756793025</v>
      </c>
      <c r="J37" s="306">
        <f t="shared" si="9"/>
        <v>2.7093624674675687</v>
      </c>
      <c r="K37" s="306">
        <f t="shared" si="10"/>
        <v>-0.38266346384157629</v>
      </c>
      <c r="L37" s="307">
        <f t="shared" si="11"/>
        <v>3.3331985696224509</v>
      </c>
      <c r="M37" s="301">
        <f t="shared" si="12"/>
        <v>9.4692292533687095</v>
      </c>
      <c r="N37" s="306">
        <f t="shared" si="13"/>
        <v>-4.1115976756793016</v>
      </c>
      <c r="O37" s="306">
        <f t="shared" si="14"/>
        <v>2.7093624674675683</v>
      </c>
      <c r="P37" s="306">
        <f t="shared" si="15"/>
        <v>-0.38266346384157612</v>
      </c>
      <c r="Q37" s="307">
        <f t="shared" si="16"/>
        <v>3.3331985696224504</v>
      </c>
      <c r="R37" s="303">
        <f t="shared" si="17"/>
        <v>9.4692292533687095</v>
      </c>
      <c r="S37" s="322">
        <f t="shared" si="2"/>
        <v>-1.4870301943590578E-2</v>
      </c>
      <c r="T37" s="301">
        <f t="shared" si="3"/>
        <v>0.99985129698056407</v>
      </c>
      <c r="U37" s="308">
        <f>[1]T15!B13</f>
        <v>2311.1562525596523</v>
      </c>
      <c r="V37" s="309">
        <f t="shared" si="4"/>
        <v>179.02638962687422</v>
      </c>
      <c r="W37" s="303">
        <f t="shared" si="19"/>
        <v>0.27827712669715304</v>
      </c>
    </row>
    <row r="38" spans="1:24" s="305" customFormat="1" x14ac:dyDescent="0.2">
      <c r="A38" s="304" t="s">
        <v>67</v>
      </c>
      <c r="B38" s="302">
        <f>'Phase diagram'!B41</f>
        <v>467.6735830998748</v>
      </c>
      <c r="C38" s="303">
        <f t="shared" si="18"/>
        <v>12.284868054237537</v>
      </c>
      <c r="D38" s="305">
        <f t="shared" si="0"/>
        <v>2.138243501742632</v>
      </c>
      <c r="E38" s="301">
        <f t="shared" si="1"/>
        <v>0.84493872285433569</v>
      </c>
      <c r="F38" s="301">
        <f>'Phase diagram'!F41</f>
        <v>2.5512223061319816</v>
      </c>
      <c r="G38" s="302">
        <f t="shared" si="6"/>
        <v>2504.8442751277871</v>
      </c>
      <c r="H38" s="301">
        <f t="shared" si="7"/>
        <v>12.286424732364523</v>
      </c>
      <c r="I38" s="306">
        <f t="shared" si="8"/>
        <v>-3.3060936031929282</v>
      </c>
      <c r="J38" s="306">
        <f t="shared" si="9"/>
        <v>2.0387088430449607</v>
      </c>
      <c r="K38" s="306">
        <f t="shared" si="10"/>
        <v>-0.28794205168614101</v>
      </c>
      <c r="L38" s="307">
        <f t="shared" si="11"/>
        <v>2.5512223061319821</v>
      </c>
      <c r="M38" s="301">
        <f t="shared" si="12"/>
        <v>12.286424732364521</v>
      </c>
      <c r="N38" s="306">
        <f t="shared" si="13"/>
        <v>-3.3060936031929287</v>
      </c>
      <c r="O38" s="306">
        <f t="shared" si="14"/>
        <v>2.0387088430449611</v>
      </c>
      <c r="P38" s="306">
        <f t="shared" si="15"/>
        <v>-0.28794205168614107</v>
      </c>
      <c r="Q38" s="307">
        <f t="shared" si="16"/>
        <v>2.5512223061319821</v>
      </c>
      <c r="R38" s="303">
        <f t="shared" si="17"/>
        <v>12.286424732364521</v>
      </c>
      <c r="S38" s="322">
        <f t="shared" si="2"/>
        <v>1.267150872204703E-2</v>
      </c>
      <c r="T38" s="301">
        <f t="shared" si="3"/>
        <v>1.0001267150872204</v>
      </c>
      <c r="U38" s="308">
        <f>[1]T16!B13</f>
        <v>2260.6732091358817</v>
      </c>
      <c r="V38" s="309">
        <f t="shared" si="4"/>
        <v>194.52358309987483</v>
      </c>
      <c r="W38" s="303">
        <f t="shared" si="19"/>
        <v>0.30627566955713609</v>
      </c>
    </row>
    <row r="39" spans="1:24" s="305" customFormat="1" x14ac:dyDescent="0.2">
      <c r="A39" s="304" t="s">
        <v>68</v>
      </c>
      <c r="B39" s="302">
        <f>'Phase diagram'!B42</f>
        <v>483.70190338765184</v>
      </c>
      <c r="C39" s="303">
        <f t="shared" si="18"/>
        <v>15.802389576581332</v>
      </c>
      <c r="D39" s="305">
        <f t="shared" si="0"/>
        <v>2.0673890116958518</v>
      </c>
      <c r="E39" s="301">
        <f t="shared" si="1"/>
        <v>0.87389684442213522</v>
      </c>
      <c r="F39" s="301">
        <f>'Phase diagram'!F42</f>
        <v>1.9495534084274722</v>
      </c>
      <c r="G39" s="302">
        <f t="shared" si="6"/>
        <v>2443.5613816303667</v>
      </c>
      <c r="H39" s="301">
        <f t="shared" si="7"/>
        <v>15.811133075350835</v>
      </c>
      <c r="I39" s="306">
        <f t="shared" si="8"/>
        <v>-2.6848529543178743</v>
      </c>
      <c r="J39" s="306">
        <f t="shared" si="9"/>
        <v>1.5454688604448079</v>
      </c>
      <c r="K39" s="306">
        <f t="shared" si="10"/>
        <v>-0.21827809106320062</v>
      </c>
      <c r="L39" s="307">
        <f t="shared" si="11"/>
        <v>1.9495534084274719</v>
      </c>
      <c r="M39" s="301">
        <f t="shared" si="12"/>
        <v>15.811133075350838</v>
      </c>
      <c r="N39" s="306">
        <f t="shared" si="13"/>
        <v>-2.6848529543178739</v>
      </c>
      <c r="O39" s="306">
        <f t="shared" si="14"/>
        <v>1.5454688604448077</v>
      </c>
      <c r="P39" s="306">
        <f t="shared" si="15"/>
        <v>-0.21827809106320056</v>
      </c>
      <c r="Q39" s="307">
        <f t="shared" si="16"/>
        <v>1.9495534084274713</v>
      </c>
      <c r="R39" s="303">
        <f t="shared" si="17"/>
        <v>15.811133075350842</v>
      </c>
      <c r="S39" s="322">
        <f t="shared" si="2"/>
        <v>5.5330231716775841E-2</v>
      </c>
      <c r="T39" s="301">
        <f t="shared" si="3"/>
        <v>1.0005533023171678</v>
      </c>
      <c r="U39" s="308">
        <f>[1]T17!$B$13</f>
        <v>2209.6641429863635</v>
      </c>
      <c r="V39" s="309">
        <f t="shared" si="4"/>
        <v>210.55190338765186</v>
      </c>
      <c r="W39" s="303">
        <f t="shared" si="19"/>
        <v>0.33523379112493562</v>
      </c>
    </row>
    <row r="40" spans="1:24" s="305" customFormat="1" x14ac:dyDescent="0.2">
      <c r="A40" s="304" t="s">
        <v>69</v>
      </c>
      <c r="B40" s="302">
        <f>'Phase diagram'!B43</f>
        <v>500.27955350831081</v>
      </c>
      <c r="C40" s="303">
        <f t="shared" si="18"/>
        <v>20.181889915626428</v>
      </c>
      <c r="D40" s="305">
        <f t="shared" si="0"/>
        <v>1.9988824108187098</v>
      </c>
      <c r="E40" s="301">
        <f t="shared" si="1"/>
        <v>0.90384743181266636</v>
      </c>
      <c r="F40" s="301">
        <f>'Phase diagram'!F43</f>
        <v>1.4791099686377305</v>
      </c>
      <c r="G40" s="302">
        <f t="shared" si="6"/>
        <v>2381.755020817021</v>
      </c>
      <c r="H40" s="301">
        <f t="shared" si="7"/>
        <v>20.204301785615101</v>
      </c>
      <c r="I40" s="306">
        <f t="shared" si="8"/>
        <v>-2.1999967220891503</v>
      </c>
      <c r="J40" s="306">
        <f t="shared" si="9"/>
        <v>1.1788355995121613</v>
      </c>
      <c r="K40" s="306">
        <f t="shared" si="10"/>
        <v>-0.16649574179372312</v>
      </c>
      <c r="L40" s="307">
        <f t="shared" si="11"/>
        <v>1.4791099686377311</v>
      </c>
      <c r="M40" s="301">
        <f t="shared" si="12"/>
        <v>20.204301785615097</v>
      </c>
      <c r="N40" s="306">
        <f t="shared" si="13"/>
        <v>-2.1999967220891503</v>
      </c>
      <c r="O40" s="306">
        <f t="shared" si="14"/>
        <v>1.1788355995121615</v>
      </c>
      <c r="P40" s="306">
        <f t="shared" si="15"/>
        <v>-0.16649574179372312</v>
      </c>
      <c r="Q40" s="307">
        <f t="shared" si="16"/>
        <v>1.4791099686377314</v>
      </c>
      <c r="R40" s="303">
        <f t="shared" si="17"/>
        <v>20.204301785615097</v>
      </c>
      <c r="S40" s="322">
        <f t="shared" si="2"/>
        <v>0.1110494115385916</v>
      </c>
      <c r="T40" s="301">
        <f t="shared" si="3"/>
        <v>1.0011104941153859</v>
      </c>
      <c r="U40" s="308">
        <f>[1]T18!B13</f>
        <v>2157.9113977474185</v>
      </c>
      <c r="V40" s="309">
        <f t="shared" si="4"/>
        <v>227.12955350831083</v>
      </c>
      <c r="W40" s="303">
        <f t="shared" si="19"/>
        <v>0.36518437851546676</v>
      </c>
    </row>
    <row r="41" spans="1:24" s="305" customFormat="1" x14ac:dyDescent="0.2">
      <c r="A41" s="304" t="s">
        <v>70</v>
      </c>
      <c r="B41" s="302">
        <f>'Phase diagram'!B44</f>
        <v>517.42536034201612</v>
      </c>
      <c r="C41" s="303">
        <f t="shared" si="18"/>
        <v>25.622303004294665</v>
      </c>
      <c r="D41" s="305">
        <f t="shared" si="0"/>
        <v>1.9326458976402006</v>
      </c>
      <c r="E41" s="301">
        <f t="shared" si="1"/>
        <v>0.93482449926290179</v>
      </c>
      <c r="F41" s="301">
        <f>'Phase diagram'!F44</f>
        <v>1.103150988067654</v>
      </c>
      <c r="G41" s="302">
        <f t="shared" si="6"/>
        <v>2319.4745145502652</v>
      </c>
      <c r="H41" s="301">
        <f t="shared" si="7"/>
        <v>25.664933523627237</v>
      </c>
      <c r="I41" s="306">
        <f t="shared" si="8"/>
        <v>-1.8175084388682512</v>
      </c>
      <c r="J41" s="306">
        <f t="shared" si="9"/>
        <v>0.90375239523412287</v>
      </c>
      <c r="K41" s="306">
        <f t="shared" si="10"/>
        <v>-0.1276436896753278</v>
      </c>
      <c r="L41" s="307">
        <f t="shared" si="11"/>
        <v>1.103150988067654</v>
      </c>
      <c r="M41" s="301">
        <f t="shared" si="12"/>
        <v>25.664933523627237</v>
      </c>
      <c r="N41" s="306">
        <f t="shared" si="13"/>
        <v>-1.8175084388682512</v>
      </c>
      <c r="O41" s="306">
        <f t="shared" si="14"/>
        <v>0.90375239523412287</v>
      </c>
      <c r="P41" s="306">
        <f t="shared" si="15"/>
        <v>-0.1276436896753278</v>
      </c>
      <c r="Q41" s="307">
        <f t="shared" si="16"/>
        <v>1.103150988067654</v>
      </c>
      <c r="R41" s="303">
        <f t="shared" si="17"/>
        <v>25.664933523627237</v>
      </c>
      <c r="S41" s="322">
        <f t="shared" si="2"/>
        <v>0.1663805135917211</v>
      </c>
      <c r="T41" s="301">
        <f t="shared" si="3"/>
        <v>1.0016638051359172</v>
      </c>
      <c r="U41" s="308">
        <f>[1]T19!B13</f>
        <v>2105.0870048995707</v>
      </c>
      <c r="V41" s="309">
        <f t="shared" si="4"/>
        <v>244.27536034201614</v>
      </c>
      <c r="W41" s="303">
        <f t="shared" si="19"/>
        <v>0.39616144596570213</v>
      </c>
    </row>
    <row r="42" spans="1:24" s="305" customFormat="1" x14ac:dyDescent="0.2">
      <c r="A42" s="304" t="s">
        <v>71</v>
      </c>
      <c r="B42" s="302">
        <f>'Phase diagram'!B45</f>
        <v>535.15879601227323</v>
      </c>
      <c r="C42" s="303">
        <f t="shared" si="18"/>
        <v>32.364085574389165</v>
      </c>
      <c r="D42" s="305">
        <f t="shared" si="0"/>
        <v>1.8686042487790226</v>
      </c>
      <c r="E42" s="301">
        <f t="shared" si="1"/>
        <v>0.96686322676110792</v>
      </c>
      <c r="F42" s="301">
        <f>'Phase diagram'!F45</f>
        <v>0.78999812734424524</v>
      </c>
      <c r="G42" s="302">
        <f t="shared" si="6"/>
        <v>2256.7722396193253</v>
      </c>
      <c r="H42" s="301">
        <f t="shared" si="7"/>
        <v>32.42529728001908</v>
      </c>
      <c r="I42" s="306">
        <f t="shared" si="8"/>
        <v>-1.5134941617648519</v>
      </c>
      <c r="J42" s="306">
        <f t="shared" si="9"/>
        <v>0.69599122565638893</v>
      </c>
      <c r="K42" s="306">
        <f t="shared" si="10"/>
        <v>-9.830003050937515E-2</v>
      </c>
      <c r="L42" s="307">
        <f t="shared" si="11"/>
        <v>0.78999812734424535</v>
      </c>
      <c r="M42" s="301">
        <f t="shared" si="12"/>
        <v>32.425297280019095</v>
      </c>
      <c r="N42" s="306">
        <f t="shared" si="13"/>
        <v>-1.5134941617648514</v>
      </c>
      <c r="O42" s="306">
        <f t="shared" si="14"/>
        <v>0.6959912256563886</v>
      </c>
      <c r="P42" s="306">
        <f t="shared" si="15"/>
        <v>-9.8300030509375094E-2</v>
      </c>
      <c r="Q42" s="307">
        <f t="shared" si="16"/>
        <v>0.78999812734424513</v>
      </c>
      <c r="R42" s="303">
        <f t="shared" si="17"/>
        <v>32.425297280019095</v>
      </c>
      <c r="S42" s="322">
        <f t="shared" si="2"/>
        <v>0.18913466746722699</v>
      </c>
      <c r="T42" s="301">
        <f t="shared" si="3"/>
        <v>1.0018913466746722</v>
      </c>
      <c r="U42" s="308">
        <f>[1]T20!B13</f>
        <v>2050.6460722230845</v>
      </c>
      <c r="V42" s="309">
        <f t="shared" si="4"/>
        <v>262.00879601227325</v>
      </c>
      <c r="W42" s="303">
        <f t="shared" si="19"/>
        <v>0.42820017346390832</v>
      </c>
    </row>
    <row r="43" spans="1:24" s="305" customFormat="1" x14ac:dyDescent="0.2">
      <c r="A43" s="304" t="s">
        <v>72</v>
      </c>
      <c r="B43" s="302">
        <f>'Phase diagram'!B46</f>
        <v>551.66587960122718</v>
      </c>
      <c r="C43" s="303">
        <f t="shared" si="18"/>
        <v>39.760579372391426</v>
      </c>
      <c r="D43" s="305">
        <f t="shared" si="0"/>
        <v>1.812691407927661</v>
      </c>
      <c r="E43" s="301">
        <f t="shared" si="1"/>
        <v>0.99668632267611057</v>
      </c>
      <c r="F43" s="301">
        <f>'Phase diagram'!F46</f>
        <v>0.50612978356822524</v>
      </c>
      <c r="G43" s="302">
        <f t="shared" si="6"/>
        <v>2199.9303362897326</v>
      </c>
      <c r="H43" s="301">
        <f t="shared" si="7"/>
        <v>39.825061255811995</v>
      </c>
      <c r="I43" s="306">
        <f t="shared" si="8"/>
        <v>-1.2929824452732765</v>
      </c>
      <c r="J43" s="306">
        <f t="shared" si="9"/>
        <v>0.55239848148850723</v>
      </c>
      <c r="K43" s="306">
        <f t="shared" si="10"/>
        <v>-7.8019356540654256E-2</v>
      </c>
      <c r="L43" s="307">
        <f t="shared" si="11"/>
        <v>0.5061297835682298</v>
      </c>
      <c r="M43" s="301">
        <f t="shared" si="12"/>
        <v>39.825061255811981</v>
      </c>
      <c r="N43" s="306">
        <f t="shared" si="13"/>
        <v>-1.2929824452732768</v>
      </c>
      <c r="O43" s="306">
        <f t="shared" si="14"/>
        <v>0.55239848148850734</v>
      </c>
      <c r="P43" s="306">
        <f t="shared" si="15"/>
        <v>-7.8019356540654283E-2</v>
      </c>
      <c r="Q43" s="307">
        <f t="shared" si="16"/>
        <v>0.50612978356823213</v>
      </c>
      <c r="R43" s="303">
        <f t="shared" si="17"/>
        <v>39.82506125581196</v>
      </c>
      <c r="S43" s="322">
        <f t="shared" si="2"/>
        <v>0.16217541202457469</v>
      </c>
      <c r="T43" s="301">
        <f t="shared" si="3"/>
        <v>1.0016217541202457</v>
      </c>
      <c r="U43" s="308">
        <f>[1]T21!B13</f>
        <v>1999.151723425158</v>
      </c>
      <c r="V43" s="309">
        <f t="shared" si="4"/>
        <v>278.5158796012272</v>
      </c>
      <c r="W43" s="303">
        <f t="shared" si="19"/>
        <v>0.45802326937891091</v>
      </c>
    </row>
    <row r="44" spans="1:24" s="305" customFormat="1" x14ac:dyDescent="0.2">
      <c r="A44" s="304" t="s">
        <v>80</v>
      </c>
      <c r="B44" s="302">
        <f>'Phase diagram'!B47</f>
        <v>553.49999999999989</v>
      </c>
      <c r="C44" s="303">
        <f t="shared" si="18"/>
        <v>40.650133425732548</v>
      </c>
      <c r="D44" s="305">
        <f t="shared" si="0"/>
        <v>1.8066847335140022</v>
      </c>
      <c r="E44" s="301">
        <f t="shared" si="1"/>
        <v>0.99999999999999978</v>
      </c>
      <c r="F44" s="301">
        <f>'Phase diagram'!F47</f>
        <v>0.42371236972133569</v>
      </c>
      <c r="G44" s="302">
        <f t="shared" si="6"/>
        <v>2193.7036127822553</v>
      </c>
      <c r="H44" s="301">
        <f t="shared" si="7"/>
        <v>40.729999999999926</v>
      </c>
      <c r="I44" s="306">
        <f t="shared" si="8"/>
        <v>-1.2711371091640089</v>
      </c>
      <c r="J44" s="306">
        <f t="shared" si="9"/>
        <v>0.53859651676461073</v>
      </c>
      <c r="K44" s="306">
        <f t="shared" si="10"/>
        <v>-7.6070002147330104E-2</v>
      </c>
      <c r="L44" s="307">
        <f t="shared" si="11"/>
        <v>0.45496236972133569</v>
      </c>
      <c r="M44" s="301">
        <f t="shared" si="12"/>
        <v>40.710859004870784</v>
      </c>
      <c r="N44" s="306">
        <f t="shared" si="13"/>
        <v>-1.2716683532663271</v>
      </c>
      <c r="O44" s="306">
        <f t="shared" si="14"/>
        <v>0.53884974829929111</v>
      </c>
      <c r="P44" s="306">
        <f t="shared" si="15"/>
        <v>-7.6105767925212647E-2</v>
      </c>
      <c r="Q44" s="307">
        <f t="shared" si="16"/>
        <v>0.45496236972135623</v>
      </c>
      <c r="R44" s="303">
        <f t="shared" si="17"/>
        <v>40.710859004870741</v>
      </c>
      <c r="S44" s="322">
        <f t="shared" si="2"/>
        <v>0.14938592821383531</v>
      </c>
      <c r="T44" s="301">
        <f t="shared" si="3"/>
        <v>1.0014938592821383</v>
      </c>
      <c r="U44" s="308">
        <f>[1]Tc!B13</f>
        <v>2037.2958292909491</v>
      </c>
      <c r="V44" s="309">
        <f t="shared" si="4"/>
        <v>280.34999999999991</v>
      </c>
      <c r="W44" s="303">
        <f t="shared" si="19"/>
        <v>0.46133694670280018</v>
      </c>
    </row>
    <row r="45" spans="1:24" x14ac:dyDescent="0.2">
      <c r="S45" s="323"/>
      <c r="V45" s="17"/>
    </row>
    <row r="46" spans="1:24" x14ac:dyDescent="0.2">
      <c r="B46" s="72"/>
      <c r="S46" s="323"/>
    </row>
    <row r="47" spans="1:24" x14ac:dyDescent="0.2">
      <c r="S47" s="323"/>
    </row>
    <row r="48" spans="1:24" x14ac:dyDescent="0.2">
      <c r="S48" s="323"/>
    </row>
    <row r="49" spans="19:19" x14ac:dyDescent="0.2">
      <c r="S49" s="323"/>
    </row>
  </sheetData>
  <phoneticPr fontId="3" type="noConversion"/>
  <pageMargins left="0.75" right="0.75" top="1" bottom="1" header="0.5" footer="0.5"/>
  <pageSetup paperSize="9" orientation="portrait" horizontalDpi="4294967294" verticalDpi="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47"/>
  <sheetViews>
    <sheetView workbookViewId="0"/>
  </sheetViews>
  <sheetFormatPr defaultColWidth="8" defaultRowHeight="12.75" x14ac:dyDescent="0.2"/>
  <cols>
    <col min="1" max="16384" width="8" style="2"/>
  </cols>
  <sheetData>
    <row r="1" spans="1:3" ht="30" x14ac:dyDescent="0.4">
      <c r="A1" s="270" t="str">
        <f>' T = Tb'!A1</f>
        <v>Cyclohexane</v>
      </c>
      <c r="B1" s="1"/>
    </row>
    <row r="2" spans="1:3" x14ac:dyDescent="0.2">
      <c r="B2" s="4" t="s">
        <v>15</v>
      </c>
      <c r="C2" s="5">
        <f>' T = Tb'!B2</f>
        <v>84.161000000000001</v>
      </c>
    </row>
    <row r="3" spans="1:3" ht="15.75" x14ac:dyDescent="0.3">
      <c r="B3" s="4" t="s">
        <v>17</v>
      </c>
      <c r="C3" s="5">
        <f>' T = Tb'!B3</f>
        <v>553.5</v>
      </c>
    </row>
    <row r="4" spans="1:3" ht="15.75" x14ac:dyDescent="0.3">
      <c r="B4" s="4" t="s">
        <v>18</v>
      </c>
      <c r="C4" s="5">
        <f>' T = Tb'!B4</f>
        <v>40.729999999999997</v>
      </c>
    </row>
    <row r="5" spans="1:3" ht="15.75" x14ac:dyDescent="0.3">
      <c r="B5" s="4" t="s">
        <v>18</v>
      </c>
      <c r="C5" s="5">
        <f>' T = Tb'!B5</f>
        <v>4072.9999999999995</v>
      </c>
    </row>
    <row r="6" spans="1:3" ht="15.75" x14ac:dyDescent="0.3">
      <c r="B6" s="4" t="s">
        <v>19</v>
      </c>
      <c r="C6" s="5">
        <f>' T = Tb'!B6</f>
        <v>308</v>
      </c>
    </row>
    <row r="7" spans="1:3" ht="15.75" x14ac:dyDescent="0.3">
      <c r="B7" s="4" t="s">
        <v>19</v>
      </c>
      <c r="C7" s="5">
        <f>' T = Tb'!B7</f>
        <v>0.308</v>
      </c>
    </row>
    <row r="8" spans="1:3" ht="15.75" x14ac:dyDescent="0.3">
      <c r="B8" s="4" t="s">
        <v>26</v>
      </c>
      <c r="C8" s="5">
        <f>' T = Tb'!B8</f>
        <v>0.27300000000000002</v>
      </c>
    </row>
    <row r="9" spans="1:3" x14ac:dyDescent="0.2">
      <c r="B9" s="9" t="s">
        <v>29</v>
      </c>
      <c r="C9" s="5">
        <f>' T = Tb'!B9</f>
        <v>0.21099999999999999</v>
      </c>
    </row>
    <row r="10" spans="1:3" x14ac:dyDescent="0.2">
      <c r="B10" s="2" t="s">
        <v>11</v>
      </c>
      <c r="C10" s="2">
        <v>8.3145100000000003</v>
      </c>
    </row>
    <row r="12" spans="1:3" x14ac:dyDescent="0.2">
      <c r="C12" s="219"/>
    </row>
    <row r="13" spans="1:3" x14ac:dyDescent="0.2">
      <c r="B13" s="2">
        <v>0</v>
      </c>
    </row>
    <row r="15" spans="1:3" x14ac:dyDescent="0.2">
      <c r="B15" s="2">
        <v>0.1575</v>
      </c>
    </row>
    <row r="16" spans="1:3" x14ac:dyDescent="0.2">
      <c r="B16" s="2">
        <v>0</v>
      </c>
    </row>
    <row r="22" spans="1:7" x14ac:dyDescent="0.2">
      <c r="D22" s="63" t="s">
        <v>78</v>
      </c>
      <c r="E22" s="64" t="s">
        <v>196</v>
      </c>
      <c r="F22" s="63" t="s">
        <v>75</v>
      </c>
    </row>
    <row r="23" spans="1:7" ht="14.25" x14ac:dyDescent="0.25">
      <c r="B23" s="64" t="s">
        <v>49</v>
      </c>
      <c r="C23" s="64" t="s">
        <v>45</v>
      </c>
      <c r="D23" s="30" t="s">
        <v>106</v>
      </c>
      <c r="E23" s="73" t="s">
        <v>118</v>
      </c>
      <c r="F23" s="30" t="s">
        <v>114</v>
      </c>
      <c r="G23" s="73" t="s">
        <v>119</v>
      </c>
    </row>
    <row r="24" spans="1:7" x14ac:dyDescent="0.2">
      <c r="A24" s="63"/>
      <c r="B24" s="5" t="s">
        <v>2</v>
      </c>
      <c r="C24" s="5" t="s">
        <v>7</v>
      </c>
      <c r="D24" s="92" t="s">
        <v>23</v>
      </c>
      <c r="E24" s="92" t="s">
        <v>23</v>
      </c>
      <c r="F24" s="92" t="s">
        <v>23</v>
      </c>
      <c r="G24" s="92" t="s">
        <v>23</v>
      </c>
    </row>
    <row r="25" spans="1:7" ht="15.75" x14ac:dyDescent="0.25">
      <c r="A25" s="5" t="s">
        <v>79</v>
      </c>
      <c r="D25" s="23">
        <f>' T = Tb'!B15</f>
        <v>0.16964399264565108</v>
      </c>
      <c r="E25" s="23">
        <f>' T = Tb'!B18</f>
        <v>0.86953048529731802</v>
      </c>
      <c r="F25" s="23">
        <f>' T = Tb'!B16</f>
        <v>28.144083746434529</v>
      </c>
      <c r="G25" s="28"/>
    </row>
    <row r="26" spans="1:7" x14ac:dyDescent="0.2">
      <c r="A26" s="5" t="s">
        <v>52</v>
      </c>
      <c r="B26" s="72">
        <f>' T = Tb'!O6</f>
        <v>282.11</v>
      </c>
      <c r="C26" s="7">
        <f>Pvap!C23</f>
        <v>5.9989002783289953E-2</v>
      </c>
      <c r="D26" s="7">
        <f>Tmin!B15</f>
        <v>0.15886797403654285</v>
      </c>
      <c r="E26" s="7">
        <f>Tmin!B18</f>
        <v>1.2768556086875265</v>
      </c>
      <c r="F26" s="12">
        <f>Tmin!B16</f>
        <v>389.71158286511047</v>
      </c>
      <c r="G26" s="2">
        <f t="shared" ref="G26:G44" si="0">(D26+F26)/2</f>
        <v>194.9352254195735</v>
      </c>
    </row>
    <row r="27" spans="1:7" x14ac:dyDescent="0.2">
      <c r="A27" s="5" t="s">
        <v>53</v>
      </c>
      <c r="B27" s="72">
        <f>' T = Tb'!O7</f>
        <v>291.77860134885822</v>
      </c>
      <c r="C27" s="7">
        <f>Pvap!C24</f>
        <v>9.6889293865363255E-2</v>
      </c>
      <c r="D27" s="7">
        <f>'T2'!B15</f>
        <v>0.16006508994473784</v>
      </c>
      <c r="E27" s="7">
        <f>'T2'!B18</f>
        <v>1.2065595239750166</v>
      </c>
      <c r="F27" s="12">
        <f>'T2'!B16</f>
        <v>249.16307186809024</v>
      </c>
      <c r="G27" s="2">
        <f t="shared" si="0"/>
        <v>124.66156847901749</v>
      </c>
    </row>
    <row r="28" spans="1:7" x14ac:dyDescent="0.2">
      <c r="A28" s="5" t="s">
        <v>54</v>
      </c>
      <c r="B28" s="72">
        <f>' T = Tb'!O8</f>
        <v>301.77856937044379</v>
      </c>
      <c r="C28" s="7">
        <f>Pvap!C25</f>
        <v>0.15297578457613945</v>
      </c>
      <c r="D28" s="7">
        <f>'T3'!B15</f>
        <v>0.16137316940622423</v>
      </c>
      <c r="E28" s="7">
        <f>'T3'!B18</f>
        <v>1.1398385108030595</v>
      </c>
      <c r="F28" s="12">
        <f>'T3'!B16</f>
        <v>162.86212507583846</v>
      </c>
      <c r="G28" s="2">
        <f t="shared" si="0"/>
        <v>81.511749122622348</v>
      </c>
    </row>
    <row r="29" spans="1:7" x14ac:dyDescent="0.2">
      <c r="A29" s="5" t="s">
        <v>55</v>
      </c>
      <c r="B29" s="72">
        <f>' T = Tb'!O9</f>
        <v>312.12126081304262</v>
      </c>
      <c r="C29" s="7">
        <f>Pvap!C26</f>
        <v>0.23642385647017744</v>
      </c>
      <c r="D29" s="7">
        <f>'T4'!B15</f>
        <v>0.16280799846947722</v>
      </c>
      <c r="E29" s="7">
        <f>'T4'!B18</f>
        <v>1.0765791640194493</v>
      </c>
      <c r="F29" s="12">
        <f>'T4'!B16</f>
        <v>108.6680719854226</v>
      </c>
      <c r="G29" s="2">
        <f t="shared" si="0"/>
        <v>54.415439991946037</v>
      </c>
    </row>
    <row r="30" spans="1:7" x14ac:dyDescent="0.2">
      <c r="A30" s="5" t="s">
        <v>56</v>
      </c>
      <c r="B30" s="72">
        <f>' T = Tb'!O10</f>
        <v>322.81842164854754</v>
      </c>
      <c r="C30" s="7">
        <f>Pvap!C27</f>
        <v>0.35811104041134006</v>
      </c>
      <c r="D30" s="7">
        <f>'T5'!B15</f>
        <v>0.16438841243443053</v>
      </c>
      <c r="E30" s="7">
        <f>'T5'!B18</f>
        <v>1.016682560340584</v>
      </c>
      <c r="F30" s="72">
        <f>'T5'!B16</f>
        <v>73.91113677217723</v>
      </c>
      <c r="G30" s="2">
        <f t="shared" si="0"/>
        <v>37.037762592305832</v>
      </c>
    </row>
    <row r="31" spans="1:7" x14ac:dyDescent="0.2">
      <c r="A31" s="5" t="s">
        <v>57</v>
      </c>
      <c r="B31" s="72">
        <f>' T = Tb'!O11</f>
        <v>333.88220041210576</v>
      </c>
      <c r="C31" s="7">
        <f>Pvap!C28</f>
        <v>0.5322296394350029</v>
      </c>
      <c r="D31" s="7">
        <f>'T6'!B15</f>
        <v>0.1661370398442604</v>
      </c>
      <c r="E31" s="7">
        <f>'T6'!B18</f>
        <v>0.96005560250619482</v>
      </c>
      <c r="F31" s="72">
        <f>'T6'!B16</f>
        <v>51.174238674517106</v>
      </c>
      <c r="G31" s="2">
        <f t="shared" si="0"/>
        <v>25.670187857180682</v>
      </c>
    </row>
    <row r="32" spans="1:7" x14ac:dyDescent="0.2">
      <c r="A32" s="5" t="s">
        <v>58</v>
      </c>
      <c r="B32" s="72">
        <f>' T = Tb'!O12</f>
        <v>345.32516199894849</v>
      </c>
      <c r="C32" s="7">
        <f>Pvap!C29</f>
        <v>0.77695697672529052</v>
      </c>
      <c r="D32" s="7">
        <f>'T7'!B15</f>
        <v>0.1680812998912565</v>
      </c>
      <c r="E32" s="7">
        <f>'T7'!B18</f>
        <v>0.90660891374761121</v>
      </c>
      <c r="F32" s="72">
        <f>'T7'!B16</f>
        <v>36.02109683451485</v>
      </c>
      <c r="G32" s="2">
        <f t="shared" si="0"/>
        <v>18.094589067203053</v>
      </c>
    </row>
    <row r="33" spans="1:7" x14ac:dyDescent="0.2">
      <c r="A33" s="5" t="s">
        <v>59</v>
      </c>
      <c r="B33" s="72">
        <f>' T = Tb'!O13</f>
        <v>357.16030193407204</v>
      </c>
      <c r="C33" s="7">
        <f>Pvap!C30</f>
        <v>1.1151690481244323</v>
      </c>
      <c r="D33" s="7">
        <f>'T8'!B15</f>
        <v>0.17025474465960611</v>
      </c>
      <c r="E33" s="7">
        <f>'T8'!B18</f>
        <v>0.85625285551161312</v>
      </c>
      <c r="F33" s="72">
        <f>'T8'!B16</f>
        <v>25.743992092727716</v>
      </c>
      <c r="G33" s="2">
        <f t="shared" si="0"/>
        <v>12.95712341869366</v>
      </c>
    </row>
    <row r="34" spans="1:7" x14ac:dyDescent="0.2">
      <c r="A34" s="5" t="s">
        <v>60</v>
      </c>
      <c r="B34" s="72">
        <f>' T = Tb'!O14</f>
        <v>369.40106113097517</v>
      </c>
      <c r="C34" s="7">
        <f>Pvap!C31</f>
        <v>1.5751790376191113</v>
      </c>
      <c r="D34" s="7">
        <f>'T9'!B15</f>
        <v>0.17269890421240794</v>
      </c>
      <c r="E34" s="7">
        <f>'T9'!B18</f>
        <v>0.80889483745278667</v>
      </c>
      <c r="F34" s="72">
        <f>'T9'!B16</f>
        <v>18.658308586849238</v>
      </c>
      <c r="G34" s="2">
        <f t="shared" si="0"/>
        <v>9.4155037455308221</v>
      </c>
    </row>
    <row r="35" spans="1:7" x14ac:dyDescent="0.2">
      <c r="A35" s="5" t="s">
        <v>61</v>
      </c>
      <c r="B35" s="72">
        <f>' T = Tb'!O15</f>
        <v>382.06134115621563</v>
      </c>
      <c r="C35" s="7">
        <f>Pvap!C32</f>
        <v>2.1951194728688952</v>
      </c>
      <c r="D35" s="7">
        <f>'T10#'!B15</f>
        <v>0.17548281667760959</v>
      </c>
      <c r="E35" s="7">
        <f>'T10#'!B18</f>
        <v>0.76419047754122538</v>
      </c>
      <c r="F35" s="72">
        <f>'T10#'!B16</f>
        <v>13.672999001867636</v>
      </c>
      <c r="G35" s="2">
        <f t="shared" si="0"/>
        <v>6.9242409092726227</v>
      </c>
    </row>
    <row r="36" spans="1:7" x14ac:dyDescent="0.2">
      <c r="A36" s="5" t="s">
        <v>62</v>
      </c>
      <c r="B36" s="72">
        <f>' T = Tb'!O16</f>
        <v>395.15552001711933</v>
      </c>
      <c r="C36" s="7">
        <f>Pvap!C33</f>
        <v>3.0136125409209025</v>
      </c>
      <c r="D36" s="7">
        <f>'T11'!B15</f>
        <v>0.17865537124683364</v>
      </c>
      <c r="E36" s="7">
        <f>'T11'!B18</f>
        <v>0.72238115170173778</v>
      </c>
      <c r="F36" s="17">
        <f>'T11'!B16</f>
        <v>10.142480102312053</v>
      </c>
      <c r="G36" s="2">
        <f t="shared" si="0"/>
        <v>5.1605677367794431</v>
      </c>
    </row>
    <row r="37" spans="1:7" x14ac:dyDescent="0.2">
      <c r="A37" s="5" t="s">
        <v>63</v>
      </c>
      <c r="B37" s="72">
        <f>' T = Tb'!O17</f>
        <v>408.69846849057387</v>
      </c>
      <c r="C37" s="7">
        <f>Pvap!C34</f>
        <v>4.0833336596706147</v>
      </c>
      <c r="D37" s="7">
        <f>'T12'!B15</f>
        <v>0.18231702957701265</v>
      </c>
      <c r="E37" s="7">
        <f>'T12'!B18</f>
        <v>0.68319811893578297</v>
      </c>
      <c r="F37" s="17">
        <f>'T12'!B16</f>
        <v>7.5976665488940327</v>
      </c>
      <c r="G37" s="2">
        <f t="shared" si="0"/>
        <v>3.8899917892355225</v>
      </c>
    </row>
    <row r="38" spans="1:7" x14ac:dyDescent="0.2">
      <c r="A38" s="5" t="s">
        <v>64</v>
      </c>
      <c r="B38" s="72">
        <f>' T = Tb'!O18</f>
        <v>422.70556701144949</v>
      </c>
      <c r="C38" s="7">
        <f>Pvap!C35</f>
        <v>5.4653241467681433</v>
      </c>
      <c r="D38" s="7">
        <f>'T13'!B15</f>
        <v>0.18659311795897909</v>
      </c>
      <c r="E38" s="7">
        <f>'T13'!B18</f>
        <v>0.64650889503398723</v>
      </c>
      <c r="F38" s="17">
        <f>'T13'!B16</f>
        <v>5.738842149331612</v>
      </c>
      <c r="G38" s="2">
        <f t="shared" si="0"/>
        <v>2.9627176336452954</v>
      </c>
    </row>
    <row r="39" spans="1:7" x14ac:dyDescent="0.2">
      <c r="A39" s="5" t="s">
        <v>65</v>
      </c>
      <c r="B39" s="72">
        <f>' T = Tb'!O19</f>
        <v>437.19272313982765</v>
      </c>
      <c r="C39" s="7">
        <f>Pvap!C36</f>
        <v>7.2322144341739794</v>
      </c>
      <c r="D39" s="7">
        <f>'T14'!B15</f>
        <v>0.19165988536529444</v>
      </c>
      <c r="E39" s="7">
        <f>'T14'!B18</f>
        <v>0.61217129323415964</v>
      </c>
      <c r="F39" s="17">
        <f>'T14'!B16</f>
        <v>4.3635892010039035</v>
      </c>
      <c r="G39" s="2">
        <f t="shared" si="0"/>
        <v>2.2776245431845989</v>
      </c>
    </row>
    <row r="40" spans="1:7" x14ac:dyDescent="0.2">
      <c r="A40" s="5" t="s">
        <v>66</v>
      </c>
      <c r="B40" s="72">
        <f>' T = Tb'!O20</f>
        <v>452.1763896268742</v>
      </c>
      <c r="C40" s="7">
        <f>Pvap!C37</f>
        <v>9.4706375657707227</v>
      </c>
      <c r="D40" s="7">
        <f>'T15'!B15</f>
        <v>0.19777614662262244</v>
      </c>
      <c r="E40" s="7">
        <f>'T15'!B18</f>
        <v>0.58003255488139649</v>
      </c>
      <c r="F40" s="17">
        <f>'T15'!B16</f>
        <v>3.3331985696224531</v>
      </c>
      <c r="G40" s="2">
        <f t="shared" si="0"/>
        <v>1.7654873581225377</v>
      </c>
    </row>
    <row r="41" spans="1:7" x14ac:dyDescent="0.2">
      <c r="A41" s="5" t="s">
        <v>67</v>
      </c>
      <c r="B41" s="72">
        <f>' T = Tb'!O21</f>
        <v>467.6735830998748</v>
      </c>
      <c r="C41" s="7">
        <f>Pvap!C38</f>
        <v>12.284868054237537</v>
      </c>
      <c r="D41" s="7">
        <f>'T16'!B15</f>
        <v>0.20534350355114442</v>
      </c>
      <c r="E41" s="7">
        <f>'T16'!B18</f>
        <v>0.54992882853246217</v>
      </c>
      <c r="F41" s="17">
        <f>'T16'!B16</f>
        <v>2.5512223061319816</v>
      </c>
      <c r="G41" s="2">
        <f t="shared" si="0"/>
        <v>1.378282904841563</v>
      </c>
    </row>
    <row r="42" spans="1:7" x14ac:dyDescent="0.2">
      <c r="A42" s="5" t="s">
        <v>68</v>
      </c>
      <c r="B42" s="72">
        <f>' T = Tb'!O22</f>
        <v>483.70190338765184</v>
      </c>
      <c r="C42" s="7">
        <f>Pvap!C39</f>
        <v>15.802389576581332</v>
      </c>
      <c r="D42" s="223">
        <f>'T17'!B15</f>
        <v>0.21503402617941178</v>
      </c>
      <c r="E42" s="7">
        <f>'T17'!B18</f>
        <v>0.52167290805987498</v>
      </c>
      <c r="F42" s="17">
        <f>'T17'!B16</f>
        <v>1.9495534084274722</v>
      </c>
      <c r="G42" s="2">
        <f t="shared" si="0"/>
        <v>1.0822937173034419</v>
      </c>
    </row>
    <row r="43" spans="1:7" x14ac:dyDescent="0.2">
      <c r="A43" s="5" t="s">
        <v>69</v>
      </c>
      <c r="B43" s="72">
        <f>' T = Tb'!O23</f>
        <v>500.27955350831081</v>
      </c>
      <c r="C43" s="7">
        <f>Pvap!C40</f>
        <v>20.181889915626428</v>
      </c>
      <c r="D43" s="223">
        <f>'T18'!B15</f>
        <v>0.22808373551016328</v>
      </c>
      <c r="E43" s="223">
        <f>'T18'!B18</f>
        <v>0.49508925799060788</v>
      </c>
      <c r="F43" s="223">
        <f>'T18'!B16</f>
        <v>1.4791099686377305</v>
      </c>
      <c r="G43" s="2">
        <f t="shared" si="0"/>
        <v>0.85359685207394687</v>
      </c>
    </row>
    <row r="44" spans="1:7" x14ac:dyDescent="0.2">
      <c r="A44" s="5" t="s">
        <v>70</v>
      </c>
      <c r="B44" s="72">
        <f>' T = Tb'!O24</f>
        <v>517.42536034201612</v>
      </c>
      <c r="C44" s="7">
        <f>Pvap!C41</f>
        <v>25.622303004294665</v>
      </c>
      <c r="D44" s="7">
        <f>'T19'!B15</f>
        <v>0.24715177193429846</v>
      </c>
      <c r="E44" s="7">
        <f>'T19'!B18</f>
        <v>0.46999466713582949</v>
      </c>
      <c r="F44" s="7">
        <f>'T19'!B16</f>
        <v>1.103150988067654</v>
      </c>
      <c r="G44" s="2">
        <f t="shared" si="0"/>
        <v>0.67515138000097619</v>
      </c>
    </row>
    <row r="45" spans="1:7" x14ac:dyDescent="0.2">
      <c r="A45" s="5" t="s">
        <v>71</v>
      </c>
      <c r="B45" s="72">
        <f>' T = Tb'!O25</f>
        <v>535.15879601227323</v>
      </c>
      <c r="C45" s="7">
        <f>Pvap!C42</f>
        <v>32.364085574389165</v>
      </c>
      <c r="D45" s="7">
        <f>'T20'!B15</f>
        <v>0.27982847066724797</v>
      </c>
      <c r="E45" s="7">
        <f>'T20'!B18</f>
        <v>0.44626297690951799</v>
      </c>
      <c r="F45" s="7">
        <f>'T20'!B16</f>
        <v>0.78999812734424524</v>
      </c>
      <c r="G45" s="2">
        <f>(D45+F45)/2</f>
        <v>0.53491329900574658</v>
      </c>
    </row>
    <row r="46" spans="1:7" x14ac:dyDescent="0.2">
      <c r="A46" s="5" t="s">
        <v>72</v>
      </c>
      <c r="B46" s="72">
        <f>' T = Tb'!O26</f>
        <v>551.66587960122718</v>
      </c>
      <c r="C46" s="7">
        <f>Pvap!C43</f>
        <v>39.760579372391426</v>
      </c>
      <c r="D46" s="7">
        <f>'T21'!B15</f>
        <v>0.36265577097285967</v>
      </c>
      <c r="E46" s="7">
        <f>'T21'!B18</f>
        <v>0.42606473791308841</v>
      </c>
      <c r="F46" s="7">
        <f>'T21'!B16</f>
        <v>0.50612978356822524</v>
      </c>
      <c r="G46" s="2">
        <f>(D46+F46)/2</f>
        <v>0.43439277727054249</v>
      </c>
    </row>
    <row r="47" spans="1:7" x14ac:dyDescent="0.2">
      <c r="A47" s="248" t="s">
        <v>97</v>
      </c>
      <c r="B47" s="72">
        <f>' T = Tb'!O27</f>
        <v>553.49999999999989</v>
      </c>
      <c r="C47" s="7">
        <f>Pvap!C44</f>
        <v>40.650133425732548</v>
      </c>
      <c r="D47" s="7">
        <f>Tc!B15</f>
        <v>0.42371236972133569</v>
      </c>
      <c r="E47" s="7">
        <f>Tc!B18</f>
        <v>0.4259323185114971</v>
      </c>
      <c r="F47" s="7">
        <f>Tc!B16</f>
        <v>0.42371236972133569</v>
      </c>
      <c r="G47" s="2">
        <f>(D47+F47)/2</f>
        <v>0.42371236972133569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F86"/>
  <sheetViews>
    <sheetView zoomScale="75" workbookViewId="0"/>
  </sheetViews>
  <sheetFormatPr defaultColWidth="8" defaultRowHeight="12.75" x14ac:dyDescent="0.2"/>
  <cols>
    <col min="1" max="6" width="8" style="2"/>
    <col min="7" max="7" width="9.875" style="2" customWidth="1"/>
    <col min="8" max="16384" width="8" style="2"/>
  </cols>
  <sheetData>
    <row r="1" spans="1:31" ht="30" x14ac:dyDescent="0.4">
      <c r="A1" s="270" t="str">
        <f>' T = Tb'!A1</f>
        <v>Cyclohexane</v>
      </c>
      <c r="B1" s="163"/>
      <c r="F1" s="2" t="s">
        <v>0</v>
      </c>
      <c r="G1" s="21">
        <f>' T = Tb'!F1</f>
        <v>1</v>
      </c>
      <c r="J1" s="4"/>
    </row>
    <row r="2" spans="1:31" x14ac:dyDescent="0.2">
      <c r="B2" s="4" t="s">
        <v>15</v>
      </c>
      <c r="C2" s="5">
        <f>' T = Tb'!B2</f>
        <v>84.161000000000001</v>
      </c>
      <c r="D2" s="2" t="s">
        <v>3</v>
      </c>
      <c r="F2" s="4" t="s">
        <v>4</v>
      </c>
      <c r="G2" s="37">
        <f>' T = Tb'!F2</f>
        <v>3.9300199999999998</v>
      </c>
      <c r="H2" s="37"/>
      <c r="J2" s="4"/>
    </row>
    <row r="3" spans="1:31" ht="15.75" x14ac:dyDescent="0.3">
      <c r="B3" s="4" t="s">
        <v>17</v>
      </c>
      <c r="C3" s="5">
        <f>' T = Tb'!B3</f>
        <v>553.5</v>
      </c>
      <c r="D3" s="2" t="s">
        <v>2</v>
      </c>
      <c r="F3" s="4" t="s">
        <v>5</v>
      </c>
      <c r="G3" s="37">
        <f>' T = Tb'!F3</f>
        <v>1182.7739999999999</v>
      </c>
      <c r="H3" s="37"/>
      <c r="J3" s="4"/>
    </row>
    <row r="4" spans="1:31" ht="15.75" x14ac:dyDescent="0.3">
      <c r="B4" s="4" t="s">
        <v>18</v>
      </c>
      <c r="C4" s="5">
        <f>' T = Tb'!B4</f>
        <v>40.729999999999997</v>
      </c>
      <c r="D4" s="2" t="s">
        <v>7</v>
      </c>
      <c r="F4" s="4" t="s">
        <v>8</v>
      </c>
      <c r="G4" s="37">
        <f>' T = Tb'!F4</f>
        <v>220.61799999999999</v>
      </c>
      <c r="H4" s="37"/>
      <c r="J4" s="4"/>
    </row>
    <row r="5" spans="1:31" ht="15.75" x14ac:dyDescent="0.3">
      <c r="B5" s="4" t="s">
        <v>18</v>
      </c>
      <c r="C5" s="5">
        <f>' T = Tb'!B5</f>
        <v>4072.9999999999995</v>
      </c>
      <c r="D5" s="2" t="s">
        <v>9</v>
      </c>
      <c r="F5" s="4" t="s">
        <v>10</v>
      </c>
      <c r="G5" s="37">
        <f>' T = Tb'!F5</f>
        <v>0</v>
      </c>
      <c r="H5" s="37"/>
      <c r="J5" s="4"/>
    </row>
    <row r="6" spans="1:31" ht="15.75" x14ac:dyDescent="0.3">
      <c r="B6" s="4" t="s">
        <v>19</v>
      </c>
      <c r="C6" s="5">
        <f>' T = Tb'!B6</f>
        <v>308</v>
      </c>
      <c r="D6" s="2" t="s">
        <v>20</v>
      </c>
      <c r="F6" s="4" t="s">
        <v>21</v>
      </c>
      <c r="G6" s="95">
        <f>' T = Tb'!F6</f>
        <v>282.11</v>
      </c>
      <c r="I6" s="7">
        <f>G6/C3</f>
        <v>0.5096838301716351</v>
      </c>
      <c r="J6" s="2" t="s">
        <v>22</v>
      </c>
    </row>
    <row r="7" spans="1:31" ht="15.75" x14ac:dyDescent="0.3">
      <c r="B7" s="4" t="s">
        <v>19</v>
      </c>
      <c r="C7" s="5">
        <f>' T = Tb'!B7</f>
        <v>0.308</v>
      </c>
      <c r="D7" s="46" t="s">
        <v>23</v>
      </c>
      <c r="F7" s="4" t="s">
        <v>24</v>
      </c>
      <c r="G7" s="95">
        <f>' T = Tb'!F7</f>
        <v>553.5</v>
      </c>
      <c r="I7" s="7">
        <f>G7/C3</f>
        <v>1</v>
      </c>
      <c r="J7" s="2" t="s">
        <v>25</v>
      </c>
    </row>
    <row r="8" spans="1:31" ht="15.75" x14ac:dyDescent="0.3">
      <c r="B8" s="4" t="s">
        <v>26</v>
      </c>
      <c r="C8" s="5">
        <f>' T = Tb'!B8</f>
        <v>0.27300000000000002</v>
      </c>
      <c r="F8" s="4" t="s">
        <v>27</v>
      </c>
      <c r="G8" s="95">
        <f>' T = Tb'!F8</f>
        <v>353.93</v>
      </c>
      <c r="H8" s="18"/>
      <c r="I8" s="7">
        <f>G8/C3</f>
        <v>0.63943992773261071</v>
      </c>
      <c r="J8" s="2" t="s">
        <v>28</v>
      </c>
    </row>
    <row r="9" spans="1:31" x14ac:dyDescent="0.2">
      <c r="B9" s="9" t="s">
        <v>29</v>
      </c>
      <c r="C9" s="5">
        <f>' T = Tb'!B9</f>
        <v>0.21099999999999999</v>
      </c>
      <c r="F9" s="4"/>
      <c r="G9" s="2">
        <v>101.325</v>
      </c>
    </row>
    <row r="10" spans="1:31" x14ac:dyDescent="0.2">
      <c r="B10" s="2" t="s">
        <v>11</v>
      </c>
      <c r="C10" s="5">
        <v>8.3145100000000003</v>
      </c>
      <c r="D10" s="2" t="s">
        <v>12</v>
      </c>
    </row>
    <row r="12" spans="1:31" ht="15.75" x14ac:dyDescent="0.3">
      <c r="C12" s="219" t="s">
        <v>149</v>
      </c>
      <c r="D12" s="31" t="s">
        <v>99</v>
      </c>
      <c r="E12" s="34">
        <f>27/64*(C10*C3)^2/C5</f>
        <v>2193.7036127822548</v>
      </c>
      <c r="J12" s="5"/>
    </row>
    <row r="13" spans="1:31" x14ac:dyDescent="0.2">
      <c r="B13" s="2">
        <v>1.8189894035458565E-12</v>
      </c>
      <c r="D13" s="31" t="s">
        <v>46</v>
      </c>
      <c r="E13" s="34">
        <v>848.57330401438003</v>
      </c>
    </row>
    <row r="14" spans="1:31" x14ac:dyDescent="0.2">
      <c r="D14" s="31" t="s">
        <v>100</v>
      </c>
      <c r="E14" s="220">
        <f>' T = Tb'!B14</f>
        <v>0.14123745657377856</v>
      </c>
      <c r="M14" s="34"/>
    </row>
    <row r="15" spans="1:31" ht="18.75" x14ac:dyDescent="0.3">
      <c r="B15" s="2">
        <v>0.25000000000028649</v>
      </c>
      <c r="D15" s="31" t="s">
        <v>73</v>
      </c>
      <c r="E15" s="97">
        <f>'a = a(T)'!J21</f>
        <v>0.85537347937760355</v>
      </c>
      <c r="M15" s="34"/>
      <c r="N15" s="34"/>
      <c r="O15" s="98"/>
      <c r="P15" s="34"/>
      <c r="Q15" s="34"/>
      <c r="R15" s="34"/>
      <c r="S15" s="34"/>
      <c r="T15" s="34"/>
      <c r="U15" s="34"/>
      <c r="V15" s="98"/>
      <c r="W15" s="98"/>
      <c r="X15" s="34"/>
      <c r="Y15" s="34"/>
      <c r="Z15" s="34"/>
      <c r="AA15" s="34"/>
      <c r="AB15" s="34"/>
      <c r="AC15" s="34"/>
      <c r="AD15" s="34"/>
      <c r="AE15" s="34"/>
    </row>
    <row r="16" spans="1:31" x14ac:dyDescent="0.2">
      <c r="B16" s="2">
        <v>0</v>
      </c>
      <c r="D16" s="219" t="s">
        <v>150</v>
      </c>
      <c r="E16" s="153">
        <f>' T = Tb'!B19</f>
        <v>0</v>
      </c>
      <c r="M16" s="34"/>
      <c r="N16" s="34"/>
      <c r="O16" s="31"/>
      <c r="P16" s="97"/>
      <c r="Q16" s="34"/>
      <c r="R16" s="34"/>
      <c r="S16" s="34"/>
      <c r="T16" s="34"/>
      <c r="U16" s="31"/>
      <c r="V16" s="97"/>
      <c r="W16" s="97"/>
      <c r="X16" s="31"/>
      <c r="Y16" s="32"/>
      <c r="Z16" s="32"/>
      <c r="AA16" s="32"/>
      <c r="AB16" s="34"/>
      <c r="AC16" s="34"/>
      <c r="AD16" s="34"/>
      <c r="AE16" s="34"/>
    </row>
    <row r="17" spans="1:32" ht="13.5" thickBot="1" x14ac:dyDescent="0.25">
      <c r="M17" s="34"/>
      <c r="N17" s="34"/>
      <c r="O17" s="31"/>
      <c r="P17" s="36"/>
      <c r="Q17" s="34"/>
      <c r="R17" s="34"/>
      <c r="S17" s="34"/>
      <c r="T17" s="34"/>
      <c r="U17" s="31"/>
      <c r="V17" s="36"/>
      <c r="W17" s="36"/>
      <c r="X17" s="34"/>
      <c r="Y17" s="32"/>
      <c r="Z17" s="32"/>
      <c r="AA17" s="32"/>
      <c r="AB17" s="34"/>
      <c r="AC17" s="34"/>
      <c r="AD17" s="34"/>
      <c r="AE17" s="34"/>
    </row>
    <row r="18" spans="1:32" x14ac:dyDescent="0.2">
      <c r="J18" s="48"/>
      <c r="K18" s="215" t="s">
        <v>148</v>
      </c>
      <c r="L18" s="50"/>
      <c r="M18" s="50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2"/>
      <c r="Z18" s="32"/>
      <c r="AA18" s="32"/>
      <c r="AB18" s="34"/>
      <c r="AC18" s="34"/>
      <c r="AD18" s="34"/>
      <c r="AE18" s="34"/>
    </row>
    <row r="19" spans="1:32" ht="23.25" x14ac:dyDescent="0.6">
      <c r="A19" s="99" t="s">
        <v>120</v>
      </c>
      <c r="B19" s="100" t="s">
        <v>81</v>
      </c>
      <c r="C19" s="101" t="s">
        <v>121</v>
      </c>
      <c r="D19" s="101" t="s">
        <v>121</v>
      </c>
      <c r="E19" s="101" t="s">
        <v>121</v>
      </c>
      <c r="F19" s="101" t="s">
        <v>121</v>
      </c>
      <c r="G19" s="100"/>
      <c r="H19" s="101" t="s">
        <v>121</v>
      </c>
      <c r="I19" s="100" t="s">
        <v>82</v>
      </c>
      <c r="J19" s="102" t="s">
        <v>107</v>
      </c>
      <c r="K19" s="103" t="s">
        <v>122</v>
      </c>
      <c r="L19" s="104" t="s">
        <v>123</v>
      </c>
      <c r="M19" s="244" t="s">
        <v>83</v>
      </c>
      <c r="N19" s="105"/>
      <c r="O19" s="103"/>
      <c r="P19" s="106"/>
      <c r="Q19" s="103"/>
      <c r="R19" s="65"/>
      <c r="S19" s="65"/>
      <c r="T19" s="65"/>
      <c r="U19" s="68"/>
      <c r="V19" s="98"/>
      <c r="W19" s="68"/>
      <c r="X19" s="68"/>
      <c r="Y19" s="65"/>
      <c r="Z19" s="65"/>
      <c r="AA19" s="65"/>
      <c r="AB19" s="68"/>
      <c r="AC19" s="34"/>
      <c r="AD19" s="34"/>
      <c r="AE19" s="34"/>
      <c r="AF19" s="34"/>
    </row>
    <row r="20" spans="1:32" ht="13.5" thickBot="1" x14ac:dyDescent="0.25">
      <c r="A20" s="61"/>
      <c r="B20" s="34"/>
      <c r="C20" s="34" t="s">
        <v>84</v>
      </c>
      <c r="D20" s="34" t="s">
        <v>85</v>
      </c>
      <c r="E20" s="34" t="s">
        <v>86</v>
      </c>
      <c r="F20" s="34" t="s">
        <v>140</v>
      </c>
      <c r="G20" s="34"/>
      <c r="H20" s="34" t="s">
        <v>48</v>
      </c>
      <c r="I20" s="107">
        <f>AVERAGE(I21:I41)</f>
        <v>3.4783482492148758</v>
      </c>
      <c r="J20" s="62"/>
      <c r="K20" s="34"/>
      <c r="L20" s="34"/>
      <c r="M20" s="193"/>
      <c r="N20" s="62"/>
      <c r="O20" s="34"/>
      <c r="P20" s="34"/>
      <c r="Q20" s="34"/>
      <c r="R20" s="34"/>
      <c r="S20" s="43"/>
      <c r="T20" s="34"/>
      <c r="U20" s="34"/>
      <c r="V20" s="34"/>
      <c r="W20" s="34"/>
      <c r="X20" s="34"/>
      <c r="Y20" s="34"/>
      <c r="Z20" s="43"/>
      <c r="AA20" s="34"/>
      <c r="AB20" s="34"/>
      <c r="AC20" s="34"/>
      <c r="AD20" s="34"/>
      <c r="AE20" s="34"/>
      <c r="AF20" s="34"/>
    </row>
    <row r="21" spans="1:32" ht="16.5" thickTop="1" x14ac:dyDescent="0.25">
      <c r="A21" s="325">
        <f t="shared" ref="A21:A47" si="0">B21-273.15</f>
        <v>22.050000000000011</v>
      </c>
      <c r="B21" s="326">
        <v>295.2</v>
      </c>
      <c r="C21" s="327"/>
      <c r="D21" s="326"/>
      <c r="E21" s="326">
        <v>-1631</v>
      </c>
      <c r="F21" s="327"/>
      <c r="G21" s="328">
        <v>-1631</v>
      </c>
      <c r="H21" s="329">
        <v>-1718.0829945345072</v>
      </c>
      <c r="I21" s="330">
        <f t="shared" ref="I21:I34" si="1">100*ABS((G21-H21)/G21)</f>
        <v>5.3392393951261301</v>
      </c>
      <c r="J21" s="328">
        <f t="shared" ref="J21:J34" si="2">(1-B21/$C$3)</f>
        <v>0.46666666666666667</v>
      </c>
      <c r="K21" s="328">
        <f t="shared" ref="K21:K47" si="3">$E$15*J21</f>
        <v>0.39917429037621499</v>
      </c>
      <c r="L21" s="331">
        <f t="shared" ref="L21:L47" si="4">$E$12*EXP(K21)</f>
        <v>3269.9201093334414</v>
      </c>
      <c r="M21" s="332">
        <f>($E$14-$E$13/($C$10*B21))*1000</f>
        <v>-204.49197463225076</v>
      </c>
      <c r="N21" s="42"/>
      <c r="O21" s="76"/>
      <c r="P21" s="76"/>
      <c r="Q21" s="34"/>
      <c r="R21" s="42"/>
      <c r="S21" s="74"/>
      <c r="T21" s="75"/>
      <c r="U21" s="75"/>
      <c r="V21" s="76"/>
      <c r="W21" s="76"/>
      <c r="X21" s="76"/>
      <c r="Y21" s="42"/>
      <c r="Z21" s="74"/>
      <c r="AA21" s="75"/>
      <c r="AB21" s="75"/>
      <c r="AC21" s="34"/>
      <c r="AD21" s="34"/>
      <c r="AE21" s="34"/>
      <c r="AF21" s="34"/>
    </row>
    <row r="22" spans="1:32" ht="15.75" x14ac:dyDescent="0.25">
      <c r="A22" s="333">
        <f t="shared" si="0"/>
        <v>35.050000000000011</v>
      </c>
      <c r="B22" s="186">
        <v>308.2</v>
      </c>
      <c r="C22" s="186"/>
      <c r="D22" s="186"/>
      <c r="E22" s="186">
        <v>-1519</v>
      </c>
      <c r="F22" s="185"/>
      <c r="G22" s="34">
        <v>-1519</v>
      </c>
      <c r="H22" s="265">
        <v>-1519.0013391732391</v>
      </c>
      <c r="I22" s="108">
        <f t="shared" si="1"/>
        <v>8.8161503561739302E-5</v>
      </c>
      <c r="J22" s="34">
        <f t="shared" si="2"/>
        <v>0.44317976513098467</v>
      </c>
      <c r="K22" s="34">
        <f t="shared" si="3"/>
        <v>0.37908421768983952</v>
      </c>
      <c r="L22" s="42">
        <f t="shared" si="4"/>
        <v>3204.8826675951914</v>
      </c>
      <c r="M22" s="334">
        <f t="shared" ref="M22:M34" si="5">($E$14-$E$13/($C$10*B22))*1000</f>
        <v>-189.90896812453377</v>
      </c>
      <c r="N22" s="42"/>
      <c r="O22" s="76"/>
      <c r="P22" s="76"/>
      <c r="Q22" s="34"/>
      <c r="R22" s="42"/>
      <c r="S22" s="74"/>
      <c r="T22" s="75"/>
      <c r="U22" s="75"/>
      <c r="V22" s="76"/>
      <c r="W22" s="76"/>
      <c r="X22" s="76"/>
      <c r="Y22" s="42"/>
      <c r="Z22" s="74"/>
      <c r="AA22" s="75"/>
      <c r="AB22" s="75"/>
      <c r="AC22" s="34"/>
      <c r="AD22" s="34"/>
      <c r="AE22" s="34"/>
      <c r="AF22" s="34"/>
    </row>
    <row r="23" spans="1:32" ht="15.75" x14ac:dyDescent="0.25">
      <c r="A23" s="333">
        <f t="shared" si="0"/>
        <v>35.050000000000011</v>
      </c>
      <c r="B23" s="186">
        <v>308.2</v>
      </c>
      <c r="C23" s="185"/>
      <c r="D23" s="185"/>
      <c r="E23" s="185"/>
      <c r="F23" s="185">
        <v>-1457</v>
      </c>
      <c r="G23" s="34">
        <v>-1457</v>
      </c>
      <c r="H23" s="265">
        <v>-1519.0013391732391</v>
      </c>
      <c r="I23" s="108">
        <f t="shared" si="1"/>
        <v>4.2554110619930752</v>
      </c>
      <c r="J23" s="34">
        <f t="shared" si="2"/>
        <v>0.44317976513098467</v>
      </c>
      <c r="K23" s="34">
        <f t="shared" si="3"/>
        <v>0.37908421768983952</v>
      </c>
      <c r="L23" s="42">
        <f t="shared" si="4"/>
        <v>3204.8826675951914</v>
      </c>
      <c r="M23" s="334">
        <f t="shared" si="5"/>
        <v>-189.90896812453377</v>
      </c>
      <c r="N23" s="42"/>
      <c r="O23" s="76"/>
      <c r="P23" s="76"/>
      <c r="Q23" s="34"/>
      <c r="R23" s="42"/>
      <c r="S23" s="74"/>
      <c r="T23" s="75"/>
      <c r="U23" s="75"/>
      <c r="V23" s="76"/>
      <c r="W23" s="76"/>
      <c r="X23" s="76"/>
      <c r="Y23" s="42"/>
      <c r="Z23" s="74"/>
      <c r="AA23" s="75"/>
      <c r="AB23" s="75"/>
      <c r="AC23" s="34"/>
      <c r="AD23" s="34"/>
      <c r="AE23" s="34"/>
      <c r="AF23" s="34"/>
    </row>
    <row r="24" spans="1:32" ht="15.75" x14ac:dyDescent="0.25">
      <c r="A24" s="333">
        <f t="shared" si="0"/>
        <v>42.010000000000048</v>
      </c>
      <c r="B24" s="186">
        <v>315.16000000000003</v>
      </c>
      <c r="C24" s="185"/>
      <c r="D24" s="185">
        <v>-1518</v>
      </c>
      <c r="E24" s="185"/>
      <c r="F24" s="185"/>
      <c r="G24" s="34">
        <v>-1518</v>
      </c>
      <c r="H24" s="265">
        <v>-1428.3224593845093</v>
      </c>
      <c r="I24" s="108">
        <f t="shared" si="1"/>
        <v>5.9076113712444451</v>
      </c>
      <c r="J24" s="34">
        <f t="shared" si="2"/>
        <v>0.43060523938572715</v>
      </c>
      <c r="K24" s="34">
        <f t="shared" si="3"/>
        <v>0.36832830185159532</v>
      </c>
      <c r="L24" s="42">
        <f t="shared" si="4"/>
        <v>3170.5959424671937</v>
      </c>
      <c r="M24" s="334">
        <f t="shared" si="5"/>
        <v>-182.59592358874156</v>
      </c>
      <c r="N24" s="42"/>
      <c r="O24" s="76"/>
      <c r="P24" s="76"/>
      <c r="Q24" s="34"/>
      <c r="R24" s="42"/>
      <c r="S24" s="74"/>
      <c r="T24" s="75"/>
      <c r="U24" s="75"/>
      <c r="V24" s="76"/>
      <c r="W24" s="76"/>
      <c r="X24" s="76"/>
      <c r="Y24" s="42"/>
      <c r="Z24" s="74"/>
      <c r="AA24" s="75"/>
      <c r="AB24" s="75"/>
      <c r="AC24" s="34"/>
      <c r="AD24" s="34"/>
      <c r="AE24" s="34"/>
      <c r="AF24" s="34"/>
    </row>
    <row r="25" spans="1:32" ht="15.75" x14ac:dyDescent="0.25">
      <c r="A25" s="333">
        <f t="shared" si="0"/>
        <v>47.010000000000048</v>
      </c>
      <c r="B25" s="186">
        <v>320.16000000000003</v>
      </c>
      <c r="C25" s="185"/>
      <c r="D25" s="185">
        <v>-1435</v>
      </c>
      <c r="E25" s="185"/>
      <c r="F25" s="185"/>
      <c r="G25" s="33">
        <v>-1435</v>
      </c>
      <c r="H25" s="265">
        <v>-1368.9183822467407</v>
      </c>
      <c r="I25" s="108">
        <f t="shared" si="1"/>
        <v>4.6049907841992512</v>
      </c>
      <c r="J25" s="34">
        <f t="shared" si="2"/>
        <v>0.42157181571815716</v>
      </c>
      <c r="K25" s="34">
        <f t="shared" si="3"/>
        <v>0.36060135081837397</v>
      </c>
      <c r="L25" s="42">
        <f t="shared" si="4"/>
        <v>3146.1913109944662</v>
      </c>
      <c r="M25" s="334">
        <f t="shared" si="5"/>
        <v>-177.53855570764276</v>
      </c>
      <c r="N25" s="42"/>
      <c r="O25" s="76"/>
      <c r="P25" s="76"/>
      <c r="Q25" s="34"/>
      <c r="R25" s="42"/>
      <c r="S25" s="74"/>
      <c r="T25" s="75"/>
      <c r="U25" s="75"/>
      <c r="V25" s="76"/>
      <c r="W25" s="76"/>
      <c r="X25" s="76"/>
      <c r="Y25" s="42"/>
      <c r="Z25" s="74"/>
      <c r="AA25" s="75"/>
      <c r="AB25" s="75"/>
      <c r="AC25" s="34"/>
      <c r="AD25" s="34"/>
      <c r="AE25" s="34"/>
      <c r="AF25" s="34"/>
    </row>
    <row r="26" spans="1:32" ht="15.75" x14ac:dyDescent="0.25">
      <c r="A26" s="333">
        <f t="shared" si="0"/>
        <v>50.010000000000048</v>
      </c>
      <c r="B26" s="186">
        <v>323.16000000000003</v>
      </c>
      <c r="C26" s="185"/>
      <c r="D26" s="185">
        <v>-1382</v>
      </c>
      <c r="E26" s="185"/>
      <c r="F26" s="185"/>
      <c r="G26" s="34">
        <v>-1382</v>
      </c>
      <c r="H26" s="265">
        <v>-1335.3567550343018</v>
      </c>
      <c r="I26" s="108">
        <f t="shared" si="1"/>
        <v>3.3750539048985644</v>
      </c>
      <c r="J26" s="34">
        <f t="shared" si="2"/>
        <v>0.41615176151761513</v>
      </c>
      <c r="K26" s="34">
        <f t="shared" si="3"/>
        <v>0.35596518019844114</v>
      </c>
      <c r="L26" s="42">
        <f t="shared" si="4"/>
        <v>3131.6387913218955</v>
      </c>
      <c r="M26" s="334">
        <f t="shared" si="5"/>
        <v>-174.57925369983158</v>
      </c>
      <c r="N26" s="42"/>
      <c r="O26" s="76"/>
      <c r="P26" s="76"/>
      <c r="Q26" s="34"/>
      <c r="R26" s="42"/>
      <c r="S26" s="74"/>
      <c r="T26" s="75"/>
      <c r="U26" s="75"/>
      <c r="V26" s="76"/>
      <c r="W26" s="76"/>
      <c r="X26" s="76"/>
      <c r="Y26" s="42"/>
      <c r="Z26" s="74"/>
      <c r="AA26" s="75"/>
      <c r="AB26" s="75"/>
      <c r="AC26" s="34"/>
      <c r="AD26" s="34"/>
      <c r="AE26" s="34"/>
      <c r="AF26" s="34"/>
    </row>
    <row r="27" spans="1:32" ht="15.75" x14ac:dyDescent="0.25">
      <c r="A27" s="333">
        <f t="shared" si="0"/>
        <v>50.050000000000011</v>
      </c>
      <c r="B27" s="186">
        <v>323.2</v>
      </c>
      <c r="C27" s="185"/>
      <c r="D27" s="185"/>
      <c r="E27" s="185"/>
      <c r="F27" s="185">
        <v>-1309</v>
      </c>
      <c r="G27" s="34">
        <v>-1309</v>
      </c>
      <c r="H27" s="265">
        <v>-1334.9192583580186</v>
      </c>
      <c r="I27" s="108">
        <f t="shared" si="1"/>
        <v>1.9800808524078399</v>
      </c>
      <c r="J27" s="34">
        <f t="shared" si="2"/>
        <v>0.41607949412827461</v>
      </c>
      <c r="K27" s="34">
        <f t="shared" si="3"/>
        <v>0.35590336459017541</v>
      </c>
      <c r="L27" s="42">
        <f t="shared" si="4"/>
        <v>3131.4452131482794</v>
      </c>
      <c r="M27" s="334">
        <f t="shared" si="5"/>
        <v>-174.54016747331258</v>
      </c>
      <c r="N27" s="42"/>
      <c r="O27" s="76"/>
      <c r="P27" s="76"/>
      <c r="Q27" s="34"/>
      <c r="R27" s="42"/>
      <c r="S27" s="74"/>
      <c r="T27" s="75"/>
      <c r="U27" s="75"/>
      <c r="V27" s="76"/>
      <c r="W27" s="76"/>
      <c r="X27" s="76"/>
      <c r="Y27" s="42"/>
      <c r="Z27" s="74"/>
      <c r="AA27" s="75"/>
      <c r="AB27" s="75"/>
      <c r="AC27" s="34"/>
      <c r="AD27" s="34"/>
      <c r="AE27" s="34"/>
      <c r="AF27" s="34"/>
    </row>
    <row r="28" spans="1:32" ht="15.75" x14ac:dyDescent="0.25">
      <c r="A28" s="333">
        <f t="shared" si="0"/>
        <v>51.150000000000034</v>
      </c>
      <c r="B28" s="186">
        <v>324.3</v>
      </c>
      <c r="C28" s="185">
        <v>-1320</v>
      </c>
      <c r="D28" s="185">
        <v>-1292</v>
      </c>
      <c r="E28" s="185"/>
      <c r="F28" s="185"/>
      <c r="G28" s="34">
        <v>-1292</v>
      </c>
      <c r="H28" s="265">
        <v>-1322.988372483459</v>
      </c>
      <c r="I28" s="108">
        <f t="shared" si="1"/>
        <v>2.3984808423729866</v>
      </c>
      <c r="J28" s="34">
        <f t="shared" si="2"/>
        <v>0.41409214092140922</v>
      </c>
      <c r="K28" s="34">
        <f t="shared" si="3"/>
        <v>0.35420343536286675</v>
      </c>
      <c r="L28" s="42">
        <f t="shared" si="4"/>
        <v>3126.1264999055961</v>
      </c>
      <c r="M28" s="334">
        <f t="shared" si="5"/>
        <v>-173.46907469979485</v>
      </c>
      <c r="N28" s="42"/>
      <c r="O28" s="76"/>
      <c r="P28" s="76"/>
      <c r="Q28" s="34"/>
      <c r="R28" s="42"/>
      <c r="S28" s="74"/>
      <c r="T28" s="75"/>
      <c r="U28" s="75"/>
      <c r="V28" s="76"/>
      <c r="W28" s="76"/>
      <c r="X28" s="76"/>
      <c r="Y28" s="42"/>
      <c r="Z28" s="74"/>
      <c r="AA28" s="75"/>
      <c r="AB28" s="75"/>
      <c r="AC28" s="34"/>
      <c r="AD28" s="34"/>
      <c r="AE28" s="34"/>
      <c r="AF28" s="34"/>
    </row>
    <row r="29" spans="1:32" ht="15.75" x14ac:dyDescent="0.25">
      <c r="A29" s="333">
        <f t="shared" si="0"/>
        <v>55.010000000000048</v>
      </c>
      <c r="B29" s="186">
        <v>328.16</v>
      </c>
      <c r="C29" s="185"/>
      <c r="D29" s="186">
        <v>-1355</v>
      </c>
      <c r="E29" s="185"/>
      <c r="F29" s="185"/>
      <c r="G29" s="34">
        <v>-1355</v>
      </c>
      <c r="H29" s="265">
        <v>-1282.604119697987</v>
      </c>
      <c r="I29" s="108">
        <f t="shared" si="1"/>
        <v>5.3428693949825075</v>
      </c>
      <c r="J29" s="34">
        <f t="shared" si="2"/>
        <v>0.40711833785004514</v>
      </c>
      <c r="K29" s="34">
        <f t="shared" si="3"/>
        <v>0.34823822916521985</v>
      </c>
      <c r="L29" s="42">
        <f t="shared" si="4"/>
        <v>3107.5340198547256</v>
      </c>
      <c r="M29" s="334">
        <f t="shared" si="5"/>
        <v>-169.76732186362958</v>
      </c>
      <c r="N29" s="42"/>
      <c r="O29" s="76"/>
      <c r="P29" s="76"/>
      <c r="Q29" s="34"/>
      <c r="R29" s="42"/>
      <c r="S29" s="74"/>
      <c r="T29" s="75"/>
      <c r="U29" s="75"/>
      <c r="V29" s="76"/>
      <c r="W29" s="76"/>
      <c r="X29" s="76"/>
      <c r="Y29" s="42"/>
      <c r="Z29" s="74"/>
      <c r="AA29" s="75"/>
      <c r="AB29" s="75"/>
      <c r="AC29" s="34"/>
      <c r="AD29" s="34"/>
      <c r="AE29" s="34"/>
      <c r="AF29" s="34"/>
    </row>
    <row r="30" spans="1:32" ht="15.75" x14ac:dyDescent="0.25">
      <c r="A30" s="333">
        <f t="shared" si="0"/>
        <v>58.010000000000048</v>
      </c>
      <c r="B30" s="186">
        <v>331.16</v>
      </c>
      <c r="C30" s="185"/>
      <c r="D30" s="186">
        <v>-1301</v>
      </c>
      <c r="E30" s="185"/>
      <c r="F30" s="185"/>
      <c r="G30" s="34">
        <v>-1301</v>
      </c>
      <c r="H30" s="265">
        <v>-1252.7314205675225</v>
      </c>
      <c r="I30" s="108">
        <f t="shared" si="1"/>
        <v>3.7101137150251735</v>
      </c>
      <c r="J30" s="34">
        <f t="shared" si="2"/>
        <v>0.40169828364950311</v>
      </c>
      <c r="K30" s="34">
        <f t="shared" si="3"/>
        <v>0.34360205854528697</v>
      </c>
      <c r="L30" s="42">
        <f t="shared" si="4"/>
        <v>3093.1603071694576</v>
      </c>
      <c r="M30" s="334">
        <f t="shared" si="5"/>
        <v>-166.94990932796034</v>
      </c>
      <c r="N30" s="42"/>
      <c r="O30" s="76"/>
      <c r="P30" s="76"/>
      <c r="Q30" s="34"/>
      <c r="R30" s="42"/>
      <c r="S30" s="74"/>
      <c r="T30" s="75"/>
      <c r="U30" s="75"/>
      <c r="V30" s="76"/>
      <c r="W30" s="76"/>
      <c r="X30" s="76"/>
      <c r="Y30" s="42"/>
      <c r="Z30" s="74"/>
      <c r="AA30" s="75"/>
      <c r="AB30" s="75"/>
      <c r="AC30" s="34"/>
      <c r="AD30" s="34"/>
      <c r="AE30" s="34"/>
      <c r="AF30" s="34"/>
    </row>
    <row r="31" spans="1:32" ht="15.75" x14ac:dyDescent="0.25">
      <c r="A31" s="333">
        <f t="shared" si="0"/>
        <v>58.050000000000011</v>
      </c>
      <c r="B31" s="186">
        <v>331.2</v>
      </c>
      <c r="C31" s="185">
        <v>-1250</v>
      </c>
      <c r="D31" s="185"/>
      <c r="E31" s="185"/>
      <c r="F31" s="185"/>
      <c r="G31" s="34">
        <v>-1250</v>
      </c>
      <c r="H31" s="265">
        <v>-1252.3416762669467</v>
      </c>
      <c r="I31" s="108">
        <f t="shared" si="1"/>
        <v>0.1873341013557365</v>
      </c>
      <c r="J31" s="34">
        <f t="shared" si="2"/>
        <v>0.40162601626016259</v>
      </c>
      <c r="K31" s="34">
        <f t="shared" si="3"/>
        <v>0.34354024293702123</v>
      </c>
      <c r="L31" s="42">
        <f t="shared" si="4"/>
        <v>3092.9691074932293</v>
      </c>
      <c r="M31" s="334">
        <f t="shared" si="5"/>
        <v>-166.91268863159542</v>
      </c>
      <c r="N31" s="42"/>
      <c r="O31" s="76"/>
      <c r="P31" s="76"/>
      <c r="Q31" s="34"/>
      <c r="R31" s="42"/>
      <c r="S31" s="74"/>
      <c r="T31" s="75"/>
      <c r="U31" s="75"/>
      <c r="V31" s="76"/>
      <c r="W31" s="76"/>
      <c r="X31" s="76"/>
      <c r="Y31" s="42"/>
      <c r="Z31" s="74"/>
      <c r="AA31" s="75"/>
      <c r="AB31" s="75"/>
      <c r="AC31" s="34"/>
      <c r="AD31" s="34"/>
      <c r="AE31" s="34"/>
      <c r="AF31" s="34"/>
    </row>
    <row r="32" spans="1:32" ht="15.75" x14ac:dyDescent="0.25">
      <c r="A32" s="333">
        <f t="shared" si="0"/>
        <v>60.010000000000048</v>
      </c>
      <c r="B32" s="186">
        <v>333.16</v>
      </c>
      <c r="C32" s="185"/>
      <c r="D32" s="186">
        <v>-1268</v>
      </c>
      <c r="E32" s="185"/>
      <c r="F32" s="185"/>
      <c r="G32" s="34">
        <v>-1268</v>
      </c>
      <c r="H32" s="265">
        <v>-1233.5115098180111</v>
      </c>
      <c r="I32" s="108">
        <f t="shared" si="1"/>
        <v>2.719912474920263</v>
      </c>
      <c r="J32" s="34">
        <f t="shared" si="2"/>
        <v>0.39808491418247516</v>
      </c>
      <c r="K32" s="34">
        <f t="shared" si="3"/>
        <v>0.3405112781319985</v>
      </c>
      <c r="L32" s="42">
        <f t="shared" si="4"/>
        <v>3083.6147870292066</v>
      </c>
      <c r="M32" s="334">
        <f t="shared" si="5"/>
        <v>-165.09982308770498</v>
      </c>
      <c r="N32" s="42"/>
      <c r="O32" s="76"/>
      <c r="P32" s="76"/>
      <c r="Q32" s="34"/>
      <c r="R32" s="42"/>
      <c r="S32" s="74"/>
      <c r="T32" s="75"/>
      <c r="U32" s="75"/>
      <c r="V32" s="76"/>
      <c r="W32" s="76"/>
      <c r="X32" s="76"/>
      <c r="Y32" s="42"/>
      <c r="Z32" s="74"/>
      <c r="AA32" s="75"/>
      <c r="AB32" s="75"/>
      <c r="AC32" s="34"/>
      <c r="AD32" s="34"/>
      <c r="AE32" s="34"/>
      <c r="AF32" s="34"/>
    </row>
    <row r="33" spans="1:32" ht="15.75" x14ac:dyDescent="0.25">
      <c r="A33" s="333">
        <f t="shared" si="0"/>
        <v>61.050000000000011</v>
      </c>
      <c r="B33" s="186">
        <v>334.2</v>
      </c>
      <c r="C33" s="185">
        <v>-1270</v>
      </c>
      <c r="D33" s="185"/>
      <c r="E33" s="185"/>
      <c r="F33" s="185"/>
      <c r="G33" s="34">
        <v>-1270</v>
      </c>
      <c r="H33" s="265">
        <v>-1223.7287325988309</v>
      </c>
      <c r="I33" s="108">
        <f t="shared" si="1"/>
        <v>3.6434068819818184</v>
      </c>
      <c r="J33" s="34">
        <f t="shared" si="2"/>
        <v>0.39620596205962066</v>
      </c>
      <c r="K33" s="34">
        <f t="shared" si="3"/>
        <v>0.33890407231708852</v>
      </c>
      <c r="L33" s="42">
        <f t="shared" si="4"/>
        <v>3078.6627639386725</v>
      </c>
      <c r="M33" s="334">
        <f t="shared" si="5"/>
        <v>-164.14652933890807</v>
      </c>
      <c r="N33" s="42"/>
      <c r="O33" s="76"/>
      <c r="P33" s="76"/>
      <c r="Q33" s="34"/>
      <c r="R33" s="42"/>
      <c r="S33" s="74"/>
      <c r="T33" s="75"/>
      <c r="U33" s="75"/>
      <c r="V33" s="76"/>
      <c r="W33" s="76"/>
      <c r="X33" s="76"/>
      <c r="Y33" s="42"/>
      <c r="Z33" s="74"/>
      <c r="AA33" s="75"/>
      <c r="AB33" s="75"/>
      <c r="AC33" s="34"/>
      <c r="AD33" s="34"/>
      <c r="AE33" s="34"/>
      <c r="AF33" s="34"/>
    </row>
    <row r="34" spans="1:32" ht="15.75" x14ac:dyDescent="0.25">
      <c r="A34" s="333">
        <f t="shared" si="0"/>
        <v>64.350000000000023</v>
      </c>
      <c r="B34" s="186">
        <v>337.5</v>
      </c>
      <c r="C34" s="186">
        <v>-1120</v>
      </c>
      <c r="D34" s="185"/>
      <c r="E34" s="185"/>
      <c r="F34" s="185"/>
      <c r="G34" s="34">
        <v>-1120</v>
      </c>
      <c r="H34" s="265">
        <v>-1193.6086182319484</v>
      </c>
      <c r="I34" s="108">
        <f t="shared" si="1"/>
        <v>6.5721980564239653</v>
      </c>
      <c r="J34" s="34">
        <f t="shared" si="2"/>
        <v>0.3902439024390244</v>
      </c>
      <c r="K34" s="34">
        <f t="shared" si="3"/>
        <v>0.33380428463516237</v>
      </c>
      <c r="L34" s="42">
        <f t="shared" si="4"/>
        <v>3063.0022042045675</v>
      </c>
      <c r="M34" s="334">
        <f t="shared" si="5"/>
        <v>-161.16055258776174</v>
      </c>
      <c r="N34" s="42"/>
      <c r="O34" s="76"/>
      <c r="P34" s="76"/>
      <c r="Q34" s="34"/>
      <c r="R34" s="42"/>
      <c r="S34" s="74"/>
      <c r="T34" s="75"/>
      <c r="U34" s="75"/>
      <c r="V34" s="76"/>
      <c r="W34" s="76"/>
      <c r="X34" s="76"/>
      <c r="Y34" s="42"/>
      <c r="Z34" s="74"/>
      <c r="AA34" s="75"/>
      <c r="AB34" s="75"/>
      <c r="AC34" s="34"/>
      <c r="AD34" s="34"/>
      <c r="AE34" s="34"/>
      <c r="AF34" s="34"/>
    </row>
    <row r="35" spans="1:32" ht="15.75" x14ac:dyDescent="0.25">
      <c r="A35" s="333">
        <f t="shared" si="0"/>
        <v>65.010000000000048</v>
      </c>
      <c r="B35" s="186">
        <v>338.16</v>
      </c>
      <c r="C35" s="185"/>
      <c r="D35" s="186">
        <v>-1236</v>
      </c>
      <c r="E35" s="185"/>
      <c r="F35" s="185"/>
      <c r="G35" s="34">
        <v>-1236</v>
      </c>
      <c r="H35" s="265">
        <v>-1187.747617239691</v>
      </c>
      <c r="I35" s="108">
        <f t="shared" ref="I35:I47" si="6">100*ABS((G35-H35)/G35)</f>
        <v>3.9039144628081752</v>
      </c>
      <c r="J35" s="34">
        <f t="shared" ref="J35:J47" si="7">(1-B35/$C$3)</f>
        <v>0.38905149051490506</v>
      </c>
      <c r="K35" s="34">
        <f t="shared" si="3"/>
        <v>0.33278432709877709</v>
      </c>
      <c r="L35" s="42">
        <f t="shared" si="4"/>
        <v>3059.8796647219651</v>
      </c>
      <c r="M35" s="334">
        <f t="shared" ref="M35:M47" si="8">($E$14-$E$13/($C$10*B35))*1000</f>
        <v>-160.57035065362811</v>
      </c>
      <c r="N35" s="42"/>
      <c r="O35" s="76"/>
      <c r="P35" s="76"/>
      <c r="Q35" s="34"/>
      <c r="R35" s="42"/>
      <c r="S35" s="74"/>
      <c r="T35" s="75"/>
      <c r="U35" s="75"/>
      <c r="V35" s="76"/>
      <c r="W35" s="76"/>
      <c r="X35" s="76"/>
      <c r="Y35" s="42"/>
      <c r="Z35" s="74"/>
      <c r="AA35" s="75"/>
      <c r="AB35" s="75"/>
      <c r="AC35" s="34"/>
      <c r="AD35" s="34"/>
      <c r="AE35" s="34"/>
      <c r="AF35" s="34"/>
    </row>
    <row r="36" spans="1:32" ht="15.75" x14ac:dyDescent="0.25">
      <c r="A36" s="333">
        <f t="shared" si="0"/>
        <v>68.450000000000045</v>
      </c>
      <c r="B36" s="186">
        <v>341.6</v>
      </c>
      <c r="C36" s="186">
        <v>-1140</v>
      </c>
      <c r="D36" s="185"/>
      <c r="E36" s="185"/>
      <c r="F36" s="185"/>
      <c r="G36" s="34">
        <v>-1140</v>
      </c>
      <c r="H36" s="265">
        <v>-1158.0401141285665</v>
      </c>
      <c r="I36" s="108">
        <f t="shared" si="6"/>
        <v>1.5824661516286431</v>
      </c>
      <c r="J36" s="34">
        <f t="shared" si="7"/>
        <v>0.38283649503161699</v>
      </c>
      <c r="K36" s="34">
        <f t="shared" si="3"/>
        <v>0.32746818478792084</v>
      </c>
      <c r="L36" s="42">
        <f t="shared" si="4"/>
        <v>3043.6560706460555</v>
      </c>
      <c r="M36" s="334">
        <f t="shared" si="8"/>
        <v>-157.53106828576435</v>
      </c>
      <c r="N36" s="42"/>
      <c r="O36" s="76"/>
      <c r="P36" s="76"/>
      <c r="Q36" s="34"/>
      <c r="R36" s="42"/>
      <c r="S36" s="74"/>
      <c r="T36" s="75"/>
      <c r="U36" s="75"/>
      <c r="V36" s="76"/>
      <c r="W36" s="76"/>
      <c r="X36" s="76"/>
      <c r="Y36" s="42"/>
      <c r="Z36" s="74"/>
      <c r="AA36" s="75"/>
      <c r="AB36" s="75"/>
      <c r="AC36" s="34"/>
      <c r="AD36" s="34"/>
      <c r="AE36" s="34"/>
      <c r="AF36" s="34"/>
    </row>
    <row r="37" spans="1:32" ht="15.75" x14ac:dyDescent="0.25">
      <c r="A37" s="333">
        <f t="shared" si="0"/>
        <v>70.010000000000048</v>
      </c>
      <c r="B37" s="186">
        <v>343.16</v>
      </c>
      <c r="C37" s="185"/>
      <c r="D37" s="186">
        <v>-1180</v>
      </c>
      <c r="E37" s="185"/>
      <c r="F37" s="185"/>
      <c r="G37" s="34">
        <v>-1180</v>
      </c>
      <c r="H37" s="265">
        <v>-1145.0173929352829</v>
      </c>
      <c r="I37" s="108">
        <f t="shared" si="6"/>
        <v>2.9646277173489031</v>
      </c>
      <c r="J37" s="34">
        <f t="shared" si="7"/>
        <v>0.38001806684733508</v>
      </c>
      <c r="K37" s="34">
        <f t="shared" si="3"/>
        <v>0.32505737606555574</v>
      </c>
      <c r="L37" s="42">
        <f t="shared" si="4"/>
        <v>3036.3272358021436</v>
      </c>
      <c r="M37" s="334">
        <f t="shared" si="8"/>
        <v>-156.17287123837858</v>
      </c>
      <c r="N37" s="42"/>
      <c r="O37" s="76"/>
      <c r="P37" s="76"/>
      <c r="Q37" s="34"/>
      <c r="R37" s="42"/>
      <c r="S37" s="74"/>
      <c r="T37" s="75"/>
      <c r="U37" s="75"/>
      <c r="V37" s="76"/>
      <c r="W37" s="76"/>
      <c r="X37" s="76"/>
      <c r="Y37" s="42"/>
      <c r="Z37" s="74"/>
      <c r="AA37" s="75"/>
      <c r="AB37" s="75"/>
      <c r="AC37" s="34"/>
      <c r="AD37" s="34"/>
      <c r="AE37" s="34"/>
      <c r="AF37" s="34"/>
    </row>
    <row r="38" spans="1:32" ht="15.75" x14ac:dyDescent="0.25">
      <c r="A38" s="333">
        <f t="shared" si="0"/>
        <v>70.050000000000011</v>
      </c>
      <c r="B38" s="186">
        <v>343.2</v>
      </c>
      <c r="C38" s="185"/>
      <c r="D38" s="185"/>
      <c r="E38" s="185"/>
      <c r="F38" s="185">
        <v>-1121</v>
      </c>
      <c r="G38" s="34">
        <v>-1121</v>
      </c>
      <c r="H38" s="32">
        <v>-1144.6870525445222</v>
      </c>
      <c r="I38" s="108">
        <f t="shared" si="6"/>
        <v>2.1130287729279393</v>
      </c>
      <c r="J38" s="34">
        <f t="shared" si="7"/>
        <v>0.37994579945799456</v>
      </c>
      <c r="K38" s="34">
        <f t="shared" si="3"/>
        <v>0.32499556045729</v>
      </c>
      <c r="L38" s="42">
        <f t="shared" si="4"/>
        <v>3036.1395491882099</v>
      </c>
      <c r="M38" s="334">
        <f t="shared" si="8"/>
        <v>-156.13820803000888</v>
      </c>
      <c r="N38" s="42"/>
      <c r="O38" s="76"/>
      <c r="P38" s="76"/>
      <c r="Q38" s="34"/>
      <c r="R38" s="42"/>
      <c r="S38" s="74"/>
      <c r="T38" s="75"/>
      <c r="U38" s="75"/>
      <c r="V38" s="76"/>
      <c r="W38" s="76"/>
      <c r="X38" s="76"/>
      <c r="Y38" s="42"/>
      <c r="Z38" s="74"/>
      <c r="AA38" s="75"/>
      <c r="AB38" s="75"/>
      <c r="AC38" s="34"/>
      <c r="AD38" s="34"/>
      <c r="AE38" s="34"/>
      <c r="AF38" s="34"/>
    </row>
    <row r="39" spans="1:32" ht="15.75" x14ac:dyDescent="0.25">
      <c r="A39" s="333">
        <f t="shared" si="0"/>
        <v>70.850000000000023</v>
      </c>
      <c r="B39" s="186">
        <v>344</v>
      </c>
      <c r="C39" s="186">
        <v>-1080</v>
      </c>
      <c r="D39" s="185"/>
      <c r="E39" s="185"/>
      <c r="F39" s="185"/>
      <c r="G39" s="34">
        <v>-1080</v>
      </c>
      <c r="H39" s="32">
        <v>-1138.1172511887173</v>
      </c>
      <c r="I39" s="108">
        <f t="shared" si="6"/>
        <v>5.3812269619182702</v>
      </c>
      <c r="J39" s="34">
        <f t="shared" si="7"/>
        <v>0.3785004516711834</v>
      </c>
      <c r="K39" s="34">
        <f t="shared" si="3"/>
        <v>0.32375924829197461</v>
      </c>
      <c r="L39" s="42">
        <f t="shared" si="4"/>
        <v>3032.3882522927584</v>
      </c>
      <c r="M39" s="334">
        <f t="shared" si="8"/>
        <v>-155.44663671697683</v>
      </c>
      <c r="N39" s="42"/>
      <c r="O39" s="76"/>
      <c r="P39" s="76"/>
      <c r="Q39" s="34"/>
      <c r="R39" s="42"/>
      <c r="S39" s="74"/>
      <c r="T39" s="75"/>
      <c r="U39" s="75"/>
      <c r="V39" s="76"/>
      <c r="W39" s="76"/>
      <c r="X39" s="76"/>
      <c r="Y39" s="42"/>
      <c r="Z39" s="74"/>
      <c r="AA39" s="75"/>
      <c r="AB39" s="75"/>
      <c r="AC39" s="34"/>
      <c r="AD39" s="34"/>
      <c r="AE39" s="34"/>
      <c r="AF39" s="34"/>
    </row>
    <row r="40" spans="1:32" ht="15.75" x14ac:dyDescent="0.25">
      <c r="A40" s="333">
        <f t="shared" si="0"/>
        <v>75.010000000000048</v>
      </c>
      <c r="B40" s="186">
        <v>348.16</v>
      </c>
      <c r="C40" s="185"/>
      <c r="D40" s="186">
        <v>-1171</v>
      </c>
      <c r="E40" s="185"/>
      <c r="F40" s="185"/>
      <c r="G40" s="34">
        <v>-1171</v>
      </c>
      <c r="H40" s="32">
        <v>-1105.0574469240164</v>
      </c>
      <c r="I40" s="108">
        <f t="shared" si="6"/>
        <v>5.6313025684016731</v>
      </c>
      <c r="J40" s="34">
        <f t="shared" si="7"/>
        <v>0.37098464317976509</v>
      </c>
      <c r="K40" s="34">
        <f t="shared" si="3"/>
        <v>0.31733042503233438</v>
      </c>
      <c r="L40" s="42">
        <f t="shared" si="4"/>
        <v>3012.9560940467877</v>
      </c>
      <c r="M40" s="334">
        <f t="shared" si="8"/>
        <v>-151.90169810228949</v>
      </c>
      <c r="N40" s="42"/>
      <c r="O40" s="76"/>
      <c r="P40" s="76"/>
      <c r="Q40" s="34"/>
      <c r="R40" s="42"/>
      <c r="S40" s="74"/>
      <c r="T40" s="75"/>
      <c r="U40" s="75"/>
      <c r="V40" s="76"/>
      <c r="W40" s="76"/>
      <c r="X40" s="76"/>
      <c r="Y40" s="42"/>
      <c r="Z40" s="74"/>
      <c r="AA40" s="75"/>
      <c r="AB40" s="75"/>
      <c r="AC40" s="34"/>
      <c r="AD40" s="34"/>
      <c r="AE40" s="34"/>
      <c r="AF40" s="34"/>
    </row>
    <row r="41" spans="1:32" ht="15.75" x14ac:dyDescent="0.25">
      <c r="A41" s="333">
        <f t="shared" si="0"/>
        <v>77.75</v>
      </c>
      <c r="B41" s="186">
        <v>350.9</v>
      </c>
      <c r="C41" s="186">
        <v>-1100</v>
      </c>
      <c r="D41" s="185"/>
      <c r="E41" s="185"/>
      <c r="F41" s="185"/>
      <c r="G41" s="34">
        <v>-1100</v>
      </c>
      <c r="H41" s="32">
        <v>-1084.2484883995221</v>
      </c>
      <c r="I41" s="108">
        <f t="shared" si="6"/>
        <v>1.4319556000434452</v>
      </c>
      <c r="J41" s="34">
        <f t="shared" si="7"/>
        <v>0.36603432700993677</v>
      </c>
      <c r="K41" s="34">
        <f t="shared" si="3"/>
        <v>0.31309605586612915</v>
      </c>
      <c r="L41" s="42">
        <f t="shared" si="4"/>
        <v>3000.2250985525125</v>
      </c>
      <c r="M41" s="334">
        <f t="shared" si="8"/>
        <v>-149.61272322679105</v>
      </c>
      <c r="N41" s="42"/>
      <c r="O41" s="76"/>
      <c r="P41" s="76"/>
      <c r="Q41" s="34"/>
      <c r="R41" s="42"/>
      <c r="S41" s="74"/>
      <c r="T41" s="75"/>
      <c r="U41" s="75"/>
      <c r="V41" s="76"/>
      <c r="W41" s="76"/>
      <c r="X41" s="76"/>
      <c r="Y41" s="42"/>
      <c r="Z41" s="74"/>
      <c r="AA41" s="75"/>
      <c r="AB41" s="75"/>
      <c r="AC41" s="34"/>
      <c r="AD41" s="34"/>
      <c r="AE41" s="34"/>
      <c r="AF41" s="34"/>
    </row>
    <row r="42" spans="1:32" ht="15.75" x14ac:dyDescent="0.25">
      <c r="A42" s="333">
        <f t="shared" si="0"/>
        <v>89.050000000000011</v>
      </c>
      <c r="B42" s="186">
        <v>362.2</v>
      </c>
      <c r="C42" s="186">
        <v>-930</v>
      </c>
      <c r="D42" s="185"/>
      <c r="E42" s="185"/>
      <c r="F42" s="185"/>
      <c r="G42" s="34">
        <v>-930</v>
      </c>
      <c r="H42" s="33">
        <v>-1005.7340460615109</v>
      </c>
      <c r="I42" s="108">
        <f t="shared" si="6"/>
        <v>8.1434458130656839</v>
      </c>
      <c r="J42" s="34">
        <f t="shared" si="7"/>
        <v>0.3456187895212286</v>
      </c>
      <c r="K42" s="34">
        <f t="shared" si="3"/>
        <v>0.29563314653104894</v>
      </c>
      <c r="L42" s="42">
        <f t="shared" si="4"/>
        <v>2948.2872524976806</v>
      </c>
      <c r="M42" s="334">
        <f t="shared" si="8"/>
        <v>-140.53871154333862</v>
      </c>
      <c r="N42" s="42"/>
      <c r="O42" s="76"/>
      <c r="P42" s="76"/>
      <c r="Q42" s="34"/>
      <c r="R42" s="42"/>
      <c r="S42" s="74"/>
      <c r="T42" s="75"/>
      <c r="U42" s="75"/>
      <c r="V42" s="34"/>
      <c r="W42" s="76"/>
      <c r="X42" s="76"/>
      <c r="Y42" s="42"/>
      <c r="Z42" s="74"/>
      <c r="AA42" s="75"/>
      <c r="AB42" s="75"/>
      <c r="AC42" s="34"/>
      <c r="AD42" s="34"/>
      <c r="AE42" s="34"/>
      <c r="AF42" s="34"/>
    </row>
    <row r="43" spans="1:32" ht="15.75" x14ac:dyDescent="0.25">
      <c r="A43" s="333">
        <f t="shared" si="0"/>
        <v>97.150000000000034</v>
      </c>
      <c r="B43" s="186">
        <v>370.3</v>
      </c>
      <c r="C43" s="186">
        <v>-840</v>
      </c>
      <c r="D43" s="185"/>
      <c r="E43" s="185"/>
      <c r="F43" s="185"/>
      <c r="G43" s="335">
        <v>-840</v>
      </c>
      <c r="H43" s="109">
        <v>-955.84500210175747</v>
      </c>
      <c r="I43" s="108">
        <f t="shared" si="6"/>
        <v>13.79107167878065</v>
      </c>
      <c r="J43" s="34">
        <f t="shared" si="7"/>
        <v>0.33098464317976506</v>
      </c>
      <c r="K43" s="34">
        <f t="shared" si="3"/>
        <v>0.28311548585723023</v>
      </c>
      <c r="L43" s="42">
        <f t="shared" si="4"/>
        <v>2911.6116185686583</v>
      </c>
      <c r="M43" s="334">
        <f t="shared" si="8"/>
        <v>-134.37509565959937</v>
      </c>
      <c r="N43" s="34"/>
      <c r="O43" s="34"/>
      <c r="P43" s="34"/>
      <c r="Q43" s="34"/>
      <c r="R43" s="34"/>
      <c r="S43" s="34"/>
      <c r="T43" s="110"/>
      <c r="U43" s="110"/>
      <c r="V43" s="34"/>
      <c r="W43" s="76"/>
      <c r="X43" s="76"/>
      <c r="Y43" s="42"/>
      <c r="Z43" s="34"/>
      <c r="AA43" s="110"/>
      <c r="AB43" s="110"/>
      <c r="AC43" s="34"/>
      <c r="AD43" s="34"/>
      <c r="AE43" s="34"/>
      <c r="AF43" s="34"/>
    </row>
    <row r="44" spans="1:32" ht="15.75" x14ac:dyDescent="0.25">
      <c r="A44" s="333">
        <f t="shared" si="0"/>
        <v>100.05000000000001</v>
      </c>
      <c r="B44" s="185">
        <v>373.2</v>
      </c>
      <c r="C44" s="185"/>
      <c r="D44" s="185"/>
      <c r="E44" s="185"/>
      <c r="F44" s="185">
        <v>-910</v>
      </c>
      <c r="G44" s="34">
        <v>-910</v>
      </c>
      <c r="H44" s="34">
        <v>-939.12962132560085</v>
      </c>
      <c r="I44" s="108">
        <f t="shared" si="6"/>
        <v>3.2010572885275659</v>
      </c>
      <c r="J44" s="34">
        <f t="shared" si="7"/>
        <v>0.32574525745257454</v>
      </c>
      <c r="K44" s="34">
        <f t="shared" si="3"/>
        <v>0.27863385425796194</v>
      </c>
      <c r="L44" s="42">
        <f t="shared" si="4"/>
        <v>2898.5920441935777</v>
      </c>
      <c r="M44" s="334">
        <f t="shared" si="8"/>
        <v>-132.23341183999381</v>
      </c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</row>
    <row r="45" spans="1:32" ht="15.75" x14ac:dyDescent="0.25">
      <c r="A45" s="333">
        <f t="shared" si="0"/>
        <v>107.25</v>
      </c>
      <c r="B45" s="186">
        <v>380.4</v>
      </c>
      <c r="C45" s="186">
        <v>-900</v>
      </c>
      <c r="D45" s="185"/>
      <c r="E45" s="185"/>
      <c r="F45" s="185"/>
      <c r="G45" s="34">
        <v>-900</v>
      </c>
      <c r="H45" s="34">
        <v>-899.99993820628754</v>
      </c>
      <c r="I45" s="108">
        <f t="shared" si="6"/>
        <v>6.8659680512913228E-6</v>
      </c>
      <c r="J45" s="34">
        <f t="shared" si="7"/>
        <v>0.31273712737127379</v>
      </c>
      <c r="K45" s="34">
        <f t="shared" si="3"/>
        <v>0.26750704477012321</v>
      </c>
      <c r="L45" s="42">
        <f t="shared" si="4"/>
        <v>2866.5187304653641</v>
      </c>
      <c r="M45" s="334">
        <f t="shared" si="8"/>
        <v>-127.0573070750644</v>
      </c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</row>
    <row r="46" spans="1:32" ht="15.75" x14ac:dyDescent="0.25">
      <c r="A46" s="333">
        <f t="shared" si="0"/>
        <v>120.25</v>
      </c>
      <c r="B46" s="186">
        <v>393.4</v>
      </c>
      <c r="C46" s="186">
        <v>-750</v>
      </c>
      <c r="D46" s="185"/>
      <c r="E46" s="185"/>
      <c r="F46" s="185"/>
      <c r="G46" s="34">
        <v>-750</v>
      </c>
      <c r="H46" s="34">
        <v>-836.95561325539984</v>
      </c>
      <c r="I46" s="108">
        <f t="shared" si="6"/>
        <v>11.594081767386646</v>
      </c>
      <c r="J46" s="34">
        <f t="shared" si="7"/>
        <v>0.28925022583559168</v>
      </c>
      <c r="K46" s="34">
        <f t="shared" si="3"/>
        <v>0.24741697208374766</v>
      </c>
      <c r="L46" s="42">
        <f t="shared" si="4"/>
        <v>2809.5047855704697</v>
      </c>
      <c r="M46" s="334">
        <f t="shared" si="8"/>
        <v>-118.19144045728363</v>
      </c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</row>
    <row r="47" spans="1:32" ht="15.75" x14ac:dyDescent="0.25">
      <c r="A47" s="333">
        <f t="shared" si="0"/>
        <v>131.05000000000001</v>
      </c>
      <c r="B47" s="186">
        <v>404.2</v>
      </c>
      <c r="C47" s="186">
        <v>-800</v>
      </c>
      <c r="D47" s="185"/>
      <c r="E47" s="185"/>
      <c r="F47" s="185"/>
      <c r="G47" s="34">
        <v>-800</v>
      </c>
      <c r="H47" s="34">
        <v>-790.95684711917625</v>
      </c>
      <c r="I47" s="108">
        <f t="shared" si="6"/>
        <v>1.1303941101029693</v>
      </c>
      <c r="J47" s="34">
        <f t="shared" si="7"/>
        <v>0.26973803071364044</v>
      </c>
      <c r="K47" s="34">
        <f t="shared" si="3"/>
        <v>0.23072675785198951</v>
      </c>
      <c r="L47" s="42">
        <f t="shared" si="4"/>
        <v>2763.0026932319834</v>
      </c>
      <c r="M47" s="334">
        <f t="shared" si="8"/>
        <v>-111.25964409920475</v>
      </c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</row>
    <row r="48" spans="1:32" ht="15.75" x14ac:dyDescent="0.25">
      <c r="A48" s="333"/>
      <c r="B48" s="185"/>
      <c r="C48" s="185"/>
      <c r="D48" s="185"/>
      <c r="E48" s="185"/>
      <c r="F48" s="185"/>
      <c r="G48" s="34"/>
      <c r="H48" s="34"/>
      <c r="I48" s="34"/>
      <c r="J48" s="34"/>
      <c r="K48" s="34"/>
      <c r="L48" s="34"/>
      <c r="M48" s="336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</row>
    <row r="49" spans="1:31" customFormat="1" ht="16.5" thickBot="1" x14ac:dyDescent="0.3">
      <c r="A49" s="337"/>
      <c r="B49" s="338"/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9"/>
    </row>
    <row r="50" spans="1:31" ht="16.5" thickTop="1" x14ac:dyDescent="0.25">
      <c r="A50" s="216" t="s">
        <v>139</v>
      </c>
      <c r="B50"/>
      <c r="C50"/>
      <c r="D50"/>
      <c r="E50"/>
      <c r="F50" s="217" t="s">
        <v>87</v>
      </c>
      <c r="G50" s="218">
        <f>100*H50</f>
        <v>243.12848002569231</v>
      </c>
      <c r="H50">
        <v>2.4312848002569232</v>
      </c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</row>
    <row r="51" spans="1:31" ht="15.75" x14ac:dyDescent="0.25">
      <c r="A51"/>
      <c r="B51"/>
      <c r="C51"/>
      <c r="D51"/>
      <c r="E51"/>
      <c r="F51" s="217" t="s">
        <v>88</v>
      </c>
      <c r="G51" s="218">
        <f>100*H51</f>
        <v>144.86536846953791</v>
      </c>
      <c r="H51">
        <v>1.4486536846953793</v>
      </c>
      <c r="I51" s="34"/>
      <c r="J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</row>
    <row r="52" spans="1:31" ht="15.75" x14ac:dyDescent="0.25">
      <c r="A52"/>
      <c r="B52"/>
      <c r="C52"/>
      <c r="D52"/>
      <c r="E52"/>
      <c r="F52" s="217" t="s">
        <v>89</v>
      </c>
      <c r="G52" s="218">
        <f>100*H52</f>
        <v>899.08944159433042</v>
      </c>
      <c r="H52">
        <v>8.9908944159433037</v>
      </c>
      <c r="I52" s="34"/>
      <c r="J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</row>
    <row r="53" spans="1:31" ht="15.75" x14ac:dyDescent="0.25">
      <c r="A53" s="185"/>
      <c r="B53" s="185"/>
      <c r="C53" s="185"/>
      <c r="D53" s="185"/>
      <c r="E53" s="185"/>
      <c r="F53" s="185"/>
      <c r="G53" s="187"/>
      <c r="H53" s="31"/>
      <c r="I53" s="31"/>
      <c r="J53" s="34"/>
    </row>
    <row r="54" spans="1:31" ht="15.75" x14ac:dyDescent="0.25">
      <c r="A54" s="185"/>
      <c r="B54" s="186"/>
      <c r="C54" s="185"/>
      <c r="D54" s="185"/>
      <c r="E54" s="185"/>
      <c r="F54" s="186"/>
      <c r="G54" s="31"/>
      <c r="H54" s="31"/>
      <c r="I54" s="31"/>
      <c r="J54" s="34"/>
    </row>
    <row r="55" spans="1:31" ht="15.75" x14ac:dyDescent="0.25">
      <c r="A55" s="185"/>
      <c r="B55" s="186"/>
      <c r="C55" s="185"/>
      <c r="D55" s="186"/>
      <c r="E55" s="186"/>
      <c r="F55" s="185"/>
      <c r="G55" s="31"/>
      <c r="H55" s="31"/>
      <c r="I55" s="31"/>
      <c r="J55" s="34"/>
    </row>
    <row r="56" spans="1:31" ht="15.75" x14ac:dyDescent="0.25">
      <c r="A56" s="185"/>
      <c r="B56" s="185"/>
      <c r="C56" s="185"/>
      <c r="D56" s="185"/>
      <c r="E56" s="185"/>
      <c r="F56" s="185"/>
      <c r="G56" s="31"/>
      <c r="H56" s="31"/>
      <c r="I56" s="31"/>
      <c r="J56" s="34"/>
    </row>
    <row r="57" spans="1:31" ht="15.75" x14ac:dyDescent="0.25">
      <c r="A57" s="185"/>
      <c r="B57" s="185"/>
      <c r="C57" s="185"/>
      <c r="D57" s="185"/>
      <c r="E57" s="185"/>
      <c r="F57" s="185"/>
      <c r="G57" s="31"/>
      <c r="H57" s="31"/>
      <c r="I57" s="31"/>
      <c r="J57" s="34"/>
    </row>
    <row r="58" spans="1:31" ht="15.75" x14ac:dyDescent="0.25">
      <c r="A58" s="185"/>
      <c r="B58" s="186"/>
      <c r="C58" s="185"/>
      <c r="D58" s="185"/>
      <c r="E58" s="185"/>
      <c r="F58" s="186"/>
      <c r="G58" s="31"/>
      <c r="H58" s="31"/>
      <c r="I58" s="31"/>
      <c r="J58" s="34"/>
    </row>
    <row r="59" spans="1:31" ht="15.75" x14ac:dyDescent="0.25">
      <c r="A59" s="185"/>
      <c r="B59" s="185"/>
      <c r="C59" s="185"/>
      <c r="D59" s="185"/>
      <c r="E59" s="185"/>
      <c r="F59" s="185"/>
      <c r="G59" s="31"/>
      <c r="H59" s="31"/>
      <c r="I59" s="31"/>
      <c r="J59" s="34"/>
    </row>
    <row r="60" spans="1:31" ht="15.75" x14ac:dyDescent="0.25">
      <c r="A60" s="185"/>
      <c r="B60" s="186"/>
      <c r="C60" s="186"/>
      <c r="D60" s="185"/>
      <c r="E60" s="185"/>
      <c r="F60" s="185"/>
      <c r="G60" s="31"/>
      <c r="H60" s="31"/>
      <c r="I60" s="31"/>
      <c r="J60" s="34"/>
    </row>
    <row r="61" spans="1:31" ht="15.75" x14ac:dyDescent="0.25">
      <c r="A61" s="185"/>
      <c r="B61" s="186"/>
      <c r="C61" s="186"/>
      <c r="D61" s="186"/>
      <c r="E61" s="185"/>
      <c r="F61" s="185"/>
      <c r="G61" s="31"/>
      <c r="H61" s="31"/>
      <c r="I61" s="31"/>
      <c r="J61" s="34"/>
    </row>
    <row r="62" spans="1:31" ht="15.75" x14ac:dyDescent="0.25">
      <c r="A62" s="185"/>
      <c r="B62" s="186"/>
      <c r="C62" s="185"/>
      <c r="D62" s="185"/>
      <c r="E62" s="185"/>
      <c r="F62" s="185"/>
      <c r="G62" s="165"/>
      <c r="H62" s="188"/>
      <c r="I62" s="165"/>
      <c r="J62" s="34"/>
    </row>
    <row r="63" spans="1:31" ht="15.75" x14ac:dyDescent="0.25">
      <c r="A63" s="185"/>
      <c r="B63" s="186"/>
      <c r="C63" s="185"/>
      <c r="D63" s="185"/>
      <c r="E63" s="185"/>
      <c r="F63" s="186"/>
      <c r="G63" s="165"/>
      <c r="H63" s="188"/>
      <c r="I63" s="165"/>
      <c r="J63" s="34"/>
    </row>
    <row r="64" spans="1:31" ht="15.75" x14ac:dyDescent="0.25">
      <c r="A64" s="185"/>
      <c r="B64" s="186"/>
      <c r="C64" s="186"/>
      <c r="D64" s="185"/>
      <c r="E64" s="185"/>
      <c r="F64" s="186"/>
      <c r="G64" s="165"/>
      <c r="H64" s="188"/>
      <c r="I64" s="165"/>
      <c r="J64" s="34"/>
    </row>
    <row r="65" spans="1:10" ht="15.75" x14ac:dyDescent="0.25">
      <c r="A65" s="185"/>
      <c r="B65" s="186"/>
      <c r="C65" s="186"/>
      <c r="D65" s="185"/>
      <c r="E65" s="185"/>
      <c r="F65" s="185"/>
      <c r="G65" s="165"/>
      <c r="H65" s="165"/>
      <c r="I65" s="165"/>
      <c r="J65" s="34"/>
    </row>
    <row r="66" spans="1:10" ht="15.75" x14ac:dyDescent="0.25">
      <c r="A66" s="185"/>
      <c r="B66" s="186"/>
      <c r="C66" s="185"/>
      <c r="D66" s="185"/>
      <c r="E66" s="185"/>
      <c r="F66" s="186"/>
      <c r="G66" s="165"/>
      <c r="H66" s="165"/>
      <c r="I66" s="189"/>
      <c r="J66" s="34"/>
    </row>
    <row r="67" spans="1:10" ht="15.75" x14ac:dyDescent="0.25">
      <c r="A67" s="185"/>
      <c r="B67" s="185"/>
      <c r="C67" s="185"/>
      <c r="D67" s="185"/>
      <c r="E67" s="185"/>
      <c r="F67" s="185"/>
      <c r="G67" s="164"/>
      <c r="H67" s="167"/>
      <c r="I67" s="166"/>
      <c r="J67" s="34"/>
    </row>
    <row r="68" spans="1:10" x14ac:dyDescent="0.2">
      <c r="A68" s="164"/>
      <c r="B68" s="168"/>
      <c r="C68" s="164"/>
      <c r="D68" s="164"/>
      <c r="E68" s="164"/>
      <c r="F68" s="168"/>
      <c r="G68" s="164"/>
      <c r="H68" s="167"/>
      <c r="I68" s="166"/>
      <c r="J68" s="34"/>
    </row>
    <row r="69" spans="1:10" x14ac:dyDescent="0.2">
      <c r="A69" s="164"/>
      <c r="B69" s="168"/>
      <c r="C69" s="164"/>
      <c r="D69" s="168"/>
      <c r="E69" s="168"/>
      <c r="F69" s="164"/>
      <c r="G69" s="164"/>
      <c r="H69" s="167"/>
      <c r="I69" s="166"/>
      <c r="J69" s="34"/>
    </row>
    <row r="70" spans="1:10" x14ac:dyDescent="0.2">
      <c r="A70" s="164"/>
      <c r="B70" s="164"/>
      <c r="C70" s="164"/>
      <c r="D70" s="164"/>
      <c r="E70" s="164"/>
      <c r="F70" s="164"/>
      <c r="G70" s="164"/>
      <c r="H70" s="167"/>
      <c r="I70" s="166"/>
      <c r="J70" s="34"/>
    </row>
    <row r="71" spans="1:10" x14ac:dyDescent="0.2">
      <c r="A71" s="169"/>
      <c r="B71" s="164"/>
      <c r="C71" s="164"/>
      <c r="D71" s="164"/>
      <c r="E71" s="164"/>
      <c r="F71" s="164"/>
      <c r="G71" s="164"/>
      <c r="H71" s="167"/>
      <c r="I71" s="166"/>
      <c r="J71" s="34"/>
    </row>
    <row r="72" spans="1:10" x14ac:dyDescent="0.2">
      <c r="A72" s="169"/>
      <c r="B72" s="168"/>
      <c r="C72" s="164"/>
      <c r="D72" s="164"/>
      <c r="E72" s="164"/>
      <c r="F72" s="168"/>
      <c r="G72" s="164"/>
      <c r="H72" s="167"/>
      <c r="I72" s="166"/>
      <c r="J72" s="34"/>
    </row>
    <row r="73" spans="1:10" x14ac:dyDescent="0.2">
      <c r="A73" s="169"/>
      <c r="B73" s="164"/>
      <c r="C73" s="164"/>
      <c r="D73" s="164"/>
      <c r="E73" s="164"/>
      <c r="F73" s="164"/>
      <c r="G73" s="164"/>
      <c r="H73" s="167"/>
      <c r="I73" s="166"/>
      <c r="J73" s="34"/>
    </row>
    <row r="74" spans="1:10" x14ac:dyDescent="0.2">
      <c r="A74" s="169"/>
      <c r="B74" s="168"/>
      <c r="C74" s="168"/>
      <c r="D74" s="164"/>
      <c r="E74" s="164"/>
      <c r="F74" s="164"/>
      <c r="G74" s="164"/>
      <c r="H74" s="167"/>
      <c r="I74" s="166"/>
      <c r="J74" s="34"/>
    </row>
    <row r="75" spans="1:10" x14ac:dyDescent="0.2">
      <c r="A75" s="169"/>
      <c r="B75" s="168"/>
      <c r="C75" s="168"/>
      <c r="D75" s="168"/>
      <c r="E75" s="164"/>
      <c r="F75" s="164"/>
      <c r="G75" s="164"/>
      <c r="H75" s="167"/>
      <c r="I75" s="166"/>
      <c r="J75" s="34"/>
    </row>
    <row r="76" spans="1:10" x14ac:dyDescent="0.2">
      <c r="A76" s="169"/>
      <c r="B76" s="168"/>
      <c r="C76" s="164"/>
      <c r="D76" s="164"/>
      <c r="E76" s="164"/>
      <c r="F76" s="164"/>
      <c r="G76" s="164"/>
      <c r="H76" s="167"/>
      <c r="I76" s="166"/>
      <c r="J76" s="34"/>
    </row>
    <row r="77" spans="1:10" x14ac:dyDescent="0.2">
      <c r="A77" s="164"/>
      <c r="B77" s="168"/>
      <c r="C77" s="164"/>
      <c r="D77" s="164"/>
      <c r="E77" s="164"/>
      <c r="F77" s="168"/>
      <c r="G77" s="164"/>
      <c r="H77" s="167"/>
      <c r="I77" s="166"/>
      <c r="J77" s="34"/>
    </row>
    <row r="78" spans="1:10" x14ac:dyDescent="0.2">
      <c r="A78" s="164"/>
      <c r="B78" s="168"/>
      <c r="C78" s="168"/>
      <c r="D78" s="164"/>
      <c r="E78" s="164"/>
      <c r="F78" s="168"/>
      <c r="G78" s="164"/>
      <c r="H78" s="167"/>
      <c r="I78" s="166"/>
      <c r="J78" s="34"/>
    </row>
    <row r="79" spans="1:10" x14ac:dyDescent="0.2">
      <c r="A79" s="164"/>
      <c r="B79" s="168"/>
      <c r="C79" s="168"/>
      <c r="D79" s="164"/>
      <c r="E79" s="164"/>
      <c r="F79" s="164"/>
      <c r="G79" s="164"/>
      <c r="H79" s="167"/>
      <c r="I79" s="166"/>
      <c r="J79" s="34"/>
    </row>
    <row r="80" spans="1:10" x14ac:dyDescent="0.2">
      <c r="A80" s="164"/>
      <c r="B80" s="168"/>
      <c r="C80" s="164"/>
      <c r="D80" s="164"/>
      <c r="E80" s="164"/>
      <c r="F80" s="168"/>
      <c r="G80" s="164"/>
      <c r="H80" s="167"/>
      <c r="I80" s="166"/>
      <c r="J80" s="34"/>
    </row>
    <row r="81" spans="1:10" x14ac:dyDescent="0.2">
      <c r="A81" s="164"/>
      <c r="B81" s="164"/>
      <c r="C81" s="164"/>
      <c r="D81" s="164"/>
      <c r="E81" s="164"/>
      <c r="F81" s="164"/>
      <c r="G81" s="164"/>
      <c r="H81" s="167"/>
      <c r="I81" s="166"/>
      <c r="J81" s="34"/>
    </row>
    <row r="82" spans="1:10" x14ac:dyDescent="0.2">
      <c r="A82" s="164"/>
      <c r="B82" s="164"/>
      <c r="C82" s="164"/>
      <c r="D82" s="164"/>
      <c r="E82" s="164"/>
      <c r="F82" s="164"/>
      <c r="G82" s="164"/>
      <c r="H82" s="167"/>
      <c r="I82" s="166"/>
      <c r="J82" s="34"/>
    </row>
    <row r="83" spans="1:10" x14ac:dyDescent="0.2">
      <c r="A83" s="170"/>
      <c r="B83" s="170"/>
      <c r="C83" s="171"/>
      <c r="D83" s="171"/>
      <c r="E83" s="171"/>
      <c r="F83" s="171"/>
      <c r="G83" s="171"/>
      <c r="H83" s="172"/>
      <c r="I83" s="173"/>
    </row>
    <row r="84" spans="1:10" x14ac:dyDescent="0.2">
      <c r="A84" s="34"/>
      <c r="B84" s="34"/>
    </row>
    <row r="85" spans="1:10" x14ac:dyDescent="0.2">
      <c r="A85" s="34"/>
      <c r="B85" s="34"/>
    </row>
    <row r="86" spans="1:10" x14ac:dyDescent="0.2">
      <c r="A86" s="34"/>
      <c r="B86" s="34"/>
    </row>
  </sheetData>
  <phoneticPr fontId="25" type="noConversion"/>
  <pageMargins left="0.75" right="0.75" top="1" bottom="1" header="0.5" footer="0.5"/>
  <headerFooter alignWithMargins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41"/>
  <sheetViews>
    <sheetView workbookViewId="0">
      <selection activeCell="D11" sqref="D11"/>
    </sheetView>
  </sheetViews>
  <sheetFormatPr defaultColWidth="8" defaultRowHeight="12.75" x14ac:dyDescent="0.2"/>
  <cols>
    <col min="1" max="2" width="8" style="2" customWidth="1"/>
    <col min="3" max="3" width="7.625" style="2" customWidth="1"/>
    <col min="4" max="4" width="14.75" style="2" customWidth="1"/>
    <col min="5" max="5" width="11" style="2" customWidth="1"/>
    <col min="6" max="16384" width="8" style="2"/>
  </cols>
  <sheetData>
    <row r="1" spans="1:8" ht="30" x14ac:dyDescent="0.4">
      <c r="A1" s="270" t="str">
        <f>' T = Tb'!A1</f>
        <v>Cyclohexane</v>
      </c>
      <c r="B1" s="1"/>
      <c r="E1" s="2" t="s">
        <v>90</v>
      </c>
    </row>
    <row r="2" spans="1:8" x14ac:dyDescent="0.2">
      <c r="B2" s="4" t="s">
        <v>15</v>
      </c>
      <c r="C2" s="5">
        <f>' T = Tb'!B2</f>
        <v>84.161000000000001</v>
      </c>
    </row>
    <row r="3" spans="1:8" ht="15.75" x14ac:dyDescent="0.3">
      <c r="B3" s="4" t="s">
        <v>17</v>
      </c>
      <c r="C3" s="5">
        <f>' T = Tb'!B3</f>
        <v>553.5</v>
      </c>
    </row>
    <row r="4" spans="1:8" ht="15.75" x14ac:dyDescent="0.3">
      <c r="B4" s="4" t="s">
        <v>18</v>
      </c>
      <c r="C4" s="5">
        <f>' T = Tb'!B4</f>
        <v>40.729999999999997</v>
      </c>
    </row>
    <row r="5" spans="1:8" ht="15.75" x14ac:dyDescent="0.3">
      <c r="B5" s="4" t="s">
        <v>18</v>
      </c>
      <c r="C5" s="5">
        <f>' T = Tb'!B5</f>
        <v>4072.9999999999995</v>
      </c>
    </row>
    <row r="6" spans="1:8" ht="15.75" x14ac:dyDescent="0.3">
      <c r="B6" s="4" t="s">
        <v>19</v>
      </c>
      <c r="C6" s="5">
        <f>' T = Tb'!B6</f>
        <v>308</v>
      </c>
    </row>
    <row r="7" spans="1:8" ht="15.75" x14ac:dyDescent="0.3">
      <c r="B7" s="4" t="s">
        <v>19</v>
      </c>
      <c r="C7" s="5">
        <f>' T = Tb'!B7</f>
        <v>0.308</v>
      </c>
      <c r="D7" s="111">
        <f>D41</f>
        <v>0.42371236972133569</v>
      </c>
    </row>
    <row r="8" spans="1:8" ht="15.75" x14ac:dyDescent="0.3">
      <c r="B8" s="4" t="s">
        <v>26</v>
      </c>
      <c r="C8" s="5">
        <f>' T = Tb'!B8</f>
        <v>0.27300000000000002</v>
      </c>
      <c r="F8" s="2" t="s">
        <v>91</v>
      </c>
    </row>
    <row r="9" spans="1:8" x14ac:dyDescent="0.2">
      <c r="B9" s="9" t="s">
        <v>29</v>
      </c>
      <c r="C9" s="5">
        <f>' T = Tb'!B9</f>
        <v>0.21099999999999999</v>
      </c>
      <c r="F9" s="2" t="s">
        <v>92</v>
      </c>
    </row>
    <row r="10" spans="1:8" ht="14.25" x14ac:dyDescent="0.25">
      <c r="B10" s="2" t="s">
        <v>11</v>
      </c>
      <c r="C10" s="5">
        <v>8.3145100000000003</v>
      </c>
      <c r="F10" s="63" t="s">
        <v>124</v>
      </c>
    </row>
    <row r="12" spans="1:8" x14ac:dyDescent="0.2">
      <c r="C12" s="4" t="s">
        <v>13</v>
      </c>
    </row>
    <row r="15" spans="1:8" x14ac:dyDescent="0.2">
      <c r="A15" s="99"/>
      <c r="B15" s="100"/>
      <c r="C15" s="100"/>
      <c r="D15" s="233" t="s">
        <v>148</v>
      </c>
      <c r="E15" s="240" t="s">
        <v>93</v>
      </c>
      <c r="F15" s="241" t="s">
        <v>154</v>
      </c>
      <c r="G15" s="100">
        <v>-5.0110732936280843E-2</v>
      </c>
      <c r="H15" s="157"/>
    </row>
    <row r="16" spans="1:8" x14ac:dyDescent="0.2">
      <c r="A16" s="61"/>
      <c r="B16" s="34"/>
      <c r="C16" s="34"/>
      <c r="D16" s="234" t="s">
        <v>78</v>
      </c>
      <c r="E16" s="234" t="s">
        <v>78</v>
      </c>
      <c r="F16" s="174" t="s">
        <v>155</v>
      </c>
      <c r="G16" s="34">
        <v>2.1846049427841967</v>
      </c>
      <c r="H16" s="158"/>
    </row>
    <row r="17" spans="1:8" ht="14.25" x14ac:dyDescent="0.25">
      <c r="A17" s="61"/>
      <c r="B17" s="68" t="s">
        <v>49</v>
      </c>
      <c r="C17" s="68" t="s">
        <v>45</v>
      </c>
      <c r="D17" s="235" t="s">
        <v>106</v>
      </c>
      <c r="E17" s="235" t="s">
        <v>106</v>
      </c>
      <c r="F17" s="175" t="s">
        <v>94</v>
      </c>
      <c r="G17" s="161"/>
      <c r="H17" s="242" t="s">
        <v>156</v>
      </c>
    </row>
    <row r="18" spans="1:8" x14ac:dyDescent="0.2">
      <c r="A18" s="225"/>
      <c r="B18" s="43" t="s">
        <v>2</v>
      </c>
      <c r="C18" s="43" t="s">
        <v>7</v>
      </c>
      <c r="D18" s="236" t="s">
        <v>23</v>
      </c>
      <c r="E18" s="236" t="s">
        <v>23</v>
      </c>
      <c r="F18" s="176" t="s">
        <v>23</v>
      </c>
      <c r="G18" s="176"/>
      <c r="H18" s="158"/>
    </row>
    <row r="19" spans="1:8" ht="15.75" x14ac:dyDescent="0.25">
      <c r="A19" s="226" t="s">
        <v>79</v>
      </c>
      <c r="B19" s="34"/>
      <c r="C19" s="34"/>
      <c r="D19" s="237">
        <v>0.18002054668564504</v>
      </c>
      <c r="E19" s="237"/>
      <c r="F19" s="177"/>
      <c r="G19" s="224"/>
      <c r="H19" s="227">
        <f>SUM(H20:I41)</f>
        <v>1.3603068833893543</v>
      </c>
    </row>
    <row r="20" spans="1:8" x14ac:dyDescent="0.2">
      <c r="A20" s="226" t="s">
        <v>52</v>
      </c>
      <c r="B20" s="108">
        <f>Tmin!I1</f>
        <v>282.11</v>
      </c>
      <c r="C20" s="76">
        <f>Tmin!I3</f>
        <v>5.9989002783289953E-2</v>
      </c>
      <c r="D20" s="238">
        <f>Tmin!B15</f>
        <v>0.15886797403654285</v>
      </c>
      <c r="E20" s="238">
        <f t="shared" ref="E20:E41" si="0">$D$41*$C$8^((1-B20/$C$3)^0.2857)</f>
        <v>0.14692920959725828</v>
      </c>
      <c r="F20" s="76">
        <f>E20-D20</f>
        <v>-1.1938764439284572E-2</v>
      </c>
      <c r="G20" s="76">
        <f>$G$15*($G$16-B20/$C$3)</f>
        <v>-8.3931524563466448E-2</v>
      </c>
      <c r="H20" s="228">
        <f>ABS(G20-F20)</f>
        <v>7.1992760124181876E-2</v>
      </c>
    </row>
    <row r="21" spans="1:8" x14ac:dyDescent="0.2">
      <c r="A21" s="226" t="s">
        <v>53</v>
      </c>
      <c r="B21" s="108">
        <f>'T2'!I1</f>
        <v>291.77860134885822</v>
      </c>
      <c r="C21" s="76">
        <f>'T2'!I3</f>
        <v>9.6889293865363255E-2</v>
      </c>
      <c r="D21" s="238">
        <f>'T2'!B15</f>
        <v>0.16006508994473784</v>
      </c>
      <c r="E21" s="238">
        <f t="shared" si="0"/>
        <v>0.14854247225931708</v>
      </c>
      <c r="F21" s="76">
        <f t="shared" ref="F21:F41" si="1">E21-D21</f>
        <v>-1.1522617685420761E-2</v>
      </c>
      <c r="G21" s="76">
        <f t="shared" ref="G21:G41" si="2">$G$15*($G$16-B21/$C$3)</f>
        <v>-8.3056184545291206E-2</v>
      </c>
      <c r="H21" s="228">
        <f t="shared" ref="H21:H41" si="3">ABS(G21-F21)</f>
        <v>7.1533566859870445E-2</v>
      </c>
    </row>
    <row r="22" spans="1:8" x14ac:dyDescent="0.2">
      <c r="A22" s="226" t="s">
        <v>54</v>
      </c>
      <c r="B22" s="108">
        <f>'T3'!I1</f>
        <v>301.77856937044379</v>
      </c>
      <c r="C22" s="76">
        <f>'T3'!I3</f>
        <v>0.15297578457613945</v>
      </c>
      <c r="D22" s="238">
        <f>'T3'!B15</f>
        <v>0.16137316940622423</v>
      </c>
      <c r="E22" s="238">
        <f t="shared" si="0"/>
        <v>0.15027586473089294</v>
      </c>
      <c r="F22" s="76">
        <f t="shared" si="1"/>
        <v>-1.1097304675331293E-2</v>
      </c>
      <c r="G22" s="76">
        <f t="shared" si="2"/>
        <v>-8.2150844478622684E-2</v>
      </c>
      <c r="H22" s="228">
        <f t="shared" si="3"/>
        <v>7.1053539803291391E-2</v>
      </c>
    </row>
    <row r="23" spans="1:8" x14ac:dyDescent="0.2">
      <c r="A23" s="226" t="s">
        <v>55</v>
      </c>
      <c r="B23" s="108">
        <f>'T4'!I1</f>
        <v>312.12126081304262</v>
      </c>
      <c r="C23" s="32">
        <f>'T4'!I3</f>
        <v>0.23642385647017744</v>
      </c>
      <c r="D23" s="238">
        <f>'T4'!B15</f>
        <v>0.16280799846947722</v>
      </c>
      <c r="E23" s="238">
        <f t="shared" si="0"/>
        <v>0.15214344719525133</v>
      </c>
      <c r="F23" s="76">
        <f t="shared" si="1"/>
        <v>-1.0664551274225886E-2</v>
      </c>
      <c r="G23" s="76">
        <f t="shared" si="2"/>
        <v>-8.1214476188247939E-2</v>
      </c>
      <c r="H23" s="228">
        <f t="shared" si="3"/>
        <v>7.0549924914022052E-2</v>
      </c>
    </row>
    <row r="24" spans="1:8" x14ac:dyDescent="0.2">
      <c r="A24" s="226" t="s">
        <v>56</v>
      </c>
      <c r="B24" s="108">
        <f>'T5'!I1</f>
        <v>322.81842164854754</v>
      </c>
      <c r="C24" s="32">
        <f>'T5'!I3</f>
        <v>0.35811104041134006</v>
      </c>
      <c r="D24" s="238">
        <f>'T5'!B15</f>
        <v>0.16438841243443053</v>
      </c>
      <c r="E24" s="238">
        <f t="shared" si="0"/>
        <v>0.15416177896892549</v>
      </c>
      <c r="F24" s="76">
        <f t="shared" si="1"/>
        <v>-1.0226633465505036E-2</v>
      </c>
      <c r="G24" s="76">
        <f t="shared" si="2"/>
        <v>-8.0246016260868649E-2</v>
      </c>
      <c r="H24" s="228">
        <f t="shared" si="3"/>
        <v>7.0019382795363613E-2</v>
      </c>
    </row>
    <row r="25" spans="1:8" x14ac:dyDescent="0.2">
      <c r="A25" s="226" t="s">
        <v>57</v>
      </c>
      <c r="B25" s="108">
        <f>'T6'!I1</f>
        <v>333.88220041210576</v>
      </c>
      <c r="C25" s="32">
        <f>'T6'!I3</f>
        <v>0.5322296394350029</v>
      </c>
      <c r="D25" s="238">
        <f>'T6'!B15</f>
        <v>0.1661370398442604</v>
      </c>
      <c r="E25" s="238">
        <f t="shared" si="0"/>
        <v>0.15635054548648941</v>
      </c>
      <c r="F25" s="76">
        <f t="shared" si="1"/>
        <v>-9.7864943577709862E-3</v>
      </c>
      <c r="G25" s="76">
        <f t="shared" si="2"/>
        <v>-7.924436483740567E-2</v>
      </c>
      <c r="H25" s="228">
        <f t="shared" si="3"/>
        <v>6.9457870479634684E-2</v>
      </c>
    </row>
    <row r="26" spans="1:8" x14ac:dyDescent="0.2">
      <c r="A26" s="226" t="s">
        <v>58</v>
      </c>
      <c r="B26" s="108">
        <f>'T7'!I1</f>
        <v>345.32516199894849</v>
      </c>
      <c r="C26" s="32">
        <f>'T7'!I3</f>
        <v>0.77695697672529052</v>
      </c>
      <c r="D26" s="238">
        <f>'T7'!B15</f>
        <v>0.1680812998912565</v>
      </c>
      <c r="E26" s="238">
        <f t="shared" si="0"/>
        <v>0.15873339552852953</v>
      </c>
      <c r="F26" s="76">
        <f t="shared" si="1"/>
        <v>-9.3479043627269776E-3</v>
      </c>
      <c r="G26" s="76">
        <f t="shared" si="2"/>
        <v>-7.8208384363912628E-2</v>
      </c>
      <c r="H26" s="228">
        <f t="shared" si="3"/>
        <v>6.886048000118565E-2</v>
      </c>
    </row>
    <row r="27" spans="1:8" x14ac:dyDescent="0.2">
      <c r="A27" s="226" t="s">
        <v>59</v>
      </c>
      <c r="B27" s="108">
        <f>'T8'!I1</f>
        <v>357.16030193407204</v>
      </c>
      <c r="C27" s="32">
        <f>'T8'!I3</f>
        <v>1.1151690481244323</v>
      </c>
      <c r="D27" s="238">
        <f>'T8'!B15</f>
        <v>0.17025474465960611</v>
      </c>
      <c r="E27" s="238">
        <f t="shared" si="0"/>
        <v>0.16133907970352671</v>
      </c>
      <c r="F27" s="76">
        <f t="shared" si="1"/>
        <v>-8.9156649560793999E-3</v>
      </c>
      <c r="G27" s="76">
        <f t="shared" si="2"/>
        <v>-7.7136898299680498E-2</v>
      </c>
      <c r="H27" s="228">
        <f t="shared" si="3"/>
        <v>6.8221233343601098E-2</v>
      </c>
    </row>
    <row r="28" spans="1:8" x14ac:dyDescent="0.2">
      <c r="A28" s="226" t="s">
        <v>60</v>
      </c>
      <c r="B28" s="108">
        <f>'T9'!I1</f>
        <v>369.40106113097517</v>
      </c>
      <c r="C28" s="32">
        <f>'T9'!I3</f>
        <v>1.5751790376191113</v>
      </c>
      <c r="D28" s="238">
        <f>'T9'!B15</f>
        <v>0.17269890421240794</v>
      </c>
      <c r="E28" s="238">
        <f t="shared" si="0"/>
        <v>0.164203030927948</v>
      </c>
      <c r="F28" s="76">
        <f t="shared" si="1"/>
        <v>-8.4958732844599427E-3</v>
      </c>
      <c r="G28" s="76">
        <f t="shared" si="2"/>
        <v>-7.6028689781065611E-2</v>
      </c>
      <c r="H28" s="228">
        <f t="shared" si="3"/>
        <v>6.7532816496605669E-2</v>
      </c>
    </row>
    <row r="29" spans="1:8" x14ac:dyDescent="0.2">
      <c r="A29" s="226" t="s">
        <v>61</v>
      </c>
      <c r="B29" s="108">
        <f>'T10#'!I1</f>
        <v>382.06134115621563</v>
      </c>
      <c r="C29" s="32">
        <f>'T10#'!I3</f>
        <v>2.1951194728688952</v>
      </c>
      <c r="D29" s="238">
        <f>'T10#'!B15</f>
        <v>0.17548281667760959</v>
      </c>
      <c r="E29" s="238">
        <f t="shared" si="0"/>
        <v>0.16736961120666466</v>
      </c>
      <c r="F29" s="76">
        <f t="shared" si="1"/>
        <v>-8.1132054709449342E-3</v>
      </c>
      <c r="G29" s="76">
        <f t="shared" si="2"/>
        <v>-7.4882500239523864E-2</v>
      </c>
      <c r="H29" s="228">
        <f t="shared" si="3"/>
        <v>6.676929476857893E-2</v>
      </c>
    </row>
    <row r="30" spans="1:8" x14ac:dyDescent="0.2">
      <c r="A30" s="226" t="s">
        <v>62</v>
      </c>
      <c r="B30" s="108">
        <f>'T11'!I1</f>
        <v>395.15552001711933</v>
      </c>
      <c r="C30" s="32">
        <f>'T11'!I3</f>
        <v>3.0136125409209025</v>
      </c>
      <c r="D30" s="238">
        <f>'T11'!B15</f>
        <v>0.17865537124683364</v>
      </c>
      <c r="E30" s="238">
        <f t="shared" si="0"/>
        <v>0.17089539479467938</v>
      </c>
      <c r="F30" s="76">
        <f t="shared" si="1"/>
        <v>-7.7599764521542602E-3</v>
      </c>
      <c r="G30" s="76">
        <f t="shared" si="2"/>
        <v>-7.3697027972281517E-2</v>
      </c>
      <c r="H30" s="228">
        <f t="shared" si="3"/>
        <v>6.5937051520127257E-2</v>
      </c>
    </row>
    <row r="31" spans="1:8" x14ac:dyDescent="0.2">
      <c r="A31" s="226" t="s">
        <v>63</v>
      </c>
      <c r="B31" s="108">
        <f>'T12'!I1</f>
        <v>408.69846849057387</v>
      </c>
      <c r="C31" s="32">
        <f>'T12'!I3</f>
        <v>4.0833336596706147</v>
      </c>
      <c r="D31" s="238">
        <f>'T12'!B15</f>
        <v>0.18231702957701265</v>
      </c>
      <c r="E31" s="238">
        <f t="shared" si="0"/>
        <v>0.17485412355037927</v>
      </c>
      <c r="F31" s="76">
        <f t="shared" si="1"/>
        <v>-7.4629060266333813E-3</v>
      </c>
      <c r="G31" s="76">
        <f t="shared" si="2"/>
        <v>-7.2470926664019372E-2</v>
      </c>
      <c r="H31" s="228">
        <f t="shared" si="3"/>
        <v>6.5008020637385991E-2</v>
      </c>
    </row>
    <row r="32" spans="1:8" x14ac:dyDescent="0.2">
      <c r="A32" s="226" t="s">
        <v>64</v>
      </c>
      <c r="B32" s="108">
        <f>'T13'!I1</f>
        <v>422.70556701144949</v>
      </c>
      <c r="C32" s="108">
        <f>'T13'!I3</f>
        <v>5.4653241467681433</v>
      </c>
      <c r="D32" s="238">
        <f>'T13'!B15</f>
        <v>0.18659311795897909</v>
      </c>
      <c r="E32" s="238">
        <f t="shared" si="0"/>
        <v>0.17934448035697817</v>
      </c>
      <c r="F32" s="76">
        <f t="shared" si="1"/>
        <v>-7.2486376020009236E-3</v>
      </c>
      <c r="G32" s="76">
        <f t="shared" si="2"/>
        <v>-7.1202803857891517E-2</v>
      </c>
      <c r="H32" s="228">
        <f t="shared" si="3"/>
        <v>6.3954166255890593E-2</v>
      </c>
    </row>
    <row r="33" spans="1:8" x14ac:dyDescent="0.2">
      <c r="A33" s="226" t="s">
        <v>65</v>
      </c>
      <c r="B33" s="108">
        <f>'T14'!I1</f>
        <v>437.19272313982765</v>
      </c>
      <c r="C33" s="108">
        <f>'T14'!I3</f>
        <v>7.2322144341739794</v>
      </c>
      <c r="D33" s="238">
        <f>'T14'!B15</f>
        <v>0.19165988536529444</v>
      </c>
      <c r="E33" s="238">
        <f t="shared" si="0"/>
        <v>0.18450286812023772</v>
      </c>
      <c r="F33" s="76">
        <f t="shared" si="1"/>
        <v>-7.1570172450567127E-3</v>
      </c>
      <c r="G33" s="76">
        <f t="shared" si="2"/>
        <v>-6.9891219374142E-2</v>
      </c>
      <c r="H33" s="228">
        <f t="shared" si="3"/>
        <v>6.2734202129085287E-2</v>
      </c>
    </row>
    <row r="34" spans="1:8" x14ac:dyDescent="0.2">
      <c r="A34" s="226" t="s">
        <v>66</v>
      </c>
      <c r="B34" s="108">
        <f>'T15'!I1</f>
        <v>452.1763896268742</v>
      </c>
      <c r="C34" s="108">
        <f>'T15'!I3</f>
        <v>9.4706375657707227</v>
      </c>
      <c r="D34" s="238">
        <f>'T15'!B15</f>
        <v>0.19777614662262244</v>
      </c>
      <c r="E34" s="238">
        <f t="shared" si="0"/>
        <v>0.19052567651564883</v>
      </c>
      <c r="F34" s="76">
        <f t="shared" si="1"/>
        <v>-7.2504701069736055E-3</v>
      </c>
      <c r="G34" s="76">
        <f t="shared" si="2"/>
        <v>-6.8534683674523769E-2</v>
      </c>
      <c r="H34" s="228">
        <f t="shared" si="3"/>
        <v>6.1284213567550164E-2</v>
      </c>
    </row>
    <row r="35" spans="1:8" x14ac:dyDescent="0.2">
      <c r="A35" s="226" t="s">
        <v>67</v>
      </c>
      <c r="B35" s="108">
        <f>'T16'!I1</f>
        <v>467.6735830998748</v>
      </c>
      <c r="C35" s="108">
        <f>'T16'!I3</f>
        <v>12.284868054237537</v>
      </c>
      <c r="D35" s="238">
        <f>'T16'!B15</f>
        <v>0.20534350355114442</v>
      </c>
      <c r="E35" s="238">
        <f t="shared" si="0"/>
        <v>0.19771107899298451</v>
      </c>
      <c r="F35" s="76">
        <f t="shared" si="1"/>
        <v>-7.6324245581599059E-3</v>
      </c>
      <c r="G35" s="76">
        <f t="shared" si="2"/>
        <v>-6.7131656170662135E-2</v>
      </c>
      <c r="H35" s="228">
        <f t="shared" si="3"/>
        <v>5.9499231612502229E-2</v>
      </c>
    </row>
    <row r="36" spans="1:8" x14ac:dyDescent="0.2">
      <c r="A36" s="226" t="s">
        <v>68</v>
      </c>
      <c r="B36" s="108">
        <f>'T17'!I1</f>
        <v>483.70190338765184</v>
      </c>
      <c r="C36" s="108">
        <f>'T17'!I3</f>
        <v>15.802389576581332</v>
      </c>
      <c r="D36" s="238">
        <f>'T17'!B15</f>
        <v>0.21503402617941178</v>
      </c>
      <c r="E36" s="238">
        <f t="shared" si="0"/>
        <v>0.20654565756250839</v>
      </c>
      <c r="F36" s="76">
        <f t="shared" si="1"/>
        <v>-8.4883686169033856E-3</v>
      </c>
      <c r="G36" s="76">
        <f t="shared" si="2"/>
        <v>-6.5680543474441785E-2</v>
      </c>
      <c r="H36" s="228">
        <f t="shared" si="3"/>
        <v>5.71921748575384E-2</v>
      </c>
    </row>
    <row r="37" spans="1:8" x14ac:dyDescent="0.2">
      <c r="A37" s="226" t="s">
        <v>69</v>
      </c>
      <c r="B37" s="108">
        <f>'T18'!I1</f>
        <v>500.27955350831081</v>
      </c>
      <c r="C37" s="108">
        <f>'T18'!I3</f>
        <v>20.181889915626428</v>
      </c>
      <c r="D37" s="238">
        <f>'T18'!B15</f>
        <v>0.22808373551016328</v>
      </c>
      <c r="E37" s="238">
        <f t="shared" si="0"/>
        <v>0.21791079070508987</v>
      </c>
      <c r="F37" s="76">
        <f t="shared" si="1"/>
        <v>-1.0172944805073414E-2</v>
      </c>
      <c r="G37" s="76">
        <f t="shared" si="2"/>
        <v>-6.4179697588430132E-2</v>
      </c>
      <c r="H37" s="228">
        <f t="shared" si="3"/>
        <v>5.4006752783356718E-2</v>
      </c>
    </row>
    <row r="38" spans="1:8" x14ac:dyDescent="0.2">
      <c r="A38" s="226" t="s">
        <v>70</v>
      </c>
      <c r="B38" s="108">
        <f>'T19'!I1</f>
        <v>517.42536034201612</v>
      </c>
      <c r="C38" s="108">
        <f>'T19'!I3</f>
        <v>25.622303004294665</v>
      </c>
      <c r="D38" s="238">
        <f>'T19'!B15</f>
        <v>0.24715177193429846</v>
      </c>
      <c r="E38" s="238">
        <f t="shared" si="0"/>
        <v>0.23369220363700866</v>
      </c>
      <c r="F38" s="76">
        <f t="shared" si="1"/>
        <v>-1.3459568297289809E-2</v>
      </c>
      <c r="G38" s="76">
        <f t="shared" si="2"/>
        <v>-6.2627414034282236E-2</v>
      </c>
      <c r="H38" s="228">
        <f t="shared" si="3"/>
        <v>4.9167845736992427E-2</v>
      </c>
    </row>
    <row r="39" spans="1:8" x14ac:dyDescent="0.2">
      <c r="A39" s="226" t="s">
        <v>71</v>
      </c>
      <c r="B39" s="108">
        <f>'T20'!I1</f>
        <v>535.15879601227323</v>
      </c>
      <c r="C39" s="108">
        <f>'T20'!I3</f>
        <v>32.364085574389165</v>
      </c>
      <c r="D39" s="238">
        <f>'T20'!B15</f>
        <v>0.27982847066724797</v>
      </c>
      <c r="E39" s="238">
        <f t="shared" si="0"/>
        <v>0.25945256264767824</v>
      </c>
      <c r="F39" s="76">
        <f t="shared" si="1"/>
        <v>-2.0375908019569733E-2</v>
      </c>
      <c r="G39" s="76">
        <f t="shared" si="2"/>
        <v>-6.1021929917001345E-2</v>
      </c>
      <c r="H39" s="228">
        <f t="shared" si="3"/>
        <v>4.0646021897431613E-2</v>
      </c>
    </row>
    <row r="40" spans="1:8" x14ac:dyDescent="0.2">
      <c r="A40" s="226" t="s">
        <v>72</v>
      </c>
      <c r="B40" s="108">
        <f>'T21'!I1</f>
        <v>551.66587960122718</v>
      </c>
      <c r="C40" s="108">
        <f>'T21'!I3</f>
        <v>39.760579372391426</v>
      </c>
      <c r="D40" s="238">
        <f>'T21'!B15</f>
        <v>0.36265577097285967</v>
      </c>
      <c r="E40" s="238">
        <f t="shared" si="0"/>
        <v>0.32865320913288915</v>
      </c>
      <c r="F40" s="76">
        <f t="shared" si="1"/>
        <v>-3.4002561839970524E-2</v>
      </c>
      <c r="G40" s="76">
        <f t="shared" si="2"/>
        <v>-5.9527472722271553E-2</v>
      </c>
      <c r="H40" s="228">
        <f t="shared" si="3"/>
        <v>2.5524910882301029E-2</v>
      </c>
    </row>
    <row r="41" spans="1:8" x14ac:dyDescent="0.2">
      <c r="A41" s="229" t="s">
        <v>80</v>
      </c>
      <c r="B41" s="230">
        <f>C3</f>
        <v>553.5</v>
      </c>
      <c r="C41" s="231">
        <f>Tc!I3</f>
        <v>40.650133425732548</v>
      </c>
      <c r="D41" s="239">
        <f>Tc!B15</f>
        <v>0.42371236972133569</v>
      </c>
      <c r="E41" s="239">
        <f t="shared" si="0"/>
        <v>0.42371236972133569</v>
      </c>
      <c r="F41" s="76">
        <f t="shared" si="1"/>
        <v>0</v>
      </c>
      <c r="G41" s="232">
        <f t="shared" si="2"/>
        <v>-5.9361421922857129E-2</v>
      </c>
      <c r="H41" s="228">
        <f t="shared" si="3"/>
        <v>5.9361421922857129E-2</v>
      </c>
    </row>
  </sheetData>
  <phoneticPr fontId="25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80897" r:id="rId4">
          <objectPr defaultSize="0" autoPict="0" r:id="rId5">
            <anchor moveWithCells="1" sizeWithCells="1">
              <from>
                <xdr:col>4</xdr:col>
                <xdr:colOff>600075</xdr:colOff>
                <xdr:row>2</xdr:row>
                <xdr:rowOff>19050</xdr:rowOff>
              </from>
              <to>
                <xdr:col>7</xdr:col>
                <xdr:colOff>371475</xdr:colOff>
                <xdr:row>3</xdr:row>
                <xdr:rowOff>171450</xdr:rowOff>
              </to>
            </anchor>
          </objectPr>
        </oleObject>
      </mc:Choice>
      <mc:Fallback>
        <oleObject progId="Equation.3" shapeId="80897" r:id="rId4"/>
      </mc:Fallback>
    </mc:AlternateContent>
  </oleObjec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O107"/>
  <sheetViews>
    <sheetView topLeftCell="B1" workbookViewId="0">
      <selection activeCell="L9" sqref="L9"/>
    </sheetView>
  </sheetViews>
  <sheetFormatPr defaultColWidth="8" defaultRowHeight="12.75" x14ac:dyDescent="0.2"/>
  <cols>
    <col min="1" max="16384" width="8" style="2"/>
  </cols>
  <sheetData>
    <row r="1" spans="1:15" ht="18" x14ac:dyDescent="0.25">
      <c r="A1" s="1" t="str">
        <f>' T = Tb'!A1</f>
        <v>Cyclohexane</v>
      </c>
      <c r="D1" s="2" t="s">
        <v>95</v>
      </c>
      <c r="N1" s="15" t="s">
        <v>45</v>
      </c>
      <c r="O1" s="15" t="s">
        <v>152</v>
      </c>
    </row>
    <row r="2" spans="1:15" x14ac:dyDescent="0.2">
      <c r="D2" s="5"/>
      <c r="N2" s="2">
        <f>'Phase diagram'!C26</f>
        <v>5.9989002783289953E-2</v>
      </c>
      <c r="O2" s="2">
        <f>'Phase diagram'!D26</f>
        <v>0.15886797403654285</v>
      </c>
    </row>
    <row r="3" spans="1:15" x14ac:dyDescent="0.2">
      <c r="N3" s="2">
        <f>'Phase diagram'!C27</f>
        <v>9.6889293865363255E-2</v>
      </c>
      <c r="O3" s="2">
        <f>'Phase diagram'!D27</f>
        <v>0.16006508994473784</v>
      </c>
    </row>
    <row r="4" spans="1:15" x14ac:dyDescent="0.2">
      <c r="B4" s="18"/>
      <c r="N4" s="2">
        <f>'Phase diagram'!C28</f>
        <v>0.15297578457613945</v>
      </c>
      <c r="O4" s="2">
        <f>'Phase diagram'!D28</f>
        <v>0.16137316940622423</v>
      </c>
    </row>
    <row r="5" spans="1:15" x14ac:dyDescent="0.2">
      <c r="N5" s="2">
        <f>'Phase diagram'!C29</f>
        <v>0.23642385647017744</v>
      </c>
      <c r="O5" s="2">
        <f>'Phase diagram'!D29</f>
        <v>0.16280799846947722</v>
      </c>
    </row>
    <row r="6" spans="1:15" x14ac:dyDescent="0.2">
      <c r="N6" s="2">
        <f>'Phase diagram'!C30</f>
        <v>0.35811104041134006</v>
      </c>
      <c r="O6" s="2">
        <f>'Phase diagram'!D30</f>
        <v>0.16438841243443053</v>
      </c>
    </row>
    <row r="7" spans="1:15" x14ac:dyDescent="0.2">
      <c r="N7" s="2">
        <f>'Phase diagram'!C31</f>
        <v>0.5322296394350029</v>
      </c>
      <c r="O7" s="2">
        <f>'Phase diagram'!D31</f>
        <v>0.1661370398442604</v>
      </c>
    </row>
    <row r="8" spans="1:15" x14ac:dyDescent="0.2">
      <c r="N8" s="2">
        <f>'Phase diagram'!C32</f>
        <v>0.77695697672529052</v>
      </c>
      <c r="O8" s="2">
        <f>'Phase diagram'!D32</f>
        <v>0.1680812998912565</v>
      </c>
    </row>
    <row r="9" spans="1:15" x14ac:dyDescent="0.2">
      <c r="N9" s="2">
        <f>'Phase diagram'!C33</f>
        <v>1.1151690481244323</v>
      </c>
      <c r="O9" s="2">
        <f>'Phase diagram'!D33</f>
        <v>0.17025474465960611</v>
      </c>
    </row>
    <row r="10" spans="1:15" x14ac:dyDescent="0.2">
      <c r="N10" s="2">
        <f>'Phase diagram'!C34</f>
        <v>1.5751790376191113</v>
      </c>
      <c r="O10" s="2">
        <f>'Phase diagram'!D34</f>
        <v>0.17269890421240794</v>
      </c>
    </row>
    <row r="11" spans="1:15" x14ac:dyDescent="0.2">
      <c r="N11" s="2">
        <f>'Phase diagram'!C35</f>
        <v>2.1951194728688952</v>
      </c>
      <c r="O11" s="2">
        <f>'Phase diagram'!D35</f>
        <v>0.17548281667760959</v>
      </c>
    </row>
    <row r="12" spans="1:15" x14ac:dyDescent="0.2">
      <c r="N12" s="2">
        <f>'Phase diagram'!C36</f>
        <v>3.0136125409209025</v>
      </c>
      <c r="O12" s="2">
        <f>'Phase diagram'!D36</f>
        <v>0.17865537124683364</v>
      </c>
    </row>
    <row r="13" spans="1:15" x14ac:dyDescent="0.2">
      <c r="N13" s="2">
        <f>'Phase diagram'!C37</f>
        <v>4.0833336596706147</v>
      </c>
      <c r="O13" s="2">
        <f>'Phase diagram'!D37</f>
        <v>0.18231702957701265</v>
      </c>
    </row>
    <row r="14" spans="1:15" x14ac:dyDescent="0.2">
      <c r="N14" s="2">
        <f>'Phase diagram'!C38</f>
        <v>5.4653241467681433</v>
      </c>
      <c r="O14" s="2">
        <f>'Phase diagram'!D38</f>
        <v>0.18659311795897909</v>
      </c>
    </row>
    <row r="15" spans="1:15" x14ac:dyDescent="0.2">
      <c r="N15" s="2">
        <f>'Phase diagram'!C39</f>
        <v>7.2322144341739794</v>
      </c>
      <c r="O15" s="2">
        <f>'Phase diagram'!D39</f>
        <v>0.19165988536529444</v>
      </c>
    </row>
    <row r="16" spans="1:15" x14ac:dyDescent="0.2">
      <c r="N16" s="2">
        <f>'Phase diagram'!C40</f>
        <v>9.4706375657707227</v>
      </c>
      <c r="O16" s="2">
        <f>'Phase diagram'!D40</f>
        <v>0.19777614662262244</v>
      </c>
    </row>
    <row r="17" spans="1:15" x14ac:dyDescent="0.2">
      <c r="N17" s="2">
        <f>'Phase diagram'!C41</f>
        <v>12.284868054237537</v>
      </c>
      <c r="O17" s="2">
        <f>'Phase diagram'!D41</f>
        <v>0.20534350355114442</v>
      </c>
    </row>
    <row r="18" spans="1:15" x14ac:dyDescent="0.2">
      <c r="N18" s="2">
        <f>'Phase diagram'!C42</f>
        <v>15.802389576581332</v>
      </c>
      <c r="O18" s="2">
        <f>'Phase diagram'!D42</f>
        <v>0.21503402617941178</v>
      </c>
    </row>
    <row r="19" spans="1:15" x14ac:dyDescent="0.2">
      <c r="N19" s="2">
        <f>'Phase diagram'!C43</f>
        <v>20.181889915626428</v>
      </c>
      <c r="O19" s="2">
        <f>'Phase diagram'!D43</f>
        <v>0.22808373551016328</v>
      </c>
    </row>
    <row r="20" spans="1:15" x14ac:dyDescent="0.2">
      <c r="N20" s="2">
        <f>'Phase diagram'!C44</f>
        <v>25.622303004294665</v>
      </c>
      <c r="O20" s="2">
        <f>'Phase diagram'!D44</f>
        <v>0.24715177193429846</v>
      </c>
    </row>
    <row r="21" spans="1:15" ht="13.5" thickBot="1" x14ac:dyDescent="0.25">
      <c r="N21" s="2">
        <f>'Phase diagram'!C45</f>
        <v>32.364085574389165</v>
      </c>
      <c r="O21" s="2">
        <f>'Phase diagram'!D45</f>
        <v>0.27982847066724797</v>
      </c>
    </row>
    <row r="22" spans="1:15" x14ac:dyDescent="0.2">
      <c r="A22" s="178">
        <f>1.5</f>
        <v>1.5</v>
      </c>
      <c r="B22" s="179"/>
      <c r="C22" s="179">
        <v>1</v>
      </c>
      <c r="D22" s="179"/>
      <c r="E22" s="179">
        <f>1-'T18'!I2</f>
        <v>0.90384743181266636</v>
      </c>
      <c r="F22" s="179"/>
      <c r="G22" s="179">
        <f>1-'T16'!I2</f>
        <v>0.84493872285433569</v>
      </c>
      <c r="H22" s="179"/>
      <c r="I22" s="179">
        <f>1-'T12'!I2</f>
        <v>0.73838928363247314</v>
      </c>
      <c r="J22" s="179"/>
      <c r="K22" s="179">
        <f>1-'T6'!I2</f>
        <v>0.60321987427661383</v>
      </c>
      <c r="L22" s="51"/>
      <c r="N22" s="2">
        <f>'Phase diagram'!C46</f>
        <v>39.760579372391426</v>
      </c>
      <c r="O22" s="2">
        <f>'Phase diagram'!D46</f>
        <v>0.36265577097285967</v>
      </c>
    </row>
    <row r="23" spans="1:15" x14ac:dyDescent="0.2">
      <c r="A23" s="245" t="s">
        <v>96</v>
      </c>
      <c r="B23" s="222" t="s">
        <v>96</v>
      </c>
      <c r="C23" s="222" t="s">
        <v>97</v>
      </c>
      <c r="D23" s="222" t="s">
        <v>97</v>
      </c>
      <c r="E23" s="180" t="s">
        <v>69</v>
      </c>
      <c r="F23" s="180" t="s">
        <v>69</v>
      </c>
      <c r="G23" s="180" t="s">
        <v>67</v>
      </c>
      <c r="H23" s="180" t="s">
        <v>67</v>
      </c>
      <c r="I23" s="180" t="s">
        <v>63</v>
      </c>
      <c r="J23" s="180" t="s">
        <v>63</v>
      </c>
      <c r="K23" s="180" t="s">
        <v>57</v>
      </c>
      <c r="L23" s="181" t="s">
        <v>57</v>
      </c>
      <c r="N23" s="2">
        <f>'Phase diagram'!C47</f>
        <v>40.650133425732548</v>
      </c>
      <c r="O23" s="2">
        <f>'Phase diagram'!D47</f>
        <v>0.42371236972133569</v>
      </c>
    </row>
    <row r="24" spans="1:15" ht="13.5" thickBot="1" x14ac:dyDescent="0.25">
      <c r="A24" s="182" t="s">
        <v>44</v>
      </c>
      <c r="B24" s="183" t="s">
        <v>45</v>
      </c>
      <c r="C24" s="183" t="s">
        <v>44</v>
      </c>
      <c r="D24" s="183" t="s">
        <v>45</v>
      </c>
      <c r="E24" s="183" t="s">
        <v>44</v>
      </c>
      <c r="F24" s="183" t="s">
        <v>45</v>
      </c>
      <c r="G24" s="183" t="s">
        <v>44</v>
      </c>
      <c r="H24" s="183" t="s">
        <v>45</v>
      </c>
      <c r="I24" s="183" t="s">
        <v>44</v>
      </c>
      <c r="J24" s="183" t="s">
        <v>45</v>
      </c>
      <c r="K24" s="183" t="s">
        <v>44</v>
      </c>
      <c r="L24" s="184" t="s">
        <v>45</v>
      </c>
    </row>
    <row r="25" spans="1:15" x14ac:dyDescent="0.2">
      <c r="A25" s="61">
        <f>'1.5 Tc'!A21</f>
        <v>0.02</v>
      </c>
      <c r="B25" s="34">
        <f>'1.5 Tc'!B21</f>
        <v>-36327.614813459382</v>
      </c>
      <c r="C25" s="34">
        <f>Tc!A21</f>
        <v>0.2</v>
      </c>
      <c r="D25" s="34">
        <f>Tc!B21</f>
        <v>234.7398715769466</v>
      </c>
      <c r="E25" s="34">
        <f>'T18'!A21</f>
        <v>0.14123845657377856</v>
      </c>
      <c r="F25" s="34">
        <f>'T18'!B21</f>
        <v>41594597.08260154</v>
      </c>
      <c r="G25" s="34">
        <f>'T16'!A21</f>
        <v>0.14123845657377856</v>
      </c>
      <c r="H25" s="34">
        <f>'T16'!B21</f>
        <v>38883510.658307575</v>
      </c>
      <c r="I25" s="34">
        <f>'T12'!A21</f>
        <v>0.14123845657377856</v>
      </c>
      <c r="J25" s="34">
        <f>'T12'!B21</f>
        <v>33979903.477606289</v>
      </c>
      <c r="K25" s="34">
        <f>'T6'!A21</f>
        <v>0.14123845657377856</v>
      </c>
      <c r="L25" s="158">
        <f>'T6'!B21</f>
        <v>27759127.036917463</v>
      </c>
    </row>
    <row r="26" spans="1:15" x14ac:dyDescent="0.2">
      <c r="A26" s="61">
        <f>'1.5 Tc'!A22</f>
        <v>2.2000000000000002E-2</v>
      </c>
      <c r="B26" s="34">
        <f>'1.5 Tc'!B22</f>
        <v>-30131.19215785955</v>
      </c>
      <c r="C26" s="34">
        <f>Tc!A22</f>
        <v>0.20600000000000002</v>
      </c>
      <c r="D26" s="34">
        <f>Tc!B22</f>
        <v>193.66447189375313</v>
      </c>
      <c r="E26" s="34">
        <f>'T18'!A22</f>
        <v>0.16524899419132091</v>
      </c>
      <c r="F26" s="34">
        <f>'T18'!B22</f>
        <v>858.3229659672636</v>
      </c>
      <c r="G26" s="34">
        <f>'T16'!A22</f>
        <v>0.16524899419132091</v>
      </c>
      <c r="H26" s="34">
        <f>'T16'!B22</f>
        <v>701.76662609405287</v>
      </c>
      <c r="I26" s="34">
        <f>'T12'!A22</f>
        <v>0.16524899419132091</v>
      </c>
      <c r="J26" s="34">
        <f>'T12'!B22</f>
        <v>413.26671409591739</v>
      </c>
      <c r="K26" s="34">
        <f>'T6'!A22</f>
        <v>0.16524899419132091</v>
      </c>
      <c r="L26" s="158">
        <f>'T6'!B22</f>
        <v>29.75658356615866</v>
      </c>
    </row>
    <row r="27" spans="1:15" x14ac:dyDescent="0.2">
      <c r="A27" s="61">
        <f>'1.5 Tc'!A23</f>
        <v>2.4200000000000003E-2</v>
      </c>
      <c r="B27" s="34">
        <f>'1.5 Tc'!B23</f>
        <v>-25013.171274477838</v>
      </c>
      <c r="C27" s="34">
        <f>Tc!A23</f>
        <v>0.21218000000000004</v>
      </c>
      <c r="D27" s="34">
        <f>Tc!B23</f>
        <v>161.43611420118796</v>
      </c>
      <c r="E27" s="34">
        <f>'T18'!A23</f>
        <v>0.19334132320384545</v>
      </c>
      <c r="F27" s="34">
        <f>'T18'!B23</f>
        <v>159.85397407940604</v>
      </c>
      <c r="G27" s="34">
        <f>'T16'!A23</f>
        <v>0.19334132320384545</v>
      </c>
      <c r="H27" s="34">
        <f>'T16'!B23</f>
        <v>75.935001622316193</v>
      </c>
      <c r="I27" s="34">
        <f>'T12'!A23</f>
        <v>0.19334132320384545</v>
      </c>
      <c r="J27" s="34">
        <f>'T12'!B23</f>
        <v>-79.746950393042937</v>
      </c>
      <c r="K27" s="34">
        <f>'T6'!A23</f>
        <v>0.19334132320384545</v>
      </c>
      <c r="L27" s="158">
        <f>'T6'!B23</f>
        <v>-290.04263676478456</v>
      </c>
      <c r="N27" s="2">
        <f>N22</f>
        <v>39.760579372391426</v>
      </c>
      <c r="O27" s="2">
        <f>'Phase diagram'!F46</f>
        <v>0.50612978356822524</v>
      </c>
    </row>
    <row r="28" spans="1:15" x14ac:dyDescent="0.2">
      <c r="A28" s="61">
        <f>'1.5 Tc'!A24</f>
        <v>2.6620000000000005E-2</v>
      </c>
      <c r="B28" s="34">
        <f>'1.5 Tc'!B24</f>
        <v>-20786.861430356614</v>
      </c>
      <c r="C28" s="34">
        <f>Tc!A24</f>
        <v>0.21854540000000003</v>
      </c>
      <c r="D28" s="34">
        <f>Tc!B24</f>
        <v>135.99410299620089</v>
      </c>
      <c r="E28" s="34">
        <f>'T18'!A24</f>
        <v>0.22620934814849916</v>
      </c>
      <c r="F28" s="34">
        <f>'T18'!B24</f>
        <v>23.112781646317888</v>
      </c>
      <c r="G28" s="34">
        <f>'T16'!A24</f>
        <v>0.22620934814849916</v>
      </c>
      <c r="H28" s="34">
        <f>'T16'!B24</f>
        <v>-32.086650727427696</v>
      </c>
      <c r="I28" s="34">
        <f>'T12'!A24</f>
        <v>0.22620934814849916</v>
      </c>
      <c r="J28" s="34">
        <f>'T12'!B24</f>
        <v>-134.77306120870387</v>
      </c>
      <c r="K28" s="34">
        <f>'T6'!A24</f>
        <v>0.22620934814849916</v>
      </c>
      <c r="L28" s="158">
        <f>'T6'!B24</f>
        <v>-274.38975209553217</v>
      </c>
      <c r="N28" s="2">
        <f>N21</f>
        <v>32.364085574389165</v>
      </c>
      <c r="O28" s="2">
        <f>'Phase diagram'!F45</f>
        <v>0.78999812734424524</v>
      </c>
    </row>
    <row r="29" spans="1:15" x14ac:dyDescent="0.2">
      <c r="A29" s="61">
        <f>'1.5 Tc'!A25</f>
        <v>2.9282000000000006E-2</v>
      </c>
      <c r="B29" s="34">
        <f>'1.5 Tc'!B25</f>
        <v>-17298.07185411773</v>
      </c>
      <c r="C29" s="34">
        <f>Tc!A25</f>
        <v>0.22510176200000004</v>
      </c>
      <c r="D29" s="34">
        <f>Tc!B25</f>
        <v>115.82080973663025</v>
      </c>
      <c r="E29" s="34">
        <f>'T18'!A25</f>
        <v>0.26466493733374402</v>
      </c>
      <c r="F29" s="34">
        <f>'T18'!B25</f>
        <v>-3.7138947331730741</v>
      </c>
      <c r="G29" s="34">
        <f>'T16'!A25</f>
        <v>0.26466493733374402</v>
      </c>
      <c r="H29" s="34">
        <f>'T16'!B25</f>
        <v>-42.69533694001337</v>
      </c>
      <c r="I29" s="34">
        <f>'T12'!A25</f>
        <v>0.26466493733374402</v>
      </c>
      <c r="J29" s="34">
        <f>'T12'!B25</f>
        <v>-115.28095890405861</v>
      </c>
      <c r="K29" s="34">
        <f>'T6'!A25</f>
        <v>0.26466493733374402</v>
      </c>
      <c r="L29" s="158">
        <f>'T6'!B25</f>
        <v>-214.19242064836689</v>
      </c>
      <c r="N29" s="2">
        <f>N20</f>
        <v>25.622303004294665</v>
      </c>
      <c r="O29" s="2">
        <f>'Phase diagram'!F44</f>
        <v>1.103150988067654</v>
      </c>
    </row>
    <row r="30" spans="1:15" x14ac:dyDescent="0.2">
      <c r="A30" s="61">
        <f>'1.5 Tc'!A26</f>
        <v>3.2210200000000008E-2</v>
      </c>
      <c r="B30" s="34">
        <f>'1.5 Tc'!B26</f>
        <v>-14419.499790040978</v>
      </c>
      <c r="C30" s="34">
        <f>Tc!A26</f>
        <v>0.23185481486000004</v>
      </c>
      <c r="D30" s="34">
        <f>Tc!B26</f>
        <v>99.778312434202746</v>
      </c>
      <c r="E30" s="34">
        <f>'T18'!A26</f>
        <v>0.30965797668048051</v>
      </c>
      <c r="F30" s="34">
        <f>'T18'!B26</f>
        <v>-1.9246475681345327</v>
      </c>
      <c r="G30" s="34">
        <f>'T16'!A26</f>
        <v>0.30965797668048051</v>
      </c>
      <c r="H30" s="34">
        <f>'T16'!B26</f>
        <v>-30.452503890065781</v>
      </c>
      <c r="I30" s="34">
        <f>'T12'!A26</f>
        <v>0.30965797668048051</v>
      </c>
      <c r="J30" s="34">
        <f>'T12'!B26</f>
        <v>-83.570224679119562</v>
      </c>
      <c r="K30" s="34">
        <f>'T6'!A26</f>
        <v>0.30965797668048051</v>
      </c>
      <c r="L30" s="158">
        <f>'T6'!B26</f>
        <v>-155.94429263344799</v>
      </c>
      <c r="N30" s="2">
        <f>N19</f>
        <v>20.181889915626428</v>
      </c>
      <c r="O30" s="2">
        <f>'Phase diagram'!F43</f>
        <v>1.4791099686377305</v>
      </c>
    </row>
    <row r="31" spans="1:15" x14ac:dyDescent="0.2">
      <c r="A31" s="61">
        <f>'1.5 Tc'!A27</f>
        <v>3.5431220000000013E-2</v>
      </c>
      <c r="B31" s="34">
        <f>'1.5 Tc'!B27</f>
        <v>-12046.103407613835</v>
      </c>
      <c r="C31" s="34">
        <f>Tc!A27</f>
        <v>0.23881045930580005</v>
      </c>
      <c r="D31" s="34">
        <f>Tc!B27</f>
        <v>87.00029272481035</v>
      </c>
      <c r="E31" s="34">
        <f>'T18'!A27</f>
        <v>0.36229983271616217</v>
      </c>
      <c r="F31" s="34">
        <f>'T18'!B27</f>
        <v>6.3379987558070567</v>
      </c>
      <c r="G31" s="34">
        <f>'T16'!A27</f>
        <v>0.36229983271616217</v>
      </c>
      <c r="H31" s="34">
        <f>'T16'!B27</f>
        <v>-15.006704635818169</v>
      </c>
      <c r="I31" s="34">
        <f>'T12'!A27</f>
        <v>0.36229983271616217</v>
      </c>
      <c r="J31" s="34">
        <f>'T12'!B27</f>
        <v>-54.722813269062641</v>
      </c>
      <c r="K31" s="34">
        <f>'T6'!A27</f>
        <v>0.36229983271616217</v>
      </c>
      <c r="L31" s="158">
        <f>'T6'!B27</f>
        <v>-108.75115449879929</v>
      </c>
      <c r="N31" s="2">
        <f>N18</f>
        <v>15.802389576581332</v>
      </c>
      <c r="O31" s="2">
        <f>'Phase diagram'!F42</f>
        <v>1.9495534084274722</v>
      </c>
    </row>
    <row r="32" spans="1:15" x14ac:dyDescent="0.2">
      <c r="A32" s="61">
        <f>'1.5 Tc'!A28</f>
        <v>3.8974342000000016E-2</v>
      </c>
      <c r="B32" s="34">
        <f>'1.5 Tc'!B28</f>
        <v>-10091.293943369883</v>
      </c>
      <c r="C32" s="34">
        <f>Tc!A28</f>
        <v>0.24597477308497406</v>
      </c>
      <c r="D32" s="34">
        <f>Tc!B28</f>
        <v>76.818575547056312</v>
      </c>
      <c r="E32" s="34">
        <f>'T18'!A28</f>
        <v>0.42389080427790971</v>
      </c>
      <c r="F32" s="34">
        <f>'T18'!B28</f>
        <v>14.336125534912645</v>
      </c>
      <c r="G32" s="34">
        <f>'T16'!A28</f>
        <v>0.42389080427790971</v>
      </c>
      <c r="H32" s="34">
        <f>'T16'!B28</f>
        <v>-1.8890715197823011</v>
      </c>
      <c r="I32" s="34">
        <f>'T12'!A28</f>
        <v>0.42389080427790971</v>
      </c>
      <c r="J32" s="34">
        <f>'T12'!B28</f>
        <v>-32.046427781778803</v>
      </c>
      <c r="K32" s="34">
        <f>'T6'!A28</f>
        <v>0.42389080427790971</v>
      </c>
      <c r="L32" s="158">
        <f>'T6'!B28</f>
        <v>-72.966404703740466</v>
      </c>
      <c r="N32" s="2">
        <f>N17</f>
        <v>12.284868054237537</v>
      </c>
      <c r="O32" s="2">
        <f>'Phase diagram'!F41</f>
        <v>2.5512223061319816</v>
      </c>
    </row>
    <row r="33" spans="1:15" x14ac:dyDescent="0.2">
      <c r="A33" s="61">
        <f>'1.5 Tc'!A29</f>
        <v>4.2871776200000024E-2</v>
      </c>
      <c r="B33" s="34">
        <f>'1.5 Tc'!B29</f>
        <v>-8483.8134259905382</v>
      </c>
      <c r="C33" s="34">
        <f>Tc!A29</f>
        <v>0.2533540162775233</v>
      </c>
      <c r="D33" s="34">
        <f>Tc!B29</f>
        <v>68.712039291537295</v>
      </c>
      <c r="E33" s="34">
        <f>'T18'!A29</f>
        <v>0.49595224100515434</v>
      </c>
      <c r="F33" s="34">
        <f>'T18'!B29</f>
        <v>20.234461362675592</v>
      </c>
      <c r="G33" s="34">
        <f>'T16'!A29</f>
        <v>0.49595224100515434</v>
      </c>
      <c r="H33" s="34">
        <f>'T16'!B29</f>
        <v>7.7455095754319885</v>
      </c>
      <c r="I33" s="34">
        <f>'T12'!A29</f>
        <v>0.49595224100515434</v>
      </c>
      <c r="J33" s="34">
        <f>'T12'!B29</f>
        <v>-15.435602425366124</v>
      </c>
      <c r="K33" s="34">
        <f>'T6'!A29</f>
        <v>0.49595224100515434</v>
      </c>
      <c r="L33" s="158">
        <f>'T6'!B29</f>
        <v>-46.788055885587575</v>
      </c>
      <c r="N33" s="2">
        <f>N16</f>
        <v>9.4706375657707227</v>
      </c>
      <c r="O33" s="2">
        <f>'Phase diagram'!F40</f>
        <v>3.3331985696224531</v>
      </c>
    </row>
    <row r="34" spans="1:15" x14ac:dyDescent="0.2">
      <c r="A34" s="61">
        <f>'1.5 Tc'!A30</f>
        <v>4.715895382000003E-2</v>
      </c>
      <c r="B34" s="34">
        <f>'1.5 Tc'!B30</f>
        <v>-7165.1931879448666</v>
      </c>
      <c r="C34" s="34">
        <f>Tc!A30</f>
        <v>0.26095463676584901</v>
      </c>
      <c r="D34" s="34">
        <f>Tc!B30</f>
        <v>62.270351750562369</v>
      </c>
      <c r="E34" s="34">
        <f>'T18'!A30</f>
        <v>0.5802641219760305</v>
      </c>
      <c r="F34" s="34">
        <f>'T18'!B30</f>
        <v>23.863021372942331</v>
      </c>
      <c r="G34" s="34">
        <f>'T16'!A30</f>
        <v>0.5802641219760305</v>
      </c>
      <c r="H34" s="34">
        <f>'T16'!B30</f>
        <v>14.147783294277906</v>
      </c>
      <c r="I34" s="34">
        <f>'T12'!A30</f>
        <v>0.5802641219760305</v>
      </c>
      <c r="J34" s="34">
        <f>'T12'!B30</f>
        <v>-3.8568964303835673</v>
      </c>
      <c r="K34" s="34">
        <f>'T6'!A30</f>
        <v>0.5802641219760305</v>
      </c>
      <c r="L34" s="158">
        <f>'T6'!B30</f>
        <v>-28.118413063492973</v>
      </c>
      <c r="N34" s="2">
        <f>N15</f>
        <v>7.2322144341739794</v>
      </c>
      <c r="O34" s="2">
        <f>'Phase diagram'!F39</f>
        <v>4.3635892010039035</v>
      </c>
    </row>
    <row r="35" spans="1:15" x14ac:dyDescent="0.2">
      <c r="A35" s="61">
        <f>'1.5 Tc'!A31</f>
        <v>5.1874849202000035E-2</v>
      </c>
      <c r="B35" s="34">
        <f>'1.5 Tc'!B31</f>
        <v>-6087.7168742549184</v>
      </c>
      <c r="C35" s="34">
        <f>Tc!A31</f>
        <v>0.2687832758688245</v>
      </c>
      <c r="D35" s="34">
        <f>Tc!B31</f>
        <v>57.167760149239442</v>
      </c>
      <c r="E35" s="34">
        <f>'T18'!A31</f>
        <v>0.67890902271195563</v>
      </c>
      <c r="F35" s="34">
        <f>'T18'!B31</f>
        <v>25.582230322790828</v>
      </c>
      <c r="G35" s="34">
        <f>'T16'!A31</f>
        <v>0.67890902271195563</v>
      </c>
      <c r="H35" s="34">
        <f>'T16'!B31</f>
        <v>17.953938889471956</v>
      </c>
      <c r="I35" s="34">
        <f>'T12'!A31</f>
        <v>0.67890902271195563</v>
      </c>
      <c r="J35" s="34">
        <f>'T12'!B31</f>
        <v>3.8405227219014524</v>
      </c>
      <c r="K35" s="34">
        <f>'T6'!A31</f>
        <v>0.67890902271195563</v>
      </c>
      <c r="L35" s="158">
        <f>'T6'!B31</f>
        <v>-15.101663153641157</v>
      </c>
      <c r="N35" s="2">
        <f>N14</f>
        <v>5.4653241467681433</v>
      </c>
      <c r="O35" s="2">
        <f>'Phase diagram'!F38</f>
        <v>5.738842149331612</v>
      </c>
    </row>
    <row r="36" spans="1:15" x14ac:dyDescent="0.2">
      <c r="A36" s="61">
        <f>'1.5 Tc'!A32</f>
        <v>5.7062334122200041E-2</v>
      </c>
      <c r="B36" s="34">
        <f>'1.5 Tc'!B32</f>
        <v>-5212.8446310074705</v>
      </c>
      <c r="C36" s="34">
        <f>Tc!A32</f>
        <v>0.27684677414488923</v>
      </c>
      <c r="D36" s="34">
        <f>Tc!B32</f>
        <v>53.143840389929245</v>
      </c>
      <c r="E36" s="34">
        <f>'T18'!A32</f>
        <v>0.79432355657298803</v>
      </c>
      <c r="F36" s="34">
        <f>'T18'!B32</f>
        <v>25.864703652654736</v>
      </c>
      <c r="G36" s="34">
        <f>'T16'!A32</f>
        <v>0.79432355657298803</v>
      </c>
      <c r="H36" s="34">
        <f>'T16'!B32</f>
        <v>19.824398948909778</v>
      </c>
      <c r="I36" s="34">
        <f>'T12'!A32</f>
        <v>0.79432355657298803</v>
      </c>
      <c r="J36" s="34">
        <f>'T12'!B32</f>
        <v>8.6683559214668371</v>
      </c>
      <c r="K36" s="34">
        <f>'T6'!A32</f>
        <v>0.79432355657298803</v>
      </c>
      <c r="L36" s="158">
        <f>'T6'!B32</f>
        <v>-6.2424110310349628</v>
      </c>
      <c r="N36" s="2">
        <f>N13</f>
        <v>4.0833336596706147</v>
      </c>
      <c r="O36" s="2">
        <f>'Phase diagram'!F37</f>
        <v>7.5976665488940327</v>
      </c>
    </row>
    <row r="37" spans="1:15" x14ac:dyDescent="0.2">
      <c r="A37" s="61">
        <f>'1.5 Tc'!A33</f>
        <v>6.2768567534420047E-2</v>
      </c>
      <c r="B37" s="34">
        <f>'1.5 Tc'!B33</f>
        <v>-4510.1025461105182</v>
      </c>
      <c r="C37" s="34">
        <f>Tc!A33</f>
        <v>0.28515217736923593</v>
      </c>
      <c r="D37" s="34">
        <f>Tc!B33</f>
        <v>49.989152542909544</v>
      </c>
      <c r="E37" s="34">
        <f>'T18'!A33</f>
        <v>0.92935856119039595</v>
      </c>
      <c r="F37" s="34">
        <f>'T18'!B33</f>
        <v>25.145709615196115</v>
      </c>
      <c r="G37" s="34">
        <f>'T16'!A33</f>
        <v>0.92935856119039595</v>
      </c>
      <c r="H37" s="34">
        <f>'T16'!B33</f>
        <v>20.325760536047373</v>
      </c>
      <c r="I37" s="34">
        <f>'T12'!A33</f>
        <v>0.92935856119039595</v>
      </c>
      <c r="J37" s="34">
        <f>'T12'!B33</f>
        <v>11.439202285026949</v>
      </c>
      <c r="K37" s="34">
        <f>'T6'!A33</f>
        <v>0.92935856119039595</v>
      </c>
      <c r="L37" s="158">
        <f>'T6'!B33</f>
        <v>-0.38817422174412514</v>
      </c>
      <c r="N37" s="2">
        <f>N12</f>
        <v>3.0136125409209025</v>
      </c>
      <c r="O37" s="2">
        <f>'Phase diagram'!F36</f>
        <v>10.142480102312053</v>
      </c>
    </row>
    <row r="38" spans="1:15" x14ac:dyDescent="0.2">
      <c r="A38" s="61">
        <f>'1.5 Tc'!A34</f>
        <v>6.9045424287862062E-2</v>
      </c>
      <c r="B38" s="34">
        <f>'1.5 Tc'!B34</f>
        <v>-3956.5267640170937</v>
      </c>
      <c r="C38" s="34">
        <f>Tc!A34</f>
        <v>0.29370674269031299</v>
      </c>
      <c r="D38" s="34">
        <f>Tc!B34</f>
        <v>47.534412917489206</v>
      </c>
      <c r="E38" s="34">
        <f>'T18'!A34</f>
        <v>1.0873495165927631</v>
      </c>
      <c r="F38" s="34">
        <f>'T18'!B34</f>
        <v>23.778899741210331</v>
      </c>
      <c r="G38" s="34">
        <f>'T16'!A34</f>
        <v>1.0873495165927631</v>
      </c>
      <c r="H38" s="34">
        <f>'T16'!B34</f>
        <v>19.905287054054316</v>
      </c>
      <c r="I38" s="34">
        <f>'T12'!A34</f>
        <v>1.0873495165927631</v>
      </c>
      <c r="J38" s="34">
        <f>'T12'!B34</f>
        <v>12.775826680457353</v>
      </c>
      <c r="K38" s="34">
        <f>'T6'!A34</f>
        <v>1.0873495165927631</v>
      </c>
      <c r="L38" s="158">
        <f>'T6'!B34</f>
        <v>3.3267653096701313</v>
      </c>
      <c r="N38" s="2">
        <f>N11</f>
        <v>2.1951194728688952</v>
      </c>
      <c r="O38" s="2">
        <f>'Phase diagram'!F35</f>
        <v>13.672999001867636</v>
      </c>
    </row>
    <row r="39" spans="1:15" x14ac:dyDescent="0.2">
      <c r="A39" s="61">
        <f>'1.5 Tc'!A35</f>
        <v>7.5949966716648276E-2</v>
      </c>
      <c r="B39" s="34">
        <f>'1.5 Tc'!B35</f>
        <v>-3536.9373983843807</v>
      </c>
      <c r="C39" s="34">
        <f>Tc!A35</f>
        <v>0.30251794497102241</v>
      </c>
      <c r="D39" s="34">
        <f>Tc!B35</f>
        <v>45.642224671778784</v>
      </c>
      <c r="E39" s="34">
        <f>'T18'!A35</f>
        <v>1.2721989344135327</v>
      </c>
      <c r="F39" s="34">
        <f>'T18'!B35</f>
        <v>22.032940774543221</v>
      </c>
      <c r="G39" s="34">
        <f>'T16'!A35</f>
        <v>1.2721989344135327</v>
      </c>
      <c r="H39" s="34">
        <f>'T16'!B35</f>
        <v>18.899357408964637</v>
      </c>
      <c r="I39" s="34">
        <f>'T12'!A35</f>
        <v>1.2721989344135327</v>
      </c>
      <c r="J39" s="34">
        <f>'T12'!B35</f>
        <v>13.141597703778572</v>
      </c>
      <c r="K39" s="34">
        <f>'T6'!A35</f>
        <v>1.2721989344135327</v>
      </c>
      <c r="L39" s="158">
        <f>'T6'!B35</f>
        <v>5.5417134690592027</v>
      </c>
      <c r="N39" s="2">
        <f>N10</f>
        <v>1.5751790376191113</v>
      </c>
      <c r="O39" s="2">
        <f>'Phase diagram'!F34</f>
        <v>18.658308586849238</v>
      </c>
    </row>
    <row r="40" spans="1:15" x14ac:dyDescent="0.2">
      <c r="A40" s="61">
        <f>'1.5 Tc'!A36</f>
        <v>8.3544963388313104E-2</v>
      </c>
      <c r="B40" s="34">
        <f>'1.5 Tc'!B36</f>
        <v>-3245.7895029059973</v>
      </c>
      <c r="C40" s="34">
        <f>Tc!A36</f>
        <v>0.31159348332015308</v>
      </c>
      <c r="D40" s="34">
        <f>Tc!B36</f>
        <v>44.200695413930916</v>
      </c>
      <c r="E40" s="34">
        <f>'T18'!A36</f>
        <v>1.4884727532638331</v>
      </c>
      <c r="F40" s="34">
        <f>'T18'!B36</f>
        <v>20.102628251648706</v>
      </c>
      <c r="G40" s="34">
        <f>'T16'!A36</f>
        <v>1.4884727532638331</v>
      </c>
      <c r="H40" s="34">
        <f>'T16'!B36</f>
        <v>17.552327542560132</v>
      </c>
      <c r="I40" s="34">
        <f>'T12'!A36</f>
        <v>1.4884727532638331</v>
      </c>
      <c r="J40" s="34">
        <f>'T12'!B36</f>
        <v>12.873812177149555</v>
      </c>
      <c r="K40" s="34">
        <f>'T6'!A36</f>
        <v>1.4884727532638331</v>
      </c>
      <c r="L40" s="158">
        <f>'T6'!B36</f>
        <v>6.7227113789343802</v>
      </c>
      <c r="N40" s="2">
        <f>N9</f>
        <v>1.1151690481244323</v>
      </c>
      <c r="O40" s="2">
        <f>'Phase diagram'!F33</f>
        <v>25.743992092727716</v>
      </c>
    </row>
    <row r="41" spans="1:15" x14ac:dyDescent="0.2">
      <c r="A41" s="61">
        <f>'1.5 Tc'!A37</f>
        <v>9.1899459727144417E-2</v>
      </c>
      <c r="B41" s="34">
        <f>'1.5 Tc'!B37</f>
        <v>-3092.7460819410194</v>
      </c>
      <c r="C41" s="34">
        <f>Tc!A37</f>
        <v>0.32094128781975767</v>
      </c>
      <c r="D41" s="34">
        <f>Tc!B37</f>
        <v>43.118463876970857</v>
      </c>
      <c r="E41" s="34">
        <f>'T18'!A37</f>
        <v>1.7415131213186845</v>
      </c>
      <c r="F41" s="34">
        <f>'T18'!B37</f>
        <v>18.123581280365837</v>
      </c>
      <c r="G41" s="34">
        <f>'T16'!A37</f>
        <v>1.7415131213186845</v>
      </c>
      <c r="H41" s="34">
        <f>'T16'!B37</f>
        <v>16.036456591633726</v>
      </c>
      <c r="I41" s="34">
        <f>'T12'!A37</f>
        <v>1.7415131213186845</v>
      </c>
      <c r="J41" s="34">
        <f>'T12'!B37</f>
        <v>12.213411474186428</v>
      </c>
      <c r="K41" s="34">
        <f>'T6'!A37</f>
        <v>1.7415131213186845</v>
      </c>
      <c r="L41" s="158">
        <f>'T6'!B37</f>
        <v>7.2057491056667287</v>
      </c>
      <c r="N41" s="2">
        <f>N8</f>
        <v>0.77695697672529052</v>
      </c>
      <c r="O41" s="2">
        <f>'Phase diagram'!F32</f>
        <v>36.02109683451485</v>
      </c>
    </row>
    <row r="42" spans="1:15" x14ac:dyDescent="0.2">
      <c r="A42" s="61">
        <f>'1.5 Tc'!A38</f>
        <v>0.10108940569985887</v>
      </c>
      <c r="B42" s="34">
        <f>'1.5 Tc'!B38</f>
        <v>-3119.0832910753402</v>
      </c>
      <c r="C42" s="34">
        <f>Tc!A38</f>
        <v>0.33056952645435039</v>
      </c>
      <c r="D42" s="34">
        <f>Tc!B38</f>
        <v>42.32079079379222</v>
      </c>
      <c r="E42" s="34">
        <f>'T18'!A38</f>
        <v>2.0375703519428607</v>
      </c>
      <c r="F42" s="34">
        <f>'T18'!B38</f>
        <v>16.186219816156978</v>
      </c>
      <c r="G42" s="34">
        <f>'T16'!A38</f>
        <v>2.0375703519428607</v>
      </c>
      <c r="H42" s="34">
        <f>'T16'!B38</f>
        <v>14.469494424316395</v>
      </c>
      <c r="I42" s="34">
        <f>'T12'!A38</f>
        <v>2.0375703519428607</v>
      </c>
      <c r="J42" s="34">
        <f>'T12'!B38</f>
        <v>11.329338660496067</v>
      </c>
      <c r="K42" s="34">
        <f>'T6'!A38</f>
        <v>2.0375703519428607</v>
      </c>
      <c r="L42" s="158">
        <f>'T6'!B38</f>
        <v>7.2304979164546799</v>
      </c>
      <c r="N42" s="2">
        <f>N7</f>
        <v>0.5322296394350029</v>
      </c>
      <c r="O42" s="2">
        <f>'Phase diagram'!F31</f>
        <v>51.174238674517106</v>
      </c>
    </row>
    <row r="43" spans="1:15" x14ac:dyDescent="0.2">
      <c r="A43" s="61">
        <f>'1.5 Tc'!A39</f>
        <v>0.11119834626984477</v>
      </c>
      <c r="B43" s="34">
        <f>'1.5 Tc'!B39</f>
        <v>-3454.7941868964176</v>
      </c>
      <c r="C43" s="34">
        <f>Tc!A39</f>
        <v>0.34048661224798094</v>
      </c>
      <c r="D43" s="34">
        <f>Tc!B39</f>
        <v>41.746461910869151</v>
      </c>
      <c r="E43" s="34">
        <f>'T18'!A39</f>
        <v>2.383957311773147</v>
      </c>
      <c r="F43" s="34">
        <f>'T18'!B39</f>
        <v>14.347572104344554</v>
      </c>
      <c r="G43" s="34">
        <f>'T16'!A39</f>
        <v>2.383957311773147</v>
      </c>
      <c r="H43" s="34">
        <f>'T16'!B39</f>
        <v>12.929022350567623</v>
      </c>
      <c r="I43" s="34">
        <f>'T12'!A39</f>
        <v>2.383957311773147</v>
      </c>
      <c r="J43" s="34">
        <f>'T12'!B39</f>
        <v>10.337636247900209</v>
      </c>
      <c r="K43" s="34">
        <f>'T6'!A39</f>
        <v>2.383957311773147</v>
      </c>
      <c r="L43" s="158">
        <f>'T6'!B39</f>
        <v>6.9660178755694577</v>
      </c>
      <c r="N43" s="2">
        <f>N6</f>
        <v>0.35811104041134006</v>
      </c>
      <c r="O43" s="2">
        <f>'Phase diagram'!F30</f>
        <v>73.91113677217723</v>
      </c>
    </row>
    <row r="44" spans="1:15" x14ac:dyDescent="0.2">
      <c r="A44" s="61">
        <f>'1.5 Tc'!A40</f>
        <v>0.12231818089682926</v>
      </c>
      <c r="B44" s="34">
        <f>'1.5 Tc'!B40</f>
        <v>-4604.7154967046854</v>
      </c>
      <c r="C44" s="34">
        <f>Tc!A40</f>
        <v>0.35070121061542037</v>
      </c>
      <c r="D44" s="34">
        <f>Tc!B40</f>
        <v>41.345316735004893</v>
      </c>
      <c r="E44" s="34">
        <f>'T18'!A40</f>
        <v>2.7892300547745816</v>
      </c>
      <c r="F44" s="34">
        <f>'T18'!B40</f>
        <v>12.640663893865394</v>
      </c>
      <c r="G44" s="34">
        <f>'T16'!A40</f>
        <v>2.7892300547745816</v>
      </c>
      <c r="H44" s="34">
        <f>'T16'!B40</f>
        <v>11.463643147066714</v>
      </c>
      <c r="I44" s="34">
        <f>'T12'!A40</f>
        <v>2.7892300547745816</v>
      </c>
      <c r="J44" s="34">
        <f>'T12'!B40</f>
        <v>9.3160212739550623</v>
      </c>
      <c r="K44" s="34">
        <f>'T6'!A40</f>
        <v>2.7892300547745816</v>
      </c>
      <c r="L44" s="158">
        <f>'T6'!B40</f>
        <v>6.5300472899575652</v>
      </c>
      <c r="N44" s="2">
        <f>N5</f>
        <v>0.23642385647017744</v>
      </c>
      <c r="O44" s="2">
        <f>'Phase diagram'!F29</f>
        <v>108.6680719854226</v>
      </c>
    </row>
    <row r="45" spans="1:15" x14ac:dyDescent="0.2">
      <c r="A45" s="61">
        <f>'1.5 Tc'!A41</f>
        <v>0.13454999898651221</v>
      </c>
      <c r="B45" s="34">
        <f>'1.5 Tc'!B41</f>
        <v>-11112.566218526053</v>
      </c>
      <c r="C45" s="34">
        <f>Tc!A41</f>
        <v>0.361222246933883</v>
      </c>
      <c r="D45" s="34">
        <f>Tc!B41</f>
        <v>41.076263655574728</v>
      </c>
      <c r="E45" s="34">
        <f>'T18'!A41</f>
        <v>3.2633991640862603</v>
      </c>
      <c r="F45" s="34">
        <f>'T18'!B41</f>
        <v>11.081713198167233</v>
      </c>
      <c r="G45" s="34">
        <f>'T16'!A41</f>
        <v>3.2633991640862603</v>
      </c>
      <c r="H45" s="34">
        <f>'T16'!B41</f>
        <v>10.101469448266261</v>
      </c>
      <c r="I45" s="34">
        <f>'T12'!A41</f>
        <v>3.2633991640862603</v>
      </c>
      <c r="J45" s="34">
        <f>'T12'!B41</f>
        <v>8.314806934192978</v>
      </c>
      <c r="K45" s="34">
        <f>'T6'!A41</f>
        <v>3.2633991640862603</v>
      </c>
      <c r="L45" s="158">
        <f>'T6'!B41</f>
        <v>6.0033180293159809</v>
      </c>
      <c r="N45" s="2">
        <f>N4</f>
        <v>0.15297578457613945</v>
      </c>
      <c r="O45" s="2">
        <f>'Phase diagram'!F28</f>
        <v>162.86212507583846</v>
      </c>
    </row>
    <row r="46" spans="1:15" x14ac:dyDescent="0.2">
      <c r="A46" s="61">
        <f>'1.5 Tc'!A42</f>
        <v>0.14800499888516344</v>
      </c>
      <c r="B46" s="34">
        <f>'1.5 Tc'!B42</f>
        <v>9547.3831305765852</v>
      </c>
      <c r="C46" s="34">
        <f>Tc!A42</f>
        <v>0.37205891434189947</v>
      </c>
      <c r="D46" s="34">
        <f>Tc!B42</f>
        <v>40.905676204151824</v>
      </c>
      <c r="E46" s="34">
        <f>'T18'!A42</f>
        <v>3.8181770219809241</v>
      </c>
      <c r="F46" s="34">
        <f>'T18'!B42</f>
        <v>9.6755018382215408</v>
      </c>
      <c r="G46" s="34">
        <f>'T16'!A42</f>
        <v>3.8181770219809241</v>
      </c>
      <c r="H46" s="34">
        <f>'T16'!B42</f>
        <v>8.8564327647397203</v>
      </c>
      <c r="I46" s="34">
        <f>'T12'!A42</f>
        <v>3.8181770219809241</v>
      </c>
      <c r="J46" s="34">
        <f>'T12'!B42</f>
        <v>7.3649754801356213</v>
      </c>
      <c r="K46" s="34">
        <f>'T6'!A42</f>
        <v>3.8181770219809241</v>
      </c>
      <c r="L46" s="158">
        <f>'T6'!B42</f>
        <v>5.4400902603307362</v>
      </c>
      <c r="N46" s="2">
        <f>N3</f>
        <v>9.6889293865363255E-2</v>
      </c>
      <c r="O46" s="2">
        <f>'Phase diagram'!F27</f>
        <v>249.16307186809024</v>
      </c>
    </row>
    <row r="47" spans="1:15" x14ac:dyDescent="0.2">
      <c r="A47" s="61">
        <f>'1.5 Tc'!A43</f>
        <v>0.16280549877367981</v>
      </c>
      <c r="B47" s="34">
        <f>'1.5 Tc'!B43</f>
        <v>2660.9930387366667</v>
      </c>
      <c r="C47" s="34">
        <f>Tc!A43</f>
        <v>0.38322068177215646</v>
      </c>
      <c r="D47" s="34">
        <f>Tc!B43</f>
        <v>40.806090233141276</v>
      </c>
      <c r="E47" s="34">
        <f>'T18'!A43</f>
        <v>4.4672671157176813</v>
      </c>
      <c r="F47" s="34">
        <f>'T18'!B43</f>
        <v>8.4193036717629539</v>
      </c>
      <c r="G47" s="34">
        <f>'T16'!A43</f>
        <v>4.4672671157176813</v>
      </c>
      <c r="H47" s="34">
        <f>'T16'!B43</f>
        <v>7.7328962742336138</v>
      </c>
      <c r="I47" s="34">
        <f>'T12'!A43</f>
        <v>4.4672671157176813</v>
      </c>
      <c r="J47" s="34">
        <f>'T12'!B43</f>
        <v>6.4840790480103507</v>
      </c>
      <c r="K47" s="34">
        <f>'T6'!A43</f>
        <v>4.4672671157176813</v>
      </c>
      <c r="L47" s="158">
        <f>'T6'!B43</f>
        <v>4.875851045389143</v>
      </c>
      <c r="N47" s="2">
        <f>N2</f>
        <v>5.9989002783289953E-2</v>
      </c>
      <c r="O47" s="2">
        <f>'Phase diagram'!F26</f>
        <v>389.71158286511047</v>
      </c>
    </row>
    <row r="48" spans="1:15" x14ac:dyDescent="0.2">
      <c r="A48" s="61">
        <f>'1.5 Tc'!A44</f>
        <v>0.1790860486510478</v>
      </c>
      <c r="B48" s="34">
        <f>'1.5 Tc'!B44</f>
        <v>1377.9011394866516</v>
      </c>
      <c r="C48" s="34">
        <f>Tc!A44</f>
        <v>0.39471730222532114</v>
      </c>
      <c r="D48" s="34">
        <f>Tc!B44</f>
        <v>40.755140332686388</v>
      </c>
      <c r="E48" s="34">
        <f>'T18'!A44</f>
        <v>5.2267025253896868</v>
      </c>
      <c r="F48" s="34">
        <f>'T18'!B44</f>
        <v>7.3057046453183627</v>
      </c>
      <c r="G48" s="34">
        <f>'T16'!A44</f>
        <v>5.2267025253896868</v>
      </c>
      <c r="H48" s="34">
        <f>'T16'!B44</f>
        <v>6.7289781863004414</v>
      </c>
      <c r="I48" s="34">
        <f>'T12'!A44</f>
        <v>5.2267025253896868</v>
      </c>
      <c r="J48" s="34">
        <f>'T12'!B44</f>
        <v>5.6805097961905702</v>
      </c>
      <c r="K48" s="34">
        <f>'T6'!A44</f>
        <v>5.2267025253896868</v>
      </c>
      <c r="L48" s="158">
        <f>'T6'!B44</f>
        <v>4.3329051889018357</v>
      </c>
    </row>
    <row r="49" spans="1:12" x14ac:dyDescent="0.2">
      <c r="A49" s="61">
        <f>'1.5 Tc'!A45</f>
        <v>0.19699465351615258</v>
      </c>
      <c r="B49" s="34">
        <f>'1.5 Tc'!B45</f>
        <v>869.49229853125075</v>
      </c>
      <c r="C49" s="34">
        <f>Tc!A45</f>
        <v>0.40655882129208076</v>
      </c>
      <c r="D49" s="34">
        <f>Tc!B45</f>
        <v>40.73468767322251</v>
      </c>
      <c r="E49" s="34">
        <f>'T18'!A45</f>
        <v>6.1152419547059331</v>
      </c>
      <c r="F49" s="34">
        <f>'T18'!B45</f>
        <v>6.3245901379705263</v>
      </c>
      <c r="G49" s="34">
        <f>'T16'!A45</f>
        <v>6.1152419547059331</v>
      </c>
      <c r="H49" s="34">
        <f>'T16'!B45</f>
        <v>5.8389115037659405</v>
      </c>
      <c r="I49" s="34">
        <f>'T12'!A45</f>
        <v>6.1152419547059331</v>
      </c>
      <c r="J49" s="34">
        <f>'T12'!B45</f>
        <v>4.9565598722236972</v>
      </c>
      <c r="K49" s="34">
        <f>'T6'!A45</f>
        <v>6.1152419547059331</v>
      </c>
      <c r="L49" s="158">
        <f>'T6'!B45</f>
        <v>3.8244108786220519</v>
      </c>
    </row>
    <row r="50" spans="1:12" x14ac:dyDescent="0.2">
      <c r="A50" s="61">
        <f>'1.5 Tc'!A46</f>
        <v>0.21669411886776785</v>
      </c>
      <c r="B50" s="34">
        <f>'1.5 Tc'!B46</f>
        <v>610.23763109711876</v>
      </c>
      <c r="C50" s="34">
        <f>Tc!A46</f>
        <v>0.41875558593084322</v>
      </c>
      <c r="D50" s="34">
        <f>Tc!B46</f>
        <v>40.730101929935969</v>
      </c>
      <c r="E50" s="34">
        <f>'T18'!A46</f>
        <v>7.1548330870059411</v>
      </c>
      <c r="F50" s="34">
        <f>'T18'!B46</f>
        <v>5.464517002273344</v>
      </c>
      <c r="G50" s="34">
        <f>'T16'!A46</f>
        <v>7.1548330870059411</v>
      </c>
      <c r="H50" s="34">
        <f>'T16'!B46</f>
        <v>5.0546933169592743</v>
      </c>
      <c r="I50" s="34">
        <f>'T12'!A46</f>
        <v>7.1548330870059411</v>
      </c>
      <c r="J50" s="34">
        <f>'T12'!B46</f>
        <v>4.3105916168824203</v>
      </c>
      <c r="K50" s="34">
        <f>'T6'!A46</f>
        <v>7.1548330870059411</v>
      </c>
      <c r="L50" s="158">
        <f>'T6'!B46</f>
        <v>3.3572745581140198</v>
      </c>
    </row>
    <row r="51" spans="1:12" x14ac:dyDescent="0.2">
      <c r="A51" s="61">
        <f>'1.5 Tc'!A47</f>
        <v>0.23836353075454464</v>
      </c>
      <c r="B51" s="34">
        <f>'1.5 Tc'!B47</f>
        <v>458.99590023120504</v>
      </c>
      <c r="C51" s="34">
        <f>Tc!A47</f>
        <v>0.43131825350876851</v>
      </c>
      <c r="D51" s="34">
        <f>Tc!B47</f>
        <v>40.7296679153432</v>
      </c>
      <c r="E51" s="34">
        <f>'T18'!A47</f>
        <v>8.3711547117969509</v>
      </c>
      <c r="F51" s="34">
        <f>'T18'!B47</f>
        <v>4.7136374296335148</v>
      </c>
      <c r="G51" s="34">
        <f>'T16'!A47</f>
        <v>8.3711547117969509</v>
      </c>
      <c r="H51" s="34">
        <f>'T16'!B47</f>
        <v>4.3672163180541617</v>
      </c>
      <c r="I51" s="34">
        <f>'T12'!A47</f>
        <v>8.3711547117969509</v>
      </c>
      <c r="J51" s="34">
        <f>'T12'!B47</f>
        <v>3.7385588557499627</v>
      </c>
      <c r="K51" s="34">
        <f>'T6'!A47</f>
        <v>8.3711547117969509</v>
      </c>
      <c r="L51" s="158">
        <f>'T6'!B47</f>
        <v>2.9342133274242683</v>
      </c>
    </row>
    <row r="52" spans="1:12" x14ac:dyDescent="0.2">
      <c r="A52" s="61">
        <f>'1.5 Tc'!A48</f>
        <v>0.26219988382999915</v>
      </c>
      <c r="B52" s="34">
        <f>'1.5 Tc'!B48</f>
        <v>362.63159545832639</v>
      </c>
      <c r="C52" s="34">
        <f>Tc!A48</f>
        <v>0.44425780111403157</v>
      </c>
      <c r="D52" s="34">
        <f>Tc!B48</f>
        <v>40.724093662078864</v>
      </c>
      <c r="E52" s="34">
        <f>'T18'!A48</f>
        <v>9.794251012802432</v>
      </c>
      <c r="F52" s="34">
        <f>'T18'!B48</f>
        <v>4.0603007464283554</v>
      </c>
      <c r="G52" s="34">
        <f>'T16'!A48</f>
        <v>9.794251012802432</v>
      </c>
      <c r="H52" s="34">
        <f>'T16'!B48</f>
        <v>3.7670270518986282</v>
      </c>
      <c r="I52" s="34">
        <f>'T12'!A48</f>
        <v>9.794251012802432</v>
      </c>
      <c r="J52" s="34">
        <f>'T12'!B48</f>
        <v>3.2350585049597114</v>
      </c>
      <c r="K52" s="34">
        <f>'T6'!A48</f>
        <v>9.794251012802432</v>
      </c>
      <c r="L52" s="158">
        <f>'T6'!B48</f>
        <v>2.555212768376792</v>
      </c>
    </row>
    <row r="53" spans="1:12" x14ac:dyDescent="0.2">
      <c r="A53" s="61">
        <f>'1.5 Tc'!A49</f>
        <v>0.28841987221299908</v>
      </c>
      <c r="B53" s="34">
        <f>'1.5 Tc'!B49</f>
        <v>297.07468062846579</v>
      </c>
      <c r="C53" s="34">
        <f>Tc!A49</f>
        <v>0.45758553514745254</v>
      </c>
      <c r="D53" s="34">
        <f>Tc!B49</f>
        <v>40.706101426238746</v>
      </c>
      <c r="E53" s="34">
        <f>'T18'!A49</f>
        <v>11.459273684978845</v>
      </c>
      <c r="F53" s="34">
        <f>'T18'!B49</f>
        <v>3.4934269443663823</v>
      </c>
      <c r="G53" s="34">
        <f>'T16'!A49</f>
        <v>11.459273684978845</v>
      </c>
      <c r="H53" s="34">
        <f>'T16'!B49</f>
        <v>3.2448180461024019</v>
      </c>
      <c r="I53" s="34">
        <f>'T12'!A49</f>
        <v>11.459273684978845</v>
      </c>
      <c r="J53" s="34">
        <f>'T12'!B49</f>
        <v>2.7940447919775022</v>
      </c>
      <c r="K53" s="34">
        <f>'T6'!A49</f>
        <v>11.459273684978845</v>
      </c>
      <c r="L53" s="158">
        <f>'T6'!B49</f>
        <v>2.2185477979124655</v>
      </c>
    </row>
    <row r="54" spans="1:12" x14ac:dyDescent="0.2">
      <c r="A54" s="61">
        <f>'1.5 Tc'!A50</f>
        <v>0.31726185943429902</v>
      </c>
      <c r="B54" s="34">
        <f>'1.5 Tc'!B50</f>
        <v>250.06644899496911</v>
      </c>
      <c r="C54" s="34">
        <f>Tc!A50</f>
        <v>0.47131310120187614</v>
      </c>
      <c r="D54" s="34">
        <f>Tc!B50</f>
        <v>40.670086762844875</v>
      </c>
      <c r="E54" s="34">
        <f>'T18'!A50</f>
        <v>13.407350211425248</v>
      </c>
      <c r="F54" s="34">
        <f>'T18'!B50</f>
        <v>3.0027208979240414</v>
      </c>
      <c r="G54" s="34">
        <f>'T16'!A50</f>
        <v>13.407350211425248</v>
      </c>
      <c r="H54" s="34">
        <f>'T16'!B50</f>
        <v>2.7917324898255873</v>
      </c>
      <c r="I54" s="34">
        <f>'T12'!A50</f>
        <v>13.407350211425248</v>
      </c>
      <c r="J54" s="34">
        <f>'T12'!B50</f>
        <v>2.4093030887509217</v>
      </c>
      <c r="K54" s="34">
        <f>'T6'!A50</f>
        <v>13.407350211425248</v>
      </c>
      <c r="L54" s="158">
        <f>'T6'!B50</f>
        <v>1.9214892717531027</v>
      </c>
    </row>
    <row r="55" spans="1:12" x14ac:dyDescent="0.2">
      <c r="A55" s="61">
        <f>'1.5 Tc'!A51</f>
        <v>0.34898804537772893</v>
      </c>
      <c r="B55" s="34">
        <f>'1.5 Tc'!B51</f>
        <v>214.83961559571631</v>
      </c>
      <c r="C55" s="34">
        <f>Tc!A51</f>
        <v>0.48545249423793241</v>
      </c>
      <c r="D55" s="34">
        <f>Tc!B51</f>
        <v>40.611833710074954</v>
      </c>
      <c r="E55" s="34">
        <f>'T18'!A51</f>
        <v>15.68659974736754</v>
      </c>
      <c r="F55" s="34">
        <f>'T18'!B51</f>
        <v>2.5787774184744152</v>
      </c>
      <c r="G55" s="34">
        <f>'T16'!A51</f>
        <v>15.68659974736754</v>
      </c>
      <c r="H55" s="34">
        <f>'T16'!B51</f>
        <v>2.3995387234273822</v>
      </c>
      <c r="I55" s="34">
        <f>'T12'!A51</f>
        <v>15.68659974736754</v>
      </c>
      <c r="J55" s="34">
        <f>'T12'!B51</f>
        <v>2.0747540342448572</v>
      </c>
      <c r="K55" s="34">
        <f>'T6'!A51</f>
        <v>15.68659974736754</v>
      </c>
      <c r="L55" s="158">
        <f>'T6'!B51</f>
        <v>1.6607858409430796</v>
      </c>
    </row>
    <row r="56" spans="1:12" x14ac:dyDescent="0.2">
      <c r="A56" s="61">
        <f>'1.5 Tc'!A52</f>
        <v>0.38388684991550187</v>
      </c>
      <c r="B56" s="34">
        <f>'1.5 Tc'!B52</f>
        <v>187.43197388332786</v>
      </c>
      <c r="C56" s="34">
        <f>Tc!A52</f>
        <v>0.50001606906507035</v>
      </c>
      <c r="D56" s="34">
        <f>Tc!B52</f>
        <v>40.528276394159782</v>
      </c>
      <c r="E56" s="34">
        <f>'T18'!A52</f>
        <v>18.353321704420019</v>
      </c>
      <c r="F56" s="34">
        <f>'T18'!B52</f>
        <v>2.2131132456559421</v>
      </c>
      <c r="G56" s="34">
        <f>'T16'!A52</f>
        <v>18.353321704420019</v>
      </c>
      <c r="H56" s="34">
        <f>'T16'!B52</f>
        <v>2.0607158701633512</v>
      </c>
      <c r="I56" s="34">
        <f>'T12'!A52</f>
        <v>18.353321704420019</v>
      </c>
      <c r="J56" s="34">
        <f>'T12'!B52</f>
        <v>1.7846391402896244</v>
      </c>
      <c r="K56" s="34">
        <f>'T6'!A52</f>
        <v>18.353321704420019</v>
      </c>
      <c r="L56" s="158">
        <f>'T6'!B52</f>
        <v>1.4329860874250713</v>
      </c>
    </row>
    <row r="57" spans="1:12" x14ac:dyDescent="0.2">
      <c r="A57" s="61">
        <f>'1.5 Tc'!A53</f>
        <v>0.42227553490705211</v>
      </c>
      <c r="B57" s="34">
        <f>'1.5 Tc'!B53</f>
        <v>165.41653525631079</v>
      </c>
      <c r="C57" s="34">
        <f>Tc!A53</f>
        <v>0.51501655113702249</v>
      </c>
      <c r="D57" s="34">
        <f>Tc!B53</f>
        <v>40.417299171801915</v>
      </c>
      <c r="E57" s="34">
        <f>'T18'!A53</f>
        <v>21.47338639417142</v>
      </c>
      <c r="F57" s="34">
        <f>'T18'!B53</f>
        <v>1.8981516864810049</v>
      </c>
      <c r="G57" s="34">
        <f>'T16'!A53</f>
        <v>21.47338639417142</v>
      </c>
      <c r="H57" s="34">
        <f>'T16'!B53</f>
        <v>1.7684801845945071</v>
      </c>
      <c r="I57" s="34">
        <f>'T12'!A53</f>
        <v>21.47338639417142</v>
      </c>
      <c r="J57" s="34">
        <f>'T12'!B53</f>
        <v>1.5336247382419004</v>
      </c>
      <c r="K57" s="34">
        <f>'T6'!A53</f>
        <v>21.47338639417142</v>
      </c>
      <c r="L57" s="158">
        <f>'T6'!B53</f>
        <v>1.234647999699404</v>
      </c>
    </row>
    <row r="58" spans="1:12" x14ac:dyDescent="0.2">
      <c r="A58" s="61">
        <f>'1.5 Tc'!A54</f>
        <v>0.46450308839775734</v>
      </c>
      <c r="B58" s="34">
        <f>'1.5 Tc'!B54</f>
        <v>147.25169169587534</v>
      </c>
      <c r="C58" s="34">
        <f>Tc!A54</f>
        <v>0.53046704767113317</v>
      </c>
      <c r="D58" s="34">
        <f>Tc!B54</f>
        <v>40.27756886681955</v>
      </c>
      <c r="E58" s="34">
        <f>'T18'!A54</f>
        <v>25.123862081180562</v>
      </c>
      <c r="F58" s="34">
        <f>'T18'!B54</f>
        <v>1.6271779964974151</v>
      </c>
      <c r="G58" s="34">
        <f>'T16'!A54</f>
        <v>25.123862081180562</v>
      </c>
      <c r="H58" s="34">
        <f>'T16'!B54</f>
        <v>1.5167730796567427</v>
      </c>
      <c r="I58" s="34">
        <f>'T12'!A54</f>
        <v>25.123862081180562</v>
      </c>
      <c r="J58" s="34">
        <f>'T12'!B54</f>
        <v>1.3168506296701243</v>
      </c>
      <c r="K58" s="34">
        <f>'T6'!A54</f>
        <v>25.123862081180562</v>
      </c>
      <c r="L58" s="158">
        <f>'T6'!B54</f>
        <v>1.0624697084328252</v>
      </c>
    </row>
    <row r="59" spans="1:12" x14ac:dyDescent="0.2">
      <c r="A59" s="61">
        <f>'1.5 Tc'!A55</f>
        <v>0.51095339723753308</v>
      </c>
      <c r="B59" s="34">
        <f>'1.5 Tc'!B55</f>
        <v>131.92773124259531</v>
      </c>
      <c r="C59" s="34">
        <f>Tc!A55</f>
        <v>0.54638105910126722</v>
      </c>
      <c r="D59" s="34">
        <f>Tc!B55</f>
        <v>40.108393812381543</v>
      </c>
      <c r="E59" s="34">
        <f>'T18'!A55</f>
        <v>29.394918634981256</v>
      </c>
      <c r="F59" s="34">
        <f>'T18'!B55</f>
        <v>1.3942780600397855</v>
      </c>
      <c r="G59" s="34">
        <f>'T16'!A55</f>
        <v>29.394918634981256</v>
      </c>
      <c r="H59" s="34">
        <f>'T16'!B55</f>
        <v>1.3002255273619803</v>
      </c>
      <c r="I59" s="34">
        <f>'T12'!A55</f>
        <v>29.394918634981256</v>
      </c>
      <c r="J59" s="34">
        <f>'T12'!B55</f>
        <v>1.1299421596654178</v>
      </c>
      <c r="K59" s="34">
        <f>'T6'!A55</f>
        <v>29.394918634981256</v>
      </c>
      <c r="L59" s="158">
        <f>'T6'!B55</f>
        <v>0.91336581972341435</v>
      </c>
    </row>
    <row r="60" spans="1:12" x14ac:dyDescent="0.2">
      <c r="A60" s="61">
        <f>'1.5 Tc'!A56</f>
        <v>0.56204873696128643</v>
      </c>
      <c r="B60" s="34">
        <f>'1.5 Tc'!B56</f>
        <v>118.76509633985819</v>
      </c>
      <c r="C60" s="34">
        <f>Tc!A56</f>
        <v>0.56277249087430525</v>
      </c>
      <c r="D60" s="34">
        <f>Tc!B56</f>
        <v>39.909605340788964</v>
      </c>
      <c r="E60" s="34">
        <f>'T18'!A56</f>
        <v>34.392054802928065</v>
      </c>
      <c r="F60" s="34">
        <f>'T18'!B56</f>
        <v>1.1942689332312422</v>
      </c>
      <c r="G60" s="34">
        <f>'T16'!A56</f>
        <v>34.392054802928065</v>
      </c>
      <c r="H60" s="34">
        <f>'T16'!B56</f>
        <v>1.1141089983011117</v>
      </c>
      <c r="I60" s="34">
        <f>'T12'!A56</f>
        <v>34.392054802928065</v>
      </c>
      <c r="J60" s="34">
        <f>'T12'!B56</f>
        <v>0.96899888910577814</v>
      </c>
      <c r="K60" s="34">
        <f>'T6'!A56</f>
        <v>34.392054802928065</v>
      </c>
      <c r="L60" s="158">
        <f>'T6'!B56</f>
        <v>0.78450671832107755</v>
      </c>
    </row>
    <row r="61" spans="1:12" x14ac:dyDescent="0.2">
      <c r="A61" s="61">
        <f>'1.5 Tc'!A57</f>
        <v>0.61825361065741513</v>
      </c>
      <c r="B61" s="34">
        <f>'1.5 Tc'!B57</f>
        <v>107.29473513738635</v>
      </c>
      <c r="C61" s="34">
        <f>Tc!A57</f>
        <v>0.57965566560053439</v>
      </c>
      <c r="D61" s="34">
        <f>Tc!B57</f>
        <v>39.681458116299375</v>
      </c>
      <c r="E61" s="34">
        <f>'T18'!A57</f>
        <v>40.238704119425833</v>
      </c>
      <c r="F61" s="34">
        <f>'T18'!B57</f>
        <v>1.0226269577891689</v>
      </c>
      <c r="G61" s="34">
        <f>'T16'!A57</f>
        <v>40.238704119425833</v>
      </c>
      <c r="H61" s="34">
        <f>'T16'!B57</f>
        <v>0.95427985363110457</v>
      </c>
      <c r="I61" s="34">
        <f>'T12'!A57</f>
        <v>40.238704119425833</v>
      </c>
      <c r="J61" s="34">
        <f>'T12'!B57</f>
        <v>0.83056904382637764</v>
      </c>
      <c r="K61" s="34">
        <f>'T6'!A57</f>
        <v>40.238704119425833</v>
      </c>
      <c r="L61" s="158">
        <f>'T6'!B57</f>
        <v>0.6733331658959909</v>
      </c>
    </row>
    <row r="62" spans="1:12" x14ac:dyDescent="0.2">
      <c r="A62" s="61">
        <f>'1.5 Tc'!A58</f>
        <v>0.68007897172315668</v>
      </c>
      <c r="B62" s="34">
        <f>'1.5 Tc'!B58</f>
        <v>97.184893782173191</v>
      </c>
      <c r="C62" s="34">
        <f>Tc!A58</f>
        <v>0.59704533556855044</v>
      </c>
      <c r="D62" s="34">
        <f>Tc!B58</f>
        <v>39.424546319401173</v>
      </c>
      <c r="E62" s="34">
        <f>'T18'!A58</f>
        <v>47.079283819728225</v>
      </c>
      <c r="F62" s="34">
        <f>'T18'!B58</f>
        <v>0.87541713080709105</v>
      </c>
      <c r="G62" s="34">
        <f>'T16'!A58</f>
        <v>47.079283819728225</v>
      </c>
      <c r="H62" s="34">
        <f>'T16'!B58</f>
        <v>0.81712178703304228</v>
      </c>
      <c r="I62" s="34">
        <f>'T12'!A58</f>
        <v>47.079283819728225</v>
      </c>
      <c r="J62" s="34">
        <f>'T12'!B58</f>
        <v>0.71161604939423773</v>
      </c>
      <c r="K62" s="34">
        <f>'T6'!A58</f>
        <v>47.079283819728225</v>
      </c>
      <c r="L62" s="158">
        <f>'T6'!B58</f>
        <v>0.57755487455850241</v>
      </c>
    </row>
    <row r="63" spans="1:12" x14ac:dyDescent="0.2">
      <c r="A63" s="61">
        <f>'1.5 Tc'!A59</f>
        <v>0.74808686889547238</v>
      </c>
      <c r="B63" s="34">
        <f>'1.5 Tc'!B59</f>
        <v>88.195162195673547</v>
      </c>
      <c r="C63" s="34">
        <f>Tc!A59</f>
        <v>0.61495669563560695</v>
      </c>
      <c r="D63" s="34">
        <f>Tc!B59</f>
        <v>39.139733191580859</v>
      </c>
      <c r="E63" s="34">
        <f>'T18'!A59</f>
        <v>55.082762069082023</v>
      </c>
      <c r="F63" s="34">
        <f>'T18'!B59</f>
        <v>0.7492259983180477</v>
      </c>
      <c r="G63" s="34">
        <f>'T16'!A59</f>
        <v>55.082762069082023</v>
      </c>
      <c r="H63" s="34">
        <f>'T16'!B59</f>
        <v>0.69948927855618726</v>
      </c>
      <c r="I63" s="34">
        <f>'T12'!A59</f>
        <v>55.082762069082023</v>
      </c>
      <c r="J63" s="34">
        <f>'T12'!B59</f>
        <v>0.60948141347952278</v>
      </c>
      <c r="K63" s="34">
        <f>'T6'!A59</f>
        <v>55.082762069082023</v>
      </c>
      <c r="L63" s="158">
        <f>'T6'!B59</f>
        <v>0.49513911348748452</v>
      </c>
    </row>
    <row r="64" spans="1:12" x14ac:dyDescent="0.2">
      <c r="A64" s="61">
        <f>'1.5 Tc'!A60</f>
        <v>0.82289555578501972</v>
      </c>
      <c r="B64" s="34">
        <f>'1.5 Tc'!B60</f>
        <v>80.147006426685692</v>
      </c>
      <c r="C64" s="34">
        <f>Tc!A60</f>
        <v>0.6334053965046752</v>
      </c>
      <c r="D64" s="34">
        <f>Tc!B60</f>
        <v>38.828091860199287</v>
      </c>
      <c r="E64" s="34">
        <f>'T18'!A60</f>
        <v>64.446831620825961</v>
      </c>
      <c r="F64" s="34">
        <f>'T18'!B60</f>
        <v>0.6410993605244738</v>
      </c>
      <c r="G64" s="34">
        <f>'T16'!A60</f>
        <v>64.446831620825961</v>
      </c>
      <c r="H64" s="34">
        <f>'T16'!B60</f>
        <v>0.59865387932493352</v>
      </c>
      <c r="I64" s="34">
        <f>'T12'!A60</f>
        <v>64.446831620825961</v>
      </c>
      <c r="J64" s="34">
        <f>'T12'!B60</f>
        <v>0.52184676799736618</v>
      </c>
      <c r="K64" s="34">
        <f>'T6'!A60</f>
        <v>64.446831620825961</v>
      </c>
      <c r="L64" s="158">
        <f>'T6'!B60</f>
        <v>0.42429352789487462</v>
      </c>
    </row>
    <row r="65" spans="1:12" x14ac:dyDescent="0.2">
      <c r="A65" s="61">
        <f>'1.5 Tc'!A61</f>
        <v>0.90518511136352175</v>
      </c>
      <c r="B65" s="34">
        <f>'1.5 Tc'!B61</f>
        <v>72.904530032417384</v>
      </c>
      <c r="C65" s="34">
        <f>Tc!A61</f>
        <v>0.65240755839981546</v>
      </c>
      <c r="D65" s="34">
        <f>Tc!B61</f>
        <v>38.490855701080029</v>
      </c>
      <c r="E65" s="34">
        <f>'T18'!A61</f>
        <v>75.402792996366372</v>
      </c>
      <c r="F65" s="34">
        <f>'T18'!B61</f>
        <v>0.54848541052958144</v>
      </c>
      <c r="G65" s="34">
        <f>'T16'!A61</f>
        <v>75.402792996366372</v>
      </c>
      <c r="H65" s="34">
        <f>'T16'!B61</f>
        <v>0.5122543577032741</v>
      </c>
      <c r="I65" s="34">
        <f>'T12'!A61</f>
        <v>75.402792996366372</v>
      </c>
      <c r="J65" s="34">
        <f>'T12'!B61</f>
        <v>0.44669686476178233</v>
      </c>
      <c r="K65" s="34">
        <f>'T6'!A61</f>
        <v>75.402792996366372</v>
      </c>
      <c r="L65" s="158">
        <f>'T6'!B61</f>
        <v>0.36344601042278207</v>
      </c>
    </row>
    <row r="66" spans="1:12" x14ac:dyDescent="0.2">
      <c r="A66" s="61">
        <f>'1.5 Tc'!A62</f>
        <v>0.99570362249987399</v>
      </c>
      <c r="B66" s="34">
        <f>'1.5 Tc'!B62</f>
        <v>66.361718183044843</v>
      </c>
      <c r="C66" s="34">
        <f>Tc!A62</f>
        <v>0.67197978515180989</v>
      </c>
      <c r="D66" s="34">
        <f>Tc!B62</f>
        <v>38.129376775655643</v>
      </c>
      <c r="E66" s="34">
        <f>'T18'!A62</f>
        <v>88.221267805748653</v>
      </c>
      <c r="F66" s="34">
        <f>'T18'!B62</f>
        <v>0.46918348585996517</v>
      </c>
      <c r="G66" s="34">
        <f>'T16'!A62</f>
        <v>88.221267805748653</v>
      </c>
      <c r="H66" s="34">
        <f>'T16'!B62</f>
        <v>0.43825120273219598</v>
      </c>
      <c r="I66" s="34">
        <f>'T12'!A62</f>
        <v>88.221267805748653</v>
      </c>
      <c r="J66" s="34">
        <f>'T12'!B62</f>
        <v>0.38228461037082506</v>
      </c>
      <c r="K66" s="34">
        <f>'T6'!A62</f>
        <v>88.221267805748653</v>
      </c>
      <c r="L66" s="158">
        <f>'T6'!B62</f>
        <v>0.31122351619004179</v>
      </c>
    </row>
    <row r="67" spans="1:12" x14ac:dyDescent="0.2">
      <c r="A67" s="61">
        <f>'1.5 Tc'!A63</f>
        <v>1.0952739847498614</v>
      </c>
      <c r="B67" s="34">
        <f>'1.5 Tc'!B63</f>
        <v>60.433864394825974</v>
      </c>
      <c r="C67" s="34">
        <f>Tc!A63</f>
        <v>0.69213917870636421</v>
      </c>
      <c r="D67" s="34">
        <f>Tc!B63</f>
        <v>37.745091111004861</v>
      </c>
      <c r="E67" s="34">
        <f>'T18'!A63</f>
        <v>103.21888333272592</v>
      </c>
      <c r="F67" s="34">
        <f>'T18'!B63</f>
        <v>0.40129832729510378</v>
      </c>
      <c r="G67" s="34">
        <f>'T16'!A63</f>
        <v>103.21888333272592</v>
      </c>
      <c r="H67" s="34">
        <f>'T16'!B63</f>
        <v>0.37488562599326086</v>
      </c>
      <c r="I67" s="34">
        <f>'T12'!A63</f>
        <v>103.21888333272592</v>
      </c>
      <c r="J67" s="34">
        <f>'T12'!B63</f>
        <v>0.32709874028358388</v>
      </c>
      <c r="K67" s="34">
        <f>'T6'!A63</f>
        <v>103.21888333272592</v>
      </c>
      <c r="L67" s="158">
        <f>'T6'!B63</f>
        <v>0.26643104523783284</v>
      </c>
    </row>
    <row r="68" spans="1:12" x14ac:dyDescent="0.2">
      <c r="A68" s="61">
        <f>'1.5 Tc'!A64</f>
        <v>1.2048013832248476</v>
      </c>
      <c r="B68" s="34">
        <f>'1.5 Tc'!B64</f>
        <v>55.051737075992385</v>
      </c>
      <c r="C68" s="34">
        <f>Tc!A64</f>
        <v>0.71290335406755512</v>
      </c>
      <c r="D68" s="34">
        <f>Tc!B64</f>
        <v>37.339489783637973</v>
      </c>
      <c r="E68" s="34">
        <f>'T18'!A64</f>
        <v>120.76609349928933</v>
      </c>
      <c r="F68" s="34">
        <f>'T18'!B64</f>
        <v>0.34319956495375337</v>
      </c>
      <c r="G68" s="34">
        <f>'T16'!A64</f>
        <v>120.76609349928933</v>
      </c>
      <c r="H68" s="34">
        <f>'T16'!B64</f>
        <v>0.32064297525057661</v>
      </c>
      <c r="I68" s="34">
        <f>'T12'!A64</f>
        <v>120.76609349928933</v>
      </c>
      <c r="J68" s="34">
        <f>'T12'!B64</f>
        <v>0.27983440453582437</v>
      </c>
      <c r="K68" s="34">
        <f>'T6'!A64</f>
        <v>120.76609349928933</v>
      </c>
      <c r="L68" s="158">
        <f>'T6'!B64</f>
        <v>0.22803155086477753</v>
      </c>
    </row>
    <row r="69" spans="1:12" x14ac:dyDescent="0.2">
      <c r="A69" s="61">
        <f>'1.5 Tc'!A65</f>
        <v>1.3252815215473326</v>
      </c>
      <c r="B69" s="34">
        <f>'1.5 Tc'!B65</f>
        <v>50.157564095063606</v>
      </c>
      <c r="C69" s="34">
        <f>Tc!A65</f>
        <v>0.73429045468958176</v>
      </c>
      <c r="D69" s="34">
        <f>Tc!B65</f>
        <v>36.914094928492084</v>
      </c>
      <c r="E69" s="34">
        <f>'T18'!A65</f>
        <v>141.29632939416851</v>
      </c>
      <c r="F69" s="34">
        <f>'T18'!B65</f>
        <v>0.29348605300712693</v>
      </c>
      <c r="G69" s="34">
        <f>'T16'!A65</f>
        <v>141.29632939416851</v>
      </c>
      <c r="H69" s="34">
        <f>'T16'!B65</f>
        <v>0.27422033386777411</v>
      </c>
      <c r="I69" s="34">
        <f>'T12'!A65</f>
        <v>141.29632939416851</v>
      </c>
      <c r="J69" s="34">
        <f>'T12'!B65</f>
        <v>0.23936672193208783</v>
      </c>
      <c r="K69" s="34">
        <f>'T6'!A65</f>
        <v>141.29632939416851</v>
      </c>
      <c r="L69" s="158">
        <f>'T6'!B65</f>
        <v>0.19512721177973863</v>
      </c>
    </row>
    <row r="70" spans="1:12" x14ac:dyDescent="0.2">
      <c r="A70" s="61">
        <f>'1.5 Tc'!A66</f>
        <v>1.457809673702066</v>
      </c>
      <c r="B70" s="34">
        <f>'1.5 Tc'!B66</f>
        <v>45.702237167286867</v>
      </c>
      <c r="C70" s="34">
        <f>Tc!A66</f>
        <v>0.75631916833026924</v>
      </c>
      <c r="D70" s="34">
        <f>Tc!B66</f>
        <v>36.470439928962151</v>
      </c>
      <c r="E70" s="34">
        <f>'T18'!A66</f>
        <v>165.31670539117715</v>
      </c>
      <c r="F70" s="34">
        <f>'T18'!B66</f>
        <v>0.25095462732160168</v>
      </c>
      <c r="G70" s="34">
        <f>'T16'!A66</f>
        <v>165.31670539117715</v>
      </c>
      <c r="H70" s="34">
        <f>'T16'!B66</f>
        <v>0.2344980015164736</v>
      </c>
      <c r="I70" s="34">
        <f>'T12'!A66</f>
        <v>165.31670539117715</v>
      </c>
      <c r="J70" s="34">
        <f>'T12'!B66</f>
        <v>0.20472722242695351</v>
      </c>
      <c r="K70" s="34">
        <f>'T6'!A66</f>
        <v>165.31670539117715</v>
      </c>
      <c r="L70" s="158">
        <f>'T6'!B66</f>
        <v>0.16694228847489076</v>
      </c>
    </row>
    <row r="71" spans="1:12" x14ac:dyDescent="0.2">
      <c r="A71" s="61">
        <f>'1.5 Tc'!A67</f>
        <v>1.6035906410722727</v>
      </c>
      <c r="B71" s="34">
        <f>'1.5 Tc'!B67</f>
        <v>41.643342624723594</v>
      </c>
      <c r="C71" s="34">
        <f>Tc!A67</f>
        <v>0.77900874338017734</v>
      </c>
      <c r="D71" s="34">
        <f>Tc!B67</f>
        <v>36.010053156510956</v>
      </c>
      <c r="E71" s="34">
        <f>'T18'!A67</f>
        <v>193.42054530767726</v>
      </c>
      <c r="F71" s="34">
        <f>'T18'!B67</f>
        <v>0.21457284740256063</v>
      </c>
      <c r="G71" s="34">
        <f>'T16'!A67</f>
        <v>193.42054530767726</v>
      </c>
      <c r="H71" s="34">
        <f>'T16'!B67</f>
        <v>0.20051451441582416</v>
      </c>
      <c r="I71" s="34">
        <f>'T12'!A67</f>
        <v>193.42054530767726</v>
      </c>
      <c r="J71" s="34">
        <f>'T12'!B67</f>
        <v>0.17508301476145177</v>
      </c>
      <c r="K71" s="34">
        <f>'T6'!A67</f>
        <v>193.42054530767726</v>
      </c>
      <c r="L71" s="158">
        <f>'T6'!B67</f>
        <v>0.14280763963311258</v>
      </c>
    </row>
    <row r="72" spans="1:12" x14ac:dyDescent="0.2">
      <c r="A72" s="61">
        <f>'1.5 Tc'!A68</f>
        <v>1.7639497051795001</v>
      </c>
      <c r="B72" s="34">
        <f>'1.5 Tc'!B68</f>
        <v>37.943756840994411</v>
      </c>
      <c r="C72" s="34">
        <f>Tc!A68</f>
        <v>0.80237900568158271</v>
      </c>
      <c r="D72" s="34">
        <f>Tc!B68</f>
        <v>35.534444723202604</v>
      </c>
      <c r="E72" s="34">
        <f>'T18'!A68</f>
        <v>226.30203800998237</v>
      </c>
      <c r="F72" s="34">
        <f>'T18'!B68</f>
        <v>0.18345529298015559</v>
      </c>
      <c r="G72" s="34">
        <f>'T16'!A68</f>
        <v>226.30203800998237</v>
      </c>
      <c r="H72" s="34">
        <f>'T16'!B68</f>
        <v>0.17144485332674286</v>
      </c>
      <c r="I72" s="34">
        <f>'T12'!A68</f>
        <v>226.30203800998237</v>
      </c>
      <c r="J72" s="34">
        <f>'T12'!B68</f>
        <v>0.14971847109048103</v>
      </c>
      <c r="K72" s="34">
        <f>'T6'!A68</f>
        <v>226.30203800998237</v>
      </c>
      <c r="L72" s="158">
        <f>'T6'!B68</f>
        <v>0.12214688105026117</v>
      </c>
    </row>
    <row r="73" spans="1:12" x14ac:dyDescent="0.2">
      <c r="A73" s="61">
        <f>'1.5 Tc'!A69</f>
        <v>1.9403446756974503</v>
      </c>
      <c r="B73" s="34">
        <f>'1.5 Tc'!B69</f>
        <v>34.570630494382478</v>
      </c>
      <c r="C73" s="34">
        <f>Tc!A69</f>
        <v>0.82645037585203018</v>
      </c>
      <c r="D73" s="34">
        <f>Tc!B69</f>
        <v>35.04509579042854</v>
      </c>
      <c r="E73" s="34">
        <f>'T18'!A69</f>
        <v>264.77338447167938</v>
      </c>
      <c r="F73" s="34">
        <f>'T18'!B69</f>
        <v>0.15684300791963579</v>
      </c>
      <c r="G73" s="34">
        <f>'T16'!A69</f>
        <v>264.77338447167938</v>
      </c>
      <c r="H73" s="34">
        <f>'T16'!B69</f>
        <v>0.14658149496831679</v>
      </c>
      <c r="I73" s="34">
        <f>'T12'!A69</f>
        <v>264.77338447167938</v>
      </c>
      <c r="J73" s="34">
        <f>'T12'!B69</f>
        <v>0.12801920012207879</v>
      </c>
      <c r="K73" s="34">
        <f>'T6'!A69</f>
        <v>264.77338447167938</v>
      </c>
      <c r="L73" s="158">
        <f>'T6'!B69</f>
        <v>0.10446411190943866</v>
      </c>
    </row>
    <row r="74" spans="1:12" x14ac:dyDescent="0.2">
      <c r="A74" s="61">
        <f>'1.5 Tc'!A70</f>
        <v>2.1343791432671955</v>
      </c>
      <c r="B74" s="34">
        <f>'1.5 Tc'!B70</f>
        <v>31.494642580627101</v>
      </c>
      <c r="C74" s="34">
        <f>Tc!A70</f>
        <v>0.85124388712759114</v>
      </c>
      <c r="D74" s="34">
        <f>Tc!B70</f>
        <v>34.543450044632685</v>
      </c>
      <c r="E74" s="34">
        <f>'T18'!A70</f>
        <v>309.78485983186488</v>
      </c>
      <c r="F74" s="34">
        <f>'T18'!B70</f>
        <v>0.13408571398641711</v>
      </c>
      <c r="G74" s="34">
        <f>'T16'!A70</f>
        <v>309.78485983186488</v>
      </c>
      <c r="H74" s="34">
        <f>'T16'!B70</f>
        <v>0.12531798060656901</v>
      </c>
      <c r="I74" s="34">
        <f>'T12'!A70</f>
        <v>309.78485983186488</v>
      </c>
      <c r="J74" s="34">
        <f>'T12'!B70</f>
        <v>0.10945807657240998</v>
      </c>
      <c r="K74" s="34">
        <f>'T6'!A70</f>
        <v>309.78485983186488</v>
      </c>
      <c r="L74" s="158">
        <f>'T6'!B70</f>
        <v>8.9333100162519774E-2</v>
      </c>
    </row>
    <row r="75" spans="1:12" x14ac:dyDescent="0.2">
      <c r="A75" s="61">
        <f>'1.5 Tc'!A71</f>
        <v>2.347817057593915</v>
      </c>
      <c r="B75" s="34">
        <f>'1.5 Tc'!B71</f>
        <v>28.689442938073977</v>
      </c>
      <c r="C75" s="34">
        <f>Tc!A71</f>
        <v>0.87678120374141888</v>
      </c>
      <c r="D75" s="34">
        <f>Tc!B71</f>
        <v>34.03090700803245</v>
      </c>
      <c r="E75" s="34">
        <f>'T18'!A71</f>
        <v>362.44828600328191</v>
      </c>
      <c r="F75" s="34">
        <f>'T18'!B71</f>
        <v>0.11462645038049132</v>
      </c>
      <c r="G75" s="34">
        <f>'T16'!A71</f>
        <v>362.44828600328191</v>
      </c>
      <c r="H75" s="34">
        <f>'T16'!B71</f>
        <v>0.10713469960111138</v>
      </c>
      <c r="I75" s="34">
        <f>'T12'!A71</f>
        <v>362.44828600328191</v>
      </c>
      <c r="J75" s="34">
        <f>'T12'!B71</f>
        <v>9.3583101485516296E-2</v>
      </c>
      <c r="K75" s="34">
        <f>'T6'!A71</f>
        <v>362.44828600328191</v>
      </c>
      <c r="L75" s="158">
        <f>'T6'!B71</f>
        <v>7.6387802336124272E-2</v>
      </c>
    </row>
    <row r="76" spans="1:12" x14ac:dyDescent="0.2">
      <c r="A76" s="61">
        <f>'1.5 Tc'!A72</f>
        <v>2.5825987633533067</v>
      </c>
      <c r="B76" s="34">
        <f>'1.5 Tc'!B72</f>
        <v>26.131227531670159</v>
      </c>
      <c r="C76" s="34">
        <f>Tc!A72</f>
        <v>0.9030846398536615</v>
      </c>
      <c r="D76" s="34">
        <f>Tc!B72</f>
        <v>33.508816900859529</v>
      </c>
      <c r="E76" s="34">
        <f>'T18'!A72</f>
        <v>424.06449462383978</v>
      </c>
      <c r="F76" s="34">
        <f>'T18'!B72</f>
        <v>9.798832925230487E-2</v>
      </c>
      <c r="G76" s="34">
        <f>'T16'!A72</f>
        <v>424.06449462383978</v>
      </c>
      <c r="H76" s="34">
        <f>'T16'!B72</f>
        <v>9.1586612517218405E-2</v>
      </c>
      <c r="I76" s="34">
        <f>'T12'!A72</f>
        <v>424.06449462383978</v>
      </c>
      <c r="J76" s="34">
        <f>'T12'!B72</f>
        <v>8.0006880989995768E-2</v>
      </c>
      <c r="K76" s="34">
        <f>'T6'!A72</f>
        <v>424.06449462383978</v>
      </c>
      <c r="L76" s="158">
        <f>'T6'!B72</f>
        <v>6.5314087684664526E-2</v>
      </c>
    </row>
    <row r="77" spans="1:12" x14ac:dyDescent="0.2">
      <c r="A77" s="61">
        <f>'1.5 Tc'!A73</f>
        <v>2.8408586396886375</v>
      </c>
      <c r="B77" s="34">
        <f>'1.5 Tc'!B73</f>
        <v>23.798408031016432</v>
      </c>
      <c r="C77" s="34">
        <f>Tc!A73</f>
        <v>0.93017717904927133</v>
      </c>
      <c r="D77" s="34">
        <f>Tc!B73</f>
        <v>32.978476812895195</v>
      </c>
      <c r="E77" s="34">
        <f>'T18'!A73</f>
        <v>496.15545870989251</v>
      </c>
      <c r="F77" s="34">
        <f>'T18'!B73</f>
        <v>8.3763130944385061E-2</v>
      </c>
      <c r="G77" s="34">
        <f>'T16'!A73</f>
        <v>496.15545870989251</v>
      </c>
      <c r="H77" s="34">
        <f>'T16'!B73</f>
        <v>7.8292665929522651E-2</v>
      </c>
      <c r="I77" s="34">
        <f>'T12'!A73</f>
        <v>496.15545870989251</v>
      </c>
      <c r="J77" s="34">
        <f>'T12'!B73</f>
        <v>6.8397527503828937E-2</v>
      </c>
      <c r="K77" s="34">
        <f>'T6'!A73</f>
        <v>496.15545870989251</v>
      </c>
      <c r="L77" s="158">
        <f>'T6'!B73</f>
        <v>5.5842538330001058E-2</v>
      </c>
    </row>
    <row r="78" spans="1:12" x14ac:dyDescent="0.2">
      <c r="A78" s="61">
        <f>'1.5 Tc'!A74</f>
        <v>3.1249445036575016</v>
      </c>
      <c r="B78" s="34">
        <f>'1.5 Tc'!B74</f>
        <v>21.671349022413946</v>
      </c>
      <c r="C78" s="34">
        <f>Tc!A74</f>
        <v>0.95808249442074944</v>
      </c>
      <c r="D78" s="34">
        <f>Tc!B74</f>
        <v>32.441127977203408</v>
      </c>
      <c r="E78" s="34">
        <f>'T18'!A74</f>
        <v>580.50188669057422</v>
      </c>
      <c r="F78" s="34">
        <f>'T18'!B74</f>
        <v>7.1601494448911451E-2</v>
      </c>
      <c r="G78" s="34">
        <f>'T16'!A74</f>
        <v>580.50188669057422</v>
      </c>
      <c r="H78" s="34">
        <f>'T16'!B74</f>
        <v>6.6926677923983643E-2</v>
      </c>
      <c r="I78" s="34">
        <f>'T12'!A74</f>
        <v>580.50188669057422</v>
      </c>
      <c r="J78" s="34">
        <f>'T12'!B74</f>
        <v>5.8470805330518072E-2</v>
      </c>
      <c r="K78" s="34">
        <f>'T6'!A74</f>
        <v>580.50188669057422</v>
      </c>
      <c r="L78" s="158">
        <f>'T6'!B74</f>
        <v>4.7742203120202886E-2</v>
      </c>
    </row>
    <row r="79" spans="1:12" x14ac:dyDescent="0.2">
      <c r="A79" s="61">
        <f>'1.5 Tc'!A75</f>
        <v>3.4374389540232522</v>
      </c>
      <c r="B79" s="34">
        <f>'1.5 Tc'!B75</f>
        <v>19.732154298416205</v>
      </c>
      <c r="C79" s="34">
        <f>Tc!A75</f>
        <v>0.98682496925337193</v>
      </c>
      <c r="D79" s="34">
        <f>Tc!B75</f>
        <v>31.897953968927357</v>
      </c>
      <c r="E79" s="34">
        <f>'T18'!A75</f>
        <v>679.18720742797177</v>
      </c>
      <c r="F79" s="34">
        <f>'T18'!B75</f>
        <v>6.120448796192389E-2</v>
      </c>
      <c r="G79" s="34">
        <f>'T16'!A75</f>
        <v>679.18720742797177</v>
      </c>
      <c r="H79" s="34">
        <f>'T16'!B75</f>
        <v>5.7209498736919599E-2</v>
      </c>
      <c r="I79" s="34">
        <f>'T12'!A75</f>
        <v>679.18720742797177</v>
      </c>
      <c r="J79" s="34">
        <f>'T12'!B75</f>
        <v>4.9983360754000249E-2</v>
      </c>
      <c r="K79" s="34">
        <f>'T6'!A75</f>
        <v>679.18720742797177</v>
      </c>
      <c r="L79" s="158">
        <f>'T6'!B75</f>
        <v>4.0815191528505733E-2</v>
      </c>
    </row>
    <row r="80" spans="1:12" x14ac:dyDescent="0.2">
      <c r="A80" s="61">
        <f>'1.5 Tc'!A76</f>
        <v>3.7811828494255777</v>
      </c>
      <c r="B80" s="34">
        <f>'1.5 Tc'!B76</f>
        <v>17.964489255765262</v>
      </c>
      <c r="C80" s="34">
        <f>Tc!A76</f>
        <v>1.0164297183309732</v>
      </c>
      <c r="D80" s="34">
        <f>Tc!B76</f>
        <v>31.350079677607859</v>
      </c>
      <c r="E80" s="34">
        <f>'T18'!A76</f>
        <v>794.64903269072693</v>
      </c>
      <c r="F80" s="34">
        <f>'T18'!B76</f>
        <v>5.2316371185679451E-2</v>
      </c>
      <c r="G80" s="34">
        <f>'T16'!A76</f>
        <v>794.64903269072693</v>
      </c>
      <c r="H80" s="34">
        <f>'T16'!B76</f>
        <v>4.8902274503605021E-2</v>
      </c>
      <c r="I80" s="34">
        <f>'T12'!A76</f>
        <v>794.64903269072693</v>
      </c>
      <c r="J80" s="34">
        <f>'T12'!B76</f>
        <v>4.2726894339383176E-2</v>
      </c>
      <c r="K80" s="34">
        <f>'T6'!A76</f>
        <v>794.64903269072693</v>
      </c>
      <c r="L80" s="158">
        <f>'T6'!B76</f>
        <v>3.4892003725266817E-2</v>
      </c>
    </row>
    <row r="81" spans="1:12" x14ac:dyDescent="0.2">
      <c r="A81" s="61">
        <f>'1.5 Tc'!A77</f>
        <v>4.1593011343681354</v>
      </c>
      <c r="B81" s="34">
        <f>'1.5 Tc'!B77</f>
        <v>16.353430298715097</v>
      </c>
      <c r="C81" s="34">
        <f>Tc!A77</f>
        <v>1.0469226098809024</v>
      </c>
      <c r="D81" s="34">
        <f>Tc!B77</f>
        <v>30.798570923374555</v>
      </c>
      <c r="E81" s="34">
        <f>'T18'!A77</f>
        <v>929.73936824815041</v>
      </c>
      <c r="F81" s="34">
        <f>'T18'!B77</f>
        <v>4.4718385118723371E-2</v>
      </c>
      <c r="G81" s="34">
        <f>'T16'!A77</f>
        <v>929.73936824815041</v>
      </c>
      <c r="H81" s="34">
        <f>'T16'!B77</f>
        <v>4.1800663516890192E-2</v>
      </c>
      <c r="I81" s="34">
        <f>'T12'!A77</f>
        <v>929.73936824815041</v>
      </c>
      <c r="J81" s="34">
        <f>'T12'!B77</f>
        <v>3.6523149705342262E-2</v>
      </c>
      <c r="K81" s="34">
        <f>'T6'!A77</f>
        <v>929.73936824815041</v>
      </c>
      <c r="L81" s="158">
        <f>'T6'!B77</f>
        <v>2.9827503147651892E-2</v>
      </c>
    </row>
    <row r="82" spans="1:12" x14ac:dyDescent="0.2">
      <c r="A82" s="61">
        <f>'1.5 Tc'!A78</f>
        <v>4.5752312478049495</v>
      </c>
      <c r="B82" s="34">
        <f>'1.5 Tc'!B78</f>
        <v>14.885334827340687</v>
      </c>
      <c r="C82" s="34">
        <f>Tc!A78</f>
        <v>1.0783302881773293</v>
      </c>
      <c r="D82" s="34">
        <f>Tc!B78</f>
        <v>30.244434606108562</v>
      </c>
      <c r="E82" s="34">
        <f>'T18'!A78</f>
        <v>1087.7950608503359</v>
      </c>
      <c r="F82" s="34">
        <f>'T18'!B78</f>
        <v>3.8223426543755962E-2</v>
      </c>
      <c r="G82" s="34">
        <f>'T16'!A78</f>
        <v>1087.7950608503359</v>
      </c>
      <c r="H82" s="34">
        <f>'T16'!B78</f>
        <v>3.5729873671094634E-2</v>
      </c>
      <c r="I82" s="34">
        <f>'T12'!A78</f>
        <v>1087.7950608503359</v>
      </c>
      <c r="J82" s="34">
        <f>'T12'!B78</f>
        <v>3.1219608295155851E-2</v>
      </c>
      <c r="K82" s="34">
        <f>'T6'!A78</f>
        <v>1087.7950608503359</v>
      </c>
      <c r="L82" s="158">
        <f>'T6'!B78</f>
        <v>2.5497447922524584E-2</v>
      </c>
    </row>
    <row r="83" spans="1:12" x14ac:dyDescent="0.2">
      <c r="A83" s="61">
        <f>'1.5 Tc'!A79</f>
        <v>5.0327543725854449</v>
      </c>
      <c r="B83" s="34">
        <f>'1.5 Tc'!B79</f>
        <v>13.547727255811544</v>
      </c>
      <c r="C83" s="34">
        <f>Tc!A79</f>
        <v>1.1106801968226492</v>
      </c>
      <c r="D83" s="34">
        <f>Tc!B79</f>
        <v>29.6886192927502</v>
      </c>
      <c r="E83" s="34">
        <f>'T18'!A79</f>
        <v>1272.7202211948929</v>
      </c>
      <c r="F83" s="34">
        <f>'T18'!B79</f>
        <v>3.2671483419315986E-2</v>
      </c>
      <c r="G83" s="34">
        <f>'T16'!A79</f>
        <v>1272.7202211948929</v>
      </c>
      <c r="H83" s="34">
        <f>'T16'!B79</f>
        <v>3.0540406942537571E-2</v>
      </c>
      <c r="I83" s="34">
        <f>'T12'!A79</f>
        <v>1272.7202211948929</v>
      </c>
      <c r="J83" s="34">
        <f>'T12'!B79</f>
        <v>2.6685793527067951E-2</v>
      </c>
      <c r="K83" s="34">
        <f>'T6'!A79</f>
        <v>1272.7202211948929</v>
      </c>
      <c r="L83" s="158">
        <f>'T6'!B79</f>
        <v>2.1795507035617598E-2</v>
      </c>
    </row>
    <row r="84" spans="1:12" x14ac:dyDescent="0.2">
      <c r="A84" s="61">
        <f>'1.5 Tc'!A80</f>
        <v>5.5360298098439902</v>
      </c>
      <c r="B84" s="34">
        <f>'1.5 Tc'!B80</f>
        <v>12.32919780484589</v>
      </c>
      <c r="C84" s="34">
        <f>Tc!A80</f>
        <v>1.1440006027273286</v>
      </c>
      <c r="D84" s="34">
        <f>Tc!B80</f>
        <v>29.132016161720529</v>
      </c>
      <c r="E84" s="34">
        <f>'T18'!A80</f>
        <v>1489.0826587980246</v>
      </c>
      <c r="F84" s="34">
        <f>'T18'!B80</f>
        <v>2.7925724088649982E-2</v>
      </c>
      <c r="G84" s="34">
        <f>'T16'!A80</f>
        <v>1489.0826587980246</v>
      </c>
      <c r="H84" s="34">
        <f>'T16'!B80</f>
        <v>2.6104411951525068E-2</v>
      </c>
      <c r="I84" s="34">
        <f>'T12'!A80</f>
        <v>1489.0826587980246</v>
      </c>
      <c r="J84" s="34">
        <f>'T12'!B80</f>
        <v>2.2810100137389214E-2</v>
      </c>
      <c r="K84" s="34">
        <f>'T6'!A80</f>
        <v>1489.0826587980246</v>
      </c>
      <c r="L84" s="158">
        <f>'T6'!B80</f>
        <v>1.8630695996508694E-2</v>
      </c>
    </row>
    <row r="85" spans="1:12" x14ac:dyDescent="0.2">
      <c r="A85" s="61">
        <f>'1.5 Tc'!A81</f>
        <v>6.0896327908283894</v>
      </c>
      <c r="B85" s="34">
        <f>'1.5 Tc'!B81</f>
        <v>11.219311718636765</v>
      </c>
      <c r="C85" s="34">
        <f>Tc!A81</f>
        <v>1.1783206208091486</v>
      </c>
      <c r="D85" s="34">
        <f>Tc!B81</f>
        <v>28.575460235275251</v>
      </c>
      <c r="E85" s="34">
        <f>'T18'!A81</f>
        <v>1742.2267107936887</v>
      </c>
      <c r="F85" s="34">
        <f>'T18'!B81</f>
        <v>2.3869147843531339E-2</v>
      </c>
      <c r="G85" s="34">
        <f>'T16'!A81</f>
        <v>1742.2267107936887</v>
      </c>
      <c r="H85" s="34">
        <f>'T16'!B81</f>
        <v>2.231255901140056E-2</v>
      </c>
      <c r="I85" s="34">
        <f>'T12'!A81</f>
        <v>1742.2267107936887</v>
      </c>
      <c r="J85" s="34">
        <f>'T12'!B81</f>
        <v>1.949707558856479E-2</v>
      </c>
      <c r="K85" s="34">
        <f>'T6'!A81</f>
        <v>1742.2267107936887</v>
      </c>
      <c r="L85" s="158">
        <f>'T6'!B81</f>
        <v>1.5925174833395637E-2</v>
      </c>
    </row>
    <row r="86" spans="1:12" x14ac:dyDescent="0.2">
      <c r="A86" s="61">
        <f>'1.5 Tc'!A82</f>
        <v>6.698596069911229</v>
      </c>
      <c r="B86" s="34">
        <f>'1.5 Tc'!B82</f>
        <v>10.208527189137557</v>
      </c>
      <c r="C86" s="34">
        <f>Tc!A82</f>
        <v>1.2136702394334231</v>
      </c>
      <c r="D86" s="34">
        <f>Tc!B82</f>
        <v>28.019731840795814</v>
      </c>
      <c r="E86" s="34">
        <f>'T18'!A82</f>
        <v>2038.4052516286156</v>
      </c>
      <c r="F86" s="34">
        <f>'T18'!B82</f>
        <v>2.0401717132124988E-2</v>
      </c>
      <c r="G86" s="34">
        <f>'T16'!A82</f>
        <v>2038.4052516286156</v>
      </c>
      <c r="H86" s="34">
        <f>'T16'!B82</f>
        <v>1.9071363763731121E-2</v>
      </c>
      <c r="I86" s="34">
        <f>'T12'!A82</f>
        <v>2038.4052516286156</v>
      </c>
      <c r="J86" s="34">
        <f>'T12'!B82</f>
        <v>1.6665090182496366E-2</v>
      </c>
      <c r="K86" s="34">
        <f>'T6'!A82</f>
        <v>2038.4052516286156</v>
      </c>
      <c r="L86" s="158">
        <f>'T6'!B82</f>
        <v>1.3612358537654348E-2</v>
      </c>
    </row>
    <row r="87" spans="1:12" x14ac:dyDescent="0.2">
      <c r="A87" s="61">
        <f>'1.5 Tc'!A83</f>
        <v>7.3684556769023528</v>
      </c>
      <c r="B87" s="34">
        <f>'1.5 Tc'!B83</f>
        <v>9.2881207128036678</v>
      </c>
      <c r="C87" s="34">
        <f>Tc!A83</f>
        <v>1.2500803466164259</v>
      </c>
      <c r="D87" s="34">
        <f>Tc!B83</f>
        <v>27.465558250783499</v>
      </c>
      <c r="E87" s="34">
        <f>'T18'!A83</f>
        <v>2384.9341444054803</v>
      </c>
      <c r="F87" s="34">
        <f>'T18'!B83</f>
        <v>1.7437902782610936E-2</v>
      </c>
      <c r="G87" s="34">
        <f>'T16'!A83</f>
        <v>2384.9341444054803</v>
      </c>
      <c r="H87" s="34">
        <f>'T16'!B83</f>
        <v>1.6300895693329747E-2</v>
      </c>
      <c r="I87" s="34">
        <f>'T12'!A83</f>
        <v>2384.9341444054803</v>
      </c>
      <c r="J87" s="34">
        <f>'T12'!B83</f>
        <v>1.4244341099126557E-2</v>
      </c>
      <c r="K87" s="34">
        <f>'T6'!A83</f>
        <v>2384.9341444054803</v>
      </c>
      <c r="L87" s="158">
        <f>'T6'!B83</f>
        <v>1.1635296580357517E-2</v>
      </c>
    </row>
    <row r="88" spans="1:12" x14ac:dyDescent="0.2">
      <c r="A88" s="61">
        <f>'1.5 Tc'!A84</f>
        <v>8.1053012445925887</v>
      </c>
      <c r="B88" s="34">
        <f>'1.5 Tc'!B84</f>
        <v>8.4501189145434576</v>
      </c>
      <c r="C88" s="34">
        <f>Tc!A84</f>
        <v>1.2875827570149188</v>
      </c>
      <c r="D88" s="34">
        <f>Tc!B84</f>
        <v>26.91361545886231</v>
      </c>
      <c r="E88" s="34">
        <f>'T18'!A84</f>
        <v>2790.3729489544116</v>
      </c>
      <c r="F88" s="34">
        <f>'T18'!B84</f>
        <v>1.4904583221091861E-2</v>
      </c>
      <c r="G88" s="34">
        <f>'T16'!A84</f>
        <v>2790.3729489544116</v>
      </c>
      <c r="H88" s="34">
        <f>'T16'!B84</f>
        <v>1.3932816676469532E-2</v>
      </c>
      <c r="I88" s="34">
        <f>'T12'!A84</f>
        <v>2790.3729489544116</v>
      </c>
      <c r="J88" s="34">
        <f>'T12'!B84</f>
        <v>1.2175143082136811E-2</v>
      </c>
      <c r="K88" s="34">
        <f>'T6'!A84</f>
        <v>2790.3729489544116</v>
      </c>
      <c r="L88" s="158">
        <f>'T6'!B84</f>
        <v>9.9452838811722438E-3</v>
      </c>
    </row>
    <row r="89" spans="1:12" x14ac:dyDescent="0.2">
      <c r="A89" s="61">
        <f>'1.5 Tc'!A85</f>
        <v>8.9158313690518476</v>
      </c>
      <c r="B89" s="34">
        <f>'1.5 Tc'!B85</f>
        <v>7.6872360910598232</v>
      </c>
      <c r="C89" s="34">
        <f>Tc!A85</f>
        <v>1.3262102397253663</v>
      </c>
      <c r="D89" s="34">
        <f>Tc!B85</f>
        <v>26.364530055586084</v>
      </c>
      <c r="E89" s="34">
        <f>'T18'!A85</f>
        <v>3264.7363502766616</v>
      </c>
      <c r="F89" s="34">
        <f>'T18'!B85</f>
        <v>1.2739246971530971E-2</v>
      </c>
      <c r="G89" s="34">
        <f>'T16'!A85</f>
        <v>3264.7363502766616</v>
      </c>
      <c r="H89" s="34">
        <f>'T16'!B85</f>
        <v>1.190870239489694E-2</v>
      </c>
      <c r="I89" s="34">
        <f>'T12'!A85</f>
        <v>3264.7363502766616</v>
      </c>
      <c r="J89" s="34">
        <f>'T12'!B85</f>
        <v>1.0406465028735112E-2</v>
      </c>
      <c r="K89" s="34">
        <f>'T6'!A85</f>
        <v>3264.7363502766616</v>
      </c>
      <c r="L89" s="158">
        <f>'T6'!B85</f>
        <v>8.5006706783407691E-3</v>
      </c>
    </row>
    <row r="90" spans="1:12" x14ac:dyDescent="0.2">
      <c r="A90" s="61">
        <f>'1.5 Tc'!A86</f>
        <v>9.8074145059570323</v>
      </c>
      <c r="B90" s="34">
        <f>'1.5 Tc'!B86</f>
        <v>6.9928168791053089</v>
      </c>
      <c r="C90" s="34">
        <f>Tc!A86</f>
        <v>1.3659965469171274</v>
      </c>
      <c r="D90" s="34">
        <f>Tc!B86</f>
        <v>25.818881173433947</v>
      </c>
      <c r="E90" s="34"/>
      <c r="F90" s="34"/>
      <c r="G90" s="34"/>
      <c r="H90" s="34"/>
      <c r="I90" s="34"/>
      <c r="J90" s="34"/>
      <c r="K90" s="34"/>
      <c r="L90" s="158"/>
    </row>
    <row r="91" spans="1:12" x14ac:dyDescent="0.2">
      <c r="A91" s="61">
        <f>'1.5 Tc'!A87</f>
        <v>10.788155956552737</v>
      </c>
      <c r="B91" s="34">
        <f>'1.5 Tc'!B87</f>
        <v>6.360783563068912</v>
      </c>
      <c r="C91" s="34">
        <f>Tc!A87</f>
        <v>0</v>
      </c>
      <c r="D91" s="34">
        <f>Tc!B87</f>
        <v>0</v>
      </c>
      <c r="E91" s="34"/>
      <c r="F91" s="34"/>
      <c r="G91" s="34"/>
      <c r="H91" s="34"/>
      <c r="I91" s="34"/>
      <c r="J91" s="34"/>
      <c r="K91" s="34"/>
      <c r="L91" s="158"/>
    </row>
    <row r="92" spans="1:12" x14ac:dyDescent="0.2">
      <c r="A92" s="61">
        <f>'1.5 Tc'!A88</f>
        <v>11.866971552208012</v>
      </c>
      <c r="B92" s="34">
        <f>'1.5 Tc'!B88</f>
        <v>5.7855876144581568</v>
      </c>
      <c r="C92" s="34">
        <f>Tc!A88</f>
        <v>0</v>
      </c>
      <c r="D92" s="34">
        <f>Tc!B88</f>
        <v>0</v>
      </c>
      <c r="E92" s="34"/>
      <c r="F92" s="34"/>
      <c r="G92" s="34"/>
      <c r="H92" s="34"/>
      <c r="I92" s="34"/>
      <c r="J92" s="34"/>
      <c r="K92" s="34"/>
      <c r="L92" s="158"/>
    </row>
    <row r="93" spans="1:12" x14ac:dyDescent="0.2">
      <c r="A93" s="61">
        <f>'1.5 Tc'!A89</f>
        <v>13.053668707428814</v>
      </c>
      <c r="B93" s="34">
        <f>'1.5 Tc'!B89</f>
        <v>5.2621651127706892</v>
      </c>
      <c r="C93" s="34">
        <f>Tc!A89</f>
        <v>0</v>
      </c>
      <c r="D93" s="34">
        <f>Tc!B89</f>
        <v>0</v>
      </c>
      <c r="E93" s="34"/>
      <c r="F93" s="34"/>
      <c r="G93" s="34"/>
      <c r="H93" s="34"/>
      <c r="I93" s="34"/>
      <c r="J93" s="34"/>
      <c r="K93" s="34"/>
      <c r="L93" s="158"/>
    </row>
    <row r="94" spans="1:12" x14ac:dyDescent="0.2">
      <c r="A94" s="61">
        <f>'1.5 Tc'!A90</f>
        <v>14.359035578171698</v>
      </c>
      <c r="B94" s="34">
        <f>'1.5 Tc'!B90</f>
        <v>4.785895739585543</v>
      </c>
      <c r="C94" s="34">
        <f>Tc!A90</f>
        <v>0</v>
      </c>
      <c r="D94" s="34">
        <f>Tc!B90</f>
        <v>0</v>
      </c>
      <c r="E94" s="34"/>
      <c r="F94" s="34"/>
      <c r="G94" s="34"/>
      <c r="H94" s="34"/>
      <c r="I94" s="34"/>
      <c r="J94" s="34"/>
      <c r="K94" s="34"/>
      <c r="L94" s="158"/>
    </row>
    <row r="95" spans="1:12" x14ac:dyDescent="0.2">
      <c r="A95" s="61">
        <f>'1.5 Tc'!A91</f>
        <v>15.794939135988869</v>
      </c>
      <c r="B95" s="34">
        <f>'1.5 Tc'!B91</f>
        <v>4.3525650700241245</v>
      </c>
      <c r="C95" s="34">
        <f>Tc!A91</f>
        <v>0</v>
      </c>
      <c r="D95" s="34">
        <f>Tc!B91</f>
        <v>0</v>
      </c>
      <c r="E95" s="34"/>
      <c r="F95" s="34"/>
      <c r="G95" s="34"/>
      <c r="H95" s="34"/>
      <c r="I95" s="34"/>
      <c r="J95" s="34"/>
      <c r="K95" s="34"/>
      <c r="L95" s="158"/>
    </row>
    <row r="96" spans="1:12" x14ac:dyDescent="0.2">
      <c r="A96" s="61">
        <f>'1.5 Tc'!A92</f>
        <v>17.374433049587758</v>
      </c>
      <c r="B96" s="34">
        <f>'1.5 Tc'!B92</f>
        <v>3.9583299111864854</v>
      </c>
      <c r="C96" s="34">
        <f>Tc!A92</f>
        <v>0</v>
      </c>
      <c r="D96" s="34">
        <f>Tc!B92</f>
        <v>0</v>
      </c>
      <c r="E96" s="34"/>
      <c r="F96" s="34"/>
      <c r="G96" s="34"/>
      <c r="H96" s="34"/>
      <c r="I96" s="34"/>
      <c r="J96" s="34"/>
      <c r="K96" s="34"/>
      <c r="L96" s="158"/>
    </row>
    <row r="97" spans="1:12" x14ac:dyDescent="0.2">
      <c r="A97" s="61">
        <f>'1.5 Tc'!A93</f>
        <v>19.111876354546535</v>
      </c>
      <c r="B97" s="34">
        <f>'1.5 Tc'!B93</f>
        <v>3.5996864579148049</v>
      </c>
      <c r="C97" s="34">
        <f>Tc!A93</f>
        <v>0</v>
      </c>
      <c r="D97" s="34">
        <f>Tc!B93</f>
        <v>0</v>
      </c>
      <c r="E97" s="34"/>
      <c r="F97" s="34"/>
      <c r="G97" s="34"/>
      <c r="H97" s="34"/>
      <c r="I97" s="34"/>
      <c r="J97" s="34"/>
      <c r="K97" s="34"/>
      <c r="L97" s="158"/>
    </row>
    <row r="98" spans="1:12" x14ac:dyDescent="0.2">
      <c r="A98" s="61">
        <f>'1.5 Tc'!A94</f>
        <v>21.023063990001191</v>
      </c>
      <c r="B98" s="34">
        <f>'1.5 Tc'!B94</f>
        <v>3.2734410537360175</v>
      </c>
      <c r="C98" s="34">
        <f>Tc!A94</f>
        <v>0</v>
      </c>
      <c r="D98" s="34">
        <f>Tc!B94</f>
        <v>0</v>
      </c>
      <c r="E98" s="34"/>
      <c r="F98" s="34"/>
      <c r="G98" s="34"/>
      <c r="H98" s="34"/>
      <c r="I98" s="34"/>
      <c r="J98" s="34"/>
      <c r="K98" s="34"/>
      <c r="L98" s="158"/>
    </row>
    <row r="99" spans="1:12" x14ac:dyDescent="0.2">
      <c r="A99" s="61">
        <f>'1.5 Tc'!A95</f>
        <v>23.125370389001311</v>
      </c>
      <c r="B99" s="34">
        <f>'1.5 Tc'!B95</f>
        <v>2.9766833600721441</v>
      </c>
      <c r="C99" s="34">
        <f>Tc!A95</f>
        <v>0</v>
      </c>
      <c r="D99" s="34">
        <f>Tc!B95</f>
        <v>0</v>
      </c>
      <c r="E99" s="34"/>
      <c r="F99" s="34"/>
      <c r="G99" s="34"/>
      <c r="H99" s="34"/>
      <c r="I99" s="34"/>
      <c r="J99" s="34"/>
      <c r="K99" s="34"/>
      <c r="L99" s="158"/>
    </row>
    <row r="100" spans="1:12" x14ac:dyDescent="0.2">
      <c r="A100" s="61">
        <f>'1.5 Tc'!A96</f>
        <v>25.437907427901443</v>
      </c>
      <c r="B100" s="34">
        <f>'1.5 Tc'!B96</f>
        <v>2.7067617504336066</v>
      </c>
      <c r="C100" s="34">
        <f>Tc!A96</f>
        <v>0</v>
      </c>
      <c r="D100" s="34">
        <f>Tc!B96</f>
        <v>0</v>
      </c>
      <c r="E100" s="34"/>
      <c r="F100" s="34"/>
      <c r="G100" s="34"/>
      <c r="H100" s="34"/>
      <c r="I100" s="34"/>
      <c r="J100" s="34"/>
      <c r="K100" s="34"/>
      <c r="L100" s="158"/>
    </row>
    <row r="101" spans="1:12" x14ac:dyDescent="0.2">
      <c r="A101" s="61">
        <f>'1.5 Tc'!A97</f>
        <v>27.98169817069159</v>
      </c>
      <c r="B101" s="34">
        <f>'1.5 Tc'!B97</f>
        <v>2.461260758755492</v>
      </c>
      <c r="C101" s="34">
        <f>Tc!A97</f>
        <v>0</v>
      </c>
      <c r="D101" s="34">
        <f>Tc!B97</f>
        <v>0</v>
      </c>
      <c r="E101" s="34"/>
      <c r="F101" s="34"/>
      <c r="G101" s="34"/>
      <c r="H101" s="34"/>
      <c r="I101" s="34"/>
      <c r="J101" s="34"/>
      <c r="K101" s="34"/>
      <c r="L101" s="158"/>
    </row>
    <row r="102" spans="1:12" x14ac:dyDescent="0.2">
      <c r="A102" s="61">
        <f>'1.5 Tc'!A98</f>
        <v>30.779867987760753</v>
      </c>
      <c r="B102" s="34">
        <f>'1.5 Tc'!B98</f>
        <v>2.2379804225755113</v>
      </c>
      <c r="C102" s="34">
        <f>Tc!A98</f>
        <v>0</v>
      </c>
      <c r="D102" s="34">
        <f>Tc!B98</f>
        <v>0</v>
      </c>
      <c r="E102" s="34"/>
      <c r="F102" s="34"/>
      <c r="G102" s="34"/>
      <c r="H102" s="34"/>
      <c r="I102" s="34"/>
      <c r="J102" s="34"/>
      <c r="K102" s="34"/>
      <c r="L102" s="158"/>
    </row>
    <row r="103" spans="1:12" x14ac:dyDescent="0.2">
      <c r="A103" s="61">
        <f>'1.5 Tc'!A99</f>
        <v>33.857854786536834</v>
      </c>
      <c r="B103" s="34">
        <f>'1.5 Tc'!B99</f>
        <v>2.0349173725598897</v>
      </c>
      <c r="C103" s="34">
        <f>Tc!A99</f>
        <v>0</v>
      </c>
      <c r="D103" s="34">
        <f>Tc!B99</f>
        <v>0</v>
      </c>
      <c r="E103" s="34"/>
      <c r="F103" s="34"/>
      <c r="G103" s="34"/>
      <c r="H103" s="34"/>
      <c r="I103" s="34"/>
      <c r="J103" s="34"/>
      <c r="K103" s="34"/>
      <c r="L103" s="158"/>
    </row>
    <row r="104" spans="1:12" x14ac:dyDescent="0.2">
      <c r="A104" s="61">
        <f>'1.5 Tc'!A100</f>
        <v>37.243640265190521</v>
      </c>
      <c r="B104" s="34">
        <f>'1.5 Tc'!B100</f>
        <v>1.8502475300679504</v>
      </c>
      <c r="C104" s="34">
        <f>Tc!A100</f>
        <v>0</v>
      </c>
      <c r="D104" s="34">
        <f>Tc!B100</f>
        <v>0</v>
      </c>
      <c r="E104" s="34"/>
      <c r="F104" s="34"/>
      <c r="G104" s="34"/>
      <c r="H104" s="34"/>
      <c r="I104" s="34"/>
      <c r="J104" s="34"/>
      <c r="K104" s="34"/>
      <c r="L104" s="158"/>
    </row>
    <row r="105" spans="1:12" x14ac:dyDescent="0.2">
      <c r="A105" s="61">
        <f>'1.5 Tc'!A101</f>
        <v>40.968004291709576</v>
      </c>
      <c r="B105" s="34">
        <f>'1.5 Tc'!B101</f>
        <v>1.6823102840735813</v>
      </c>
      <c r="C105" s="34">
        <f>Tc!A101</f>
        <v>0</v>
      </c>
      <c r="D105" s="34">
        <f>Tc!B101</f>
        <v>0</v>
      </c>
      <c r="E105" s="34"/>
      <c r="F105" s="34"/>
      <c r="G105" s="34"/>
      <c r="H105" s="34"/>
      <c r="I105" s="34"/>
      <c r="J105" s="34"/>
      <c r="K105" s="34"/>
      <c r="L105" s="158"/>
    </row>
    <row r="106" spans="1:12" x14ac:dyDescent="0.2">
      <c r="A106" s="61">
        <f>'1.5 Tc'!A102</f>
        <v>45.064804720880538</v>
      </c>
      <c r="B106" s="34">
        <f>'1.5 Tc'!B102</f>
        <v>1.529594027871845</v>
      </c>
      <c r="C106" s="34">
        <f>Tc!A102</f>
        <v>0</v>
      </c>
      <c r="D106" s="34">
        <f>Tc!B102</f>
        <v>0</v>
      </c>
      <c r="E106" s="34"/>
      <c r="F106" s="34"/>
      <c r="G106" s="34"/>
      <c r="H106" s="34"/>
      <c r="I106" s="34"/>
      <c r="J106" s="34"/>
      <c r="K106" s="34"/>
      <c r="L106" s="158"/>
    </row>
    <row r="107" spans="1:12" x14ac:dyDescent="0.2">
      <c r="A107" s="78">
        <f>'1.5 Tc'!A103</f>
        <v>49.571285192968595</v>
      </c>
      <c r="B107" s="79">
        <f>'1.5 Tc'!B103</f>
        <v>1.3907229446158551</v>
      </c>
      <c r="C107" s="79">
        <f>Tc!A103</f>
        <v>0</v>
      </c>
      <c r="D107" s="79">
        <f>Tc!B103</f>
        <v>0</v>
      </c>
      <c r="E107" s="79"/>
      <c r="F107" s="79"/>
      <c r="G107" s="79"/>
      <c r="H107" s="79"/>
      <c r="I107" s="79"/>
      <c r="J107" s="79"/>
      <c r="K107" s="79"/>
      <c r="L107" s="162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3</vt:i4>
      </vt:variant>
    </vt:vector>
  </HeadingPairs>
  <TitlesOfParts>
    <vt:vector size="34" baseType="lpstr">
      <vt:lpstr>Sheet1</vt:lpstr>
      <vt:lpstr> T = Tb</vt:lpstr>
      <vt:lpstr>Tmin</vt:lpstr>
      <vt:lpstr>T2</vt:lpstr>
      <vt:lpstr>T3</vt:lpstr>
      <vt:lpstr>T4</vt:lpstr>
      <vt:lpstr>T5</vt:lpstr>
      <vt:lpstr>T6</vt:lpstr>
      <vt:lpstr>T7</vt:lpstr>
      <vt:lpstr>T8</vt:lpstr>
      <vt:lpstr>T9</vt:lpstr>
      <vt:lpstr>T10#</vt:lpstr>
      <vt:lpstr>T11</vt:lpstr>
      <vt:lpstr>T12</vt:lpstr>
      <vt:lpstr>T13</vt:lpstr>
      <vt:lpstr>T14</vt:lpstr>
      <vt:lpstr>T15</vt:lpstr>
      <vt:lpstr>T16</vt:lpstr>
      <vt:lpstr>T17</vt:lpstr>
      <vt:lpstr>T18</vt:lpstr>
      <vt:lpstr>T19</vt:lpstr>
      <vt:lpstr>T20</vt:lpstr>
      <vt:lpstr>T21</vt:lpstr>
      <vt:lpstr>Tc</vt:lpstr>
      <vt:lpstr>1.5 Tc</vt:lpstr>
      <vt:lpstr>a = a(T)</vt:lpstr>
      <vt:lpstr>Pvap</vt:lpstr>
      <vt:lpstr>Phase diagram</vt:lpstr>
      <vt:lpstr>B = B(T)</vt:lpstr>
      <vt:lpstr>VL-Rackett</vt:lpstr>
      <vt:lpstr>Isotherms</vt:lpstr>
      <vt:lpstr>solve_e13</vt:lpstr>
      <vt:lpstr>solve_e15</vt:lpstr>
      <vt:lpstr>solve_e16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Dent</dc:creator>
  <cp:lastModifiedBy>User</cp:lastModifiedBy>
  <cp:lastPrinted>2003-05-02T13:56:35Z</cp:lastPrinted>
  <dcterms:created xsi:type="dcterms:W3CDTF">2003-05-02T09:12:04Z</dcterms:created>
  <dcterms:modified xsi:type="dcterms:W3CDTF">2015-04-19T10:21:57Z</dcterms:modified>
</cp:coreProperties>
</file>